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EWER" sheetId="1" r:id="rId5"/>
    <sheet state="visible" name="DB" sheetId="2" r:id="rId6"/>
  </sheets>
  <definedNames/>
  <calcPr/>
</workbook>
</file>

<file path=xl/sharedStrings.xml><?xml version="1.0" encoding="utf-8"?>
<sst xmlns="http://schemas.openxmlformats.org/spreadsheetml/2006/main" count="138" uniqueCount="102">
  <si>
    <t>PROYECTO</t>
  </si>
  <si>
    <t>Costo obra</t>
  </si>
  <si>
    <t>Nombre</t>
  </si>
  <si>
    <t>Empresa X</t>
  </si>
  <si>
    <t>Margen</t>
  </si>
  <si>
    <t>Fecha inicio</t>
  </si>
  <si>
    <t>Imprevistos (Sumar dias)</t>
  </si>
  <si>
    <t>Ganancia</t>
  </si>
  <si>
    <t>Fecha fin</t>
  </si>
  <si>
    <t>Precio final</t>
  </si>
  <si>
    <t>Cantidad de dias</t>
  </si>
  <si>
    <t>Datos de la obra</t>
  </si>
  <si>
    <t>Tipo de obra</t>
  </si>
  <si>
    <t>Obra nueva</t>
  </si>
  <si>
    <t>Ubicación</t>
  </si>
  <si>
    <t>Suburbana</t>
  </si>
  <si>
    <t>Metros cuadrados (m²)</t>
  </si>
  <si>
    <t>Complejidad</t>
  </si>
  <si>
    <t>Nivel de terminación</t>
  </si>
  <si>
    <t>Alto</t>
  </si>
  <si>
    <t>Plazo pedido por el cliente (dias)</t>
  </si>
  <si>
    <t>Mano de obra</t>
  </si>
  <si>
    <t>Cantidad de personas</t>
  </si>
  <si>
    <t>DETALLES</t>
  </si>
  <si>
    <t>Oficial</t>
  </si>
  <si>
    <t>Medio oficial</t>
  </si>
  <si>
    <t>Horas</t>
  </si>
  <si>
    <t>Ayudante</t>
  </si>
  <si>
    <t>Total</t>
  </si>
  <si>
    <t>Especialista</t>
  </si>
  <si>
    <t>Materiales</t>
  </si>
  <si>
    <t>Jefe de obra</t>
  </si>
  <si>
    <t>Cemento</t>
  </si>
  <si>
    <t>Equipo</t>
  </si>
  <si>
    <t>Dias_uso</t>
  </si>
  <si>
    <t>Yeso</t>
  </si>
  <si>
    <t>Alquier andamios</t>
  </si>
  <si>
    <t>Placas</t>
  </si>
  <si>
    <t>Plataformas</t>
  </si>
  <si>
    <t>Pintura</t>
  </si>
  <si>
    <t>Maquinaria</t>
  </si>
  <si>
    <t>Hierro</t>
  </si>
  <si>
    <t>Seguridad</t>
  </si>
  <si>
    <t>Material secundario 8%</t>
  </si>
  <si>
    <t>Total según terminación</t>
  </si>
  <si>
    <t>Costos indirectos</t>
  </si>
  <si>
    <t>PARÁMETROS</t>
  </si>
  <si>
    <t>TipoObra_sel</t>
  </si>
  <si>
    <t>m2_sel</t>
  </si>
  <si>
    <t>Complejidad_sel</t>
  </si>
  <si>
    <t>Terminacion_sel</t>
  </si>
  <si>
    <t>Plazo_cliente_sel</t>
  </si>
  <si>
    <t>Datos base de la obra</t>
  </si>
  <si>
    <t>Variables</t>
  </si>
  <si>
    <t>Factor</t>
  </si>
  <si>
    <t>Centro</t>
  </si>
  <si>
    <t>Campo</t>
  </si>
  <si>
    <t>Bajo</t>
  </si>
  <si>
    <t>Medio</t>
  </si>
  <si>
    <t>Costo_hora</t>
  </si>
  <si>
    <t>Horas_por_m2</t>
  </si>
  <si>
    <t>Calculo_Mano_Obra</t>
  </si>
  <si>
    <t>Reforma</t>
  </si>
  <si>
    <t>Mantenimiento</t>
  </si>
  <si>
    <t>Seco</t>
  </si>
  <si>
    <t>Rol</t>
  </si>
  <si>
    <t>Cantidad_personas</t>
  </si>
  <si>
    <t>Costo_total_rol</t>
  </si>
  <si>
    <t>Total_mano_de_obra</t>
  </si>
  <si>
    <t>Total_Horas</t>
  </si>
  <si>
    <t>Total_Horas_Ajustadas_Complejidad_y_Terminación</t>
  </si>
  <si>
    <t>Consumo_por_m2</t>
  </si>
  <si>
    <t>Precio_unitario</t>
  </si>
  <si>
    <t>Desperdicio_%</t>
  </si>
  <si>
    <t>Costo_material</t>
  </si>
  <si>
    <t>Total_material</t>
  </si>
  <si>
    <t>Estimación_%</t>
  </si>
  <si>
    <t>Total_sec</t>
  </si>
  <si>
    <t>Material secundario</t>
  </si>
  <si>
    <t>Costo_diario</t>
  </si>
  <si>
    <t>Costo_equipo</t>
  </si>
  <si>
    <t>Total_equipo</t>
  </si>
  <si>
    <t>Alquiler andamios</t>
  </si>
  <si>
    <t>Total final</t>
  </si>
  <si>
    <t>Total final según terminación</t>
  </si>
  <si>
    <t>Costos fijos prorrateados</t>
  </si>
  <si>
    <t>Tipo</t>
  </si>
  <si>
    <t>Valor</t>
  </si>
  <si>
    <t>Costos fijos</t>
  </si>
  <si>
    <t>Total_transporte_ubicacion</t>
  </si>
  <si>
    <t>Total combustible_ubicación</t>
  </si>
  <si>
    <t>Total_indirectos</t>
  </si>
  <si>
    <t>Transporte</t>
  </si>
  <si>
    <t>Diario</t>
  </si>
  <si>
    <t>Combustible</t>
  </si>
  <si>
    <t>Seguros</t>
  </si>
  <si>
    <t>% costo directo</t>
  </si>
  <si>
    <t>Desgaste de herramientas</t>
  </si>
  <si>
    <t>Gestor</t>
  </si>
  <si>
    <t>Fijo por obra</t>
  </si>
  <si>
    <t>Tiempo de gestión</t>
  </si>
  <si>
    <t>Margen_%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</si>
</sst>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$]#,##0"/>
    <numFmt numFmtId="165" formatCode="d&quot;/&quot;m&quot;/&quot;yyyy"/>
  </numFmts>
  <fonts count="15">
    <font>
      <sz val="10.0"/>
      <color rgb="FF000000"/>
      <name val="Arial"/>
      <scheme val="minor"/>
    </font>
    <font>
      <b/>
      <sz val="16.0"/>
      <color rgb="FFFFFFFF"/>
      <name val="Arial"/>
    </font>
    <font/>
    <font>
      <color theme="1"/>
      <name val="Arial"/>
      <scheme val="minor"/>
    </font>
    <font>
      <b/>
      <sz val="12.0"/>
      <color rgb="FFFFFFFF"/>
      <name val="Arial"/>
      <scheme val="minor"/>
    </font>
    <font>
      <b/>
      <color theme="1"/>
      <name val="Arial"/>
    </font>
    <font>
      <b/>
      <color rgb="FFFFFFFF"/>
      <name val="Arial"/>
      <scheme val="minor"/>
    </font>
    <font>
      <b/>
      <color rgb="FF000000"/>
      <name val="Arial"/>
      <scheme val="minor"/>
    </font>
    <font>
      <b/>
      <sz val="12.0"/>
      <color theme="1"/>
      <name val="Arial"/>
      <scheme val="minor"/>
    </font>
    <font>
      <b/>
      <sz val="25.0"/>
      <color rgb="FFFFFFFF"/>
      <name val="Arial"/>
      <scheme val="minor"/>
    </font>
    <font>
      <b/>
      <color theme="1"/>
      <name val="Arial"/>
      <scheme val="minor"/>
    </font>
    <font>
      <b/>
      <sz val="14.0"/>
      <color rgb="FFFFFFFF"/>
      <name val="Arial"/>
      <scheme val="minor"/>
    </font>
    <font>
      <b/>
      <sz val="15.0"/>
      <color rgb="FFFFFFFF"/>
      <name val="Arial"/>
      <scheme val="minor"/>
    </font>
    <font>
      <b/>
      <sz val="20.0"/>
      <color theme="1"/>
      <name val="Arial"/>
      <scheme val="minor"/>
    </font>
    <font>
      <b/>
      <sz val="15.0"/>
      <color theme="1"/>
      <name val="Arial"/>
      <scheme val="minor"/>
    </font>
  </fonts>
  <fills count="18">
    <fill>
      <patternFill patternType="none"/>
    </fill>
    <fill>
      <patternFill patternType="lightGray"/>
    </fill>
    <fill>
      <patternFill patternType="solid">
        <fgColor rgb="FF4285F4"/>
        <bgColor rgb="FF4285F4"/>
      </patternFill>
    </fill>
    <fill>
      <patternFill patternType="solid">
        <fgColor rgb="FFFF0000"/>
        <bgColor rgb="FFFF0000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theme="7"/>
        <bgColor theme="7"/>
      </patternFill>
    </fill>
    <fill>
      <patternFill patternType="solid">
        <fgColor rgb="FF0B5394"/>
        <bgColor rgb="FF0B5394"/>
      </patternFill>
    </fill>
    <fill>
      <patternFill patternType="solid">
        <fgColor rgb="FFFF9900"/>
        <bgColor rgb="FFFF9900"/>
      </patternFill>
    </fill>
    <fill>
      <patternFill patternType="solid">
        <fgColor theme="5"/>
        <bgColor theme="5"/>
      </patternFill>
    </fill>
    <fill>
      <patternFill patternType="solid">
        <fgColor rgb="FF4A86E8"/>
        <bgColor rgb="FF4A86E8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9900FF"/>
        <bgColor rgb="FF9900FF"/>
      </patternFill>
    </fill>
    <fill>
      <patternFill patternType="solid">
        <fgColor rgb="FFD9D2E9"/>
        <bgColor rgb="FFD9D2E9"/>
      </patternFill>
    </fill>
    <fill>
      <patternFill patternType="solid">
        <fgColor rgb="FFFCE5CD"/>
        <bgColor rgb="FFFCE5CD"/>
      </patternFill>
    </fill>
    <fill>
      <patternFill patternType="solid">
        <fgColor rgb="FF00FF00"/>
        <bgColor rgb="FF00FF00"/>
      </patternFill>
    </fill>
    <fill>
      <patternFill patternType="solid">
        <fgColor rgb="FFB6D7A8"/>
        <bgColor rgb="FFB6D7A8"/>
      </patternFill>
    </fill>
  </fills>
  <borders count="40">
    <border/>
    <border>
      <left style="thin">
        <color rgb="FF4285F4"/>
      </left>
      <top style="thin">
        <color rgb="FF4285F4"/>
      </top>
    </border>
    <border>
      <top style="thin">
        <color rgb="FF4285F4"/>
      </top>
    </border>
    <border>
      <right style="thin">
        <color rgb="FF4285F4"/>
      </right>
      <top style="thin">
        <color rgb="FF4285F4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4285F4"/>
      </left>
      <bottom style="thin">
        <color rgb="FFFFFFFF"/>
      </bottom>
    </border>
    <border>
      <bottom style="thin">
        <color rgb="FFFFFFFF"/>
      </bottom>
    </border>
    <border>
      <right style="thin">
        <color rgb="FF4285F4"/>
      </right>
      <bottom style="thin">
        <color rgb="FFFFFFFF"/>
      </bottom>
    </border>
    <border>
      <left style="thin">
        <color rgb="FF4285F4"/>
      </left>
      <top style="thin">
        <color rgb="FFC9DAF8"/>
      </top>
      <bottom style="thin">
        <color rgb="FFC9DAF8"/>
      </bottom>
    </border>
    <border>
      <right style="thin">
        <color rgb="FFC9DAF8"/>
      </right>
      <top style="thin">
        <color rgb="FFC9DAF8"/>
      </top>
      <bottom style="thin">
        <color rgb="FFC9DAF8"/>
      </bottom>
    </border>
    <border>
      <left style="medium">
        <color rgb="FF1155CC"/>
      </left>
      <top style="medium">
        <color rgb="FF1155CC"/>
      </top>
      <bottom style="medium">
        <color rgb="FF1155CC"/>
      </bottom>
    </border>
    <border>
      <right style="medium">
        <color rgb="FF1155CC"/>
      </right>
      <top style="medium">
        <color rgb="FF1155CC"/>
      </top>
      <bottom style="medium">
        <color rgb="FF1155CC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bottom style="thin">
        <color rgb="FFC9DAF8"/>
      </bottom>
    </border>
    <border>
      <right style="thin">
        <color rgb="FF4285F4"/>
      </right>
      <bottom style="thin">
        <color rgb="FFC9DAF8"/>
      </bottom>
    </border>
    <border>
      <top style="thin">
        <color rgb="FFC9DAF8"/>
      </top>
    </border>
    <border>
      <right style="thin">
        <color rgb="FF4285F4"/>
      </right>
      <top style="thin">
        <color rgb="FFC9DAF8"/>
      </top>
    </border>
    <border>
      <left style="medium">
        <color rgb="FFFF6D01"/>
      </left>
      <top style="medium">
        <color rgb="FFFF6D01"/>
      </top>
      <bottom style="medium">
        <color rgb="FFFF6D01"/>
      </bottom>
    </border>
    <border>
      <right style="medium">
        <color rgb="FFFF6D01"/>
      </right>
      <top style="medium">
        <color rgb="FFFF6D01"/>
      </top>
      <bottom style="medium">
        <color rgb="FFFF6D01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EA4335"/>
      </left>
      <top style="medium">
        <color rgb="FFEA4335"/>
      </top>
      <bottom style="medium">
        <color rgb="FFEA4335"/>
      </bottom>
    </border>
    <border>
      <right style="medium">
        <color rgb="FFEA4335"/>
      </right>
      <top style="medium">
        <color rgb="FFEA4335"/>
      </top>
      <bottom style="medium">
        <color rgb="FFEA4335"/>
      </bottom>
    </border>
    <border>
      <left style="medium">
        <color rgb="FF000000"/>
      </left>
    </border>
    <border>
      <right style="medium">
        <color rgb="FF000000"/>
      </right>
    </border>
    <border>
      <right style="medium">
        <color rgb="FF34A853"/>
      </right>
      <top style="medium">
        <color rgb="FF34A853"/>
      </top>
      <bottom style="medium">
        <color rgb="FF34A853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0" fontId="3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0" fillId="3" fontId="4" numFmtId="0" xfId="0" applyAlignment="1" applyFill="1" applyFont="1">
      <alignment horizontal="center" readingOrder="0"/>
    </xf>
    <xf borderId="0" fillId="3" fontId="4" numFmtId="164" xfId="0" applyAlignment="1" applyFont="1" applyNumberFormat="1">
      <alignment horizontal="center"/>
    </xf>
    <xf borderId="8" fillId="4" fontId="5" numFmtId="0" xfId="0" applyAlignment="1" applyBorder="1" applyFill="1" applyFont="1">
      <alignment shrinkToFit="0" vertical="bottom" wrapText="1"/>
    </xf>
    <xf borderId="9" fillId="0" fontId="2" numFmtId="0" xfId="0" applyBorder="1" applyFont="1"/>
    <xf borderId="10" fillId="5" fontId="5" numFmtId="0" xfId="0" applyAlignment="1" applyBorder="1" applyFill="1" applyFont="1">
      <alignment horizontal="center" vertical="bottom"/>
    </xf>
    <xf borderId="11" fillId="0" fontId="2" numFmtId="0" xfId="0" applyBorder="1" applyFont="1"/>
    <xf borderId="4" fillId="6" fontId="6" numFmtId="0" xfId="0" applyAlignment="1" applyBorder="1" applyFill="1" applyFont="1">
      <alignment horizontal="center" readingOrder="0"/>
    </xf>
    <xf borderId="4" fillId="6" fontId="7" numFmtId="9" xfId="0" applyAlignment="1" applyBorder="1" applyFont="1" applyNumberFormat="1">
      <alignment horizontal="center" readingOrder="0"/>
    </xf>
    <xf borderId="10" fillId="0" fontId="5" numFmtId="165" xfId="0" applyAlignment="1" applyBorder="1" applyFont="1" applyNumberFormat="1">
      <alignment horizontal="center" vertical="bottom"/>
    </xf>
    <xf borderId="12" fillId="0" fontId="8" numFmtId="0" xfId="0" applyAlignment="1" applyBorder="1" applyFont="1">
      <alignment horizontal="center"/>
    </xf>
    <xf borderId="13" fillId="0" fontId="2" numFmtId="0" xfId="0" applyBorder="1" applyFont="1"/>
    <xf borderId="10" fillId="0" fontId="5" numFmtId="0" xfId="0" applyAlignment="1" applyBorder="1" applyFont="1">
      <alignment horizontal="center" vertical="bottom"/>
    </xf>
    <xf borderId="4" fillId="6" fontId="6" numFmtId="164" xfId="0" applyAlignment="1" applyBorder="1" applyFont="1" applyNumberFormat="1">
      <alignment horizontal="center"/>
    </xf>
    <xf borderId="14" fillId="4" fontId="5" numFmtId="165" xfId="0" applyAlignment="1" applyBorder="1" applyFont="1" applyNumberFormat="1">
      <alignment horizontal="center" vertical="bottom"/>
    </xf>
    <xf borderId="15" fillId="0" fontId="2" numFmtId="0" xfId="0" applyBorder="1" applyFont="1"/>
    <xf borderId="4" fillId="7" fontId="9" numFmtId="0" xfId="0" applyAlignment="1" applyBorder="1" applyFill="1" applyFont="1">
      <alignment horizontal="center" readingOrder="0"/>
    </xf>
    <xf borderId="4" fillId="7" fontId="9" numFmtId="164" xfId="0" applyAlignment="1" applyBorder="1" applyFont="1" applyNumberFormat="1">
      <alignment horizontal="center"/>
    </xf>
    <xf borderId="16" fillId="4" fontId="5" numFmtId="1" xfId="0" applyAlignment="1" applyBorder="1" applyFont="1" applyNumberFormat="1">
      <alignment horizontal="center" vertical="bottom"/>
    </xf>
    <xf borderId="17" fillId="0" fontId="2" numFmtId="0" xfId="0" applyBorder="1" applyFont="1"/>
    <xf borderId="0" fillId="8" fontId="4" numFmtId="0" xfId="0" applyAlignment="1" applyFill="1" applyFont="1">
      <alignment horizontal="center" readingOrder="0"/>
    </xf>
    <xf borderId="0" fillId="8" fontId="6" numFmtId="0" xfId="0" applyAlignment="1" applyFont="1">
      <alignment readingOrder="0"/>
    </xf>
    <xf borderId="0" fillId="0" fontId="3" numFmtId="0" xfId="0" applyAlignment="1" applyFont="1">
      <alignment readingOrder="0"/>
    </xf>
    <xf borderId="18" fillId="5" fontId="10" numFmtId="0" xfId="0" applyAlignment="1" applyBorder="1" applyFont="1">
      <alignment horizontal="center" readingOrder="0"/>
    </xf>
    <xf borderId="19" fillId="0" fontId="2" numFmtId="0" xfId="0" applyBorder="1" applyFont="1"/>
    <xf borderId="13" fillId="0" fontId="3" numFmtId="0" xfId="0" applyBorder="1" applyFont="1"/>
    <xf borderId="20" fillId="0" fontId="3" numFmtId="0" xfId="0" applyBorder="1" applyFont="1"/>
    <xf borderId="0" fillId="9" fontId="4" numFmtId="0" xfId="0" applyAlignment="1" applyFill="1" applyFont="1">
      <alignment horizontal="center" readingOrder="0"/>
    </xf>
    <xf borderId="12" fillId="0" fontId="3" numFmtId="0" xfId="0" applyBorder="1" applyFont="1"/>
    <xf borderId="21" fillId="10" fontId="4" numFmtId="0" xfId="0" applyAlignment="1" applyBorder="1" applyFill="1" applyFont="1">
      <alignment horizontal="center" readingOrder="0"/>
    </xf>
    <xf borderId="22" fillId="0" fontId="2" numFmtId="0" xfId="0" applyBorder="1" applyFont="1"/>
    <xf borderId="0" fillId="9" fontId="6" numFmtId="0" xfId="0" applyAlignment="1" applyFont="1">
      <alignment readingOrder="0"/>
    </xf>
    <xf borderId="23" fillId="5" fontId="10" numFmtId="0" xfId="0" applyAlignment="1" applyBorder="1" applyFont="1">
      <alignment horizontal="center" readingOrder="0"/>
    </xf>
    <xf borderId="24" fillId="0" fontId="2" numFmtId="0" xfId="0" applyBorder="1" applyFont="1"/>
    <xf borderId="25" fillId="9" fontId="4" numFmtId="0" xfId="0" applyAlignment="1" applyBorder="1" applyFont="1">
      <alignment horizontal="center" readingOrder="0"/>
    </xf>
    <xf borderId="26" fillId="0" fontId="2" numFmtId="0" xfId="0" applyBorder="1" applyFont="1"/>
    <xf borderId="25" fillId="11" fontId="3" numFmtId="0" xfId="0" applyAlignment="1" applyBorder="1" applyFill="1" applyFont="1">
      <alignment readingOrder="0"/>
    </xf>
    <xf borderId="26" fillId="11" fontId="3" numFmtId="0" xfId="0" applyBorder="1" applyFont="1"/>
    <xf borderId="25" fillId="11" fontId="8" numFmtId="0" xfId="0" applyAlignment="1" applyBorder="1" applyFont="1">
      <alignment readingOrder="0"/>
    </xf>
    <xf borderId="26" fillId="11" fontId="8" numFmtId="164" xfId="0" applyBorder="1" applyFont="1" applyNumberFormat="1"/>
    <xf borderId="25" fillId="6" fontId="4" numFmtId="0" xfId="0" applyAlignment="1" applyBorder="1" applyFont="1">
      <alignment horizontal="center" readingOrder="0"/>
    </xf>
    <xf borderId="25" fillId="12" fontId="3" numFmtId="0" xfId="0" applyAlignment="1" applyBorder="1" applyFill="1" applyFont="1">
      <alignment readingOrder="0"/>
    </xf>
    <xf borderId="26" fillId="12" fontId="3" numFmtId="164" xfId="0" applyBorder="1" applyFont="1" applyNumberFormat="1"/>
    <xf borderId="0" fillId="6" fontId="4" numFmtId="0" xfId="0" applyAlignment="1" applyFont="1">
      <alignment horizontal="center" readingOrder="0"/>
    </xf>
    <xf borderId="0" fillId="6" fontId="6" numFmtId="0" xfId="0" applyAlignment="1" applyFont="1">
      <alignment readingOrder="0"/>
    </xf>
    <xf borderId="27" fillId="0" fontId="3" numFmtId="0" xfId="0" applyAlignment="1" applyBorder="1" applyFont="1">
      <alignment readingOrder="0"/>
    </xf>
    <xf borderId="28" fillId="0" fontId="3" numFmtId="0" xfId="0" applyBorder="1" applyFont="1"/>
    <xf borderId="25" fillId="12" fontId="8" numFmtId="0" xfId="0" applyAlignment="1" applyBorder="1" applyFont="1">
      <alignment readingOrder="0"/>
    </xf>
    <xf borderId="26" fillId="12" fontId="8" numFmtId="164" xfId="0" applyBorder="1" applyFont="1" applyNumberFormat="1"/>
    <xf borderId="25" fillId="13" fontId="4" numFmtId="0" xfId="0" applyAlignment="1" applyBorder="1" applyFill="1" applyFont="1">
      <alignment horizontal="center" readingOrder="0"/>
    </xf>
    <xf borderId="29" fillId="14" fontId="8" numFmtId="0" xfId="0" applyAlignment="1" applyBorder="1" applyFill="1" applyFont="1">
      <alignment readingOrder="0"/>
    </xf>
    <xf borderId="30" fillId="14" fontId="8" numFmtId="164" xfId="0" applyBorder="1" applyFont="1" applyNumberFormat="1"/>
    <xf borderId="0" fillId="10" fontId="11" numFmtId="0" xfId="0" applyAlignment="1" applyFont="1">
      <alignment horizontal="center" readingOrder="0"/>
    </xf>
    <xf borderId="31" fillId="10" fontId="6" numFmtId="0" xfId="0" applyAlignment="1" applyBorder="1" applyFont="1">
      <alignment readingOrder="0"/>
    </xf>
    <xf borderId="31" fillId="4" fontId="3" numFmtId="0" xfId="0" applyAlignment="1" applyBorder="1" applyFont="1">
      <alignment horizontal="right"/>
    </xf>
    <xf borderId="21" fillId="8" fontId="12" numFmtId="0" xfId="0" applyAlignment="1" applyBorder="1" applyFont="1">
      <alignment horizontal="center" readingOrder="0" shrinkToFit="0" vertical="center" wrapText="1"/>
    </xf>
    <xf borderId="32" fillId="8" fontId="4" numFmtId="0" xfId="0" applyAlignment="1" applyBorder="1" applyFont="1">
      <alignment horizontal="center" readingOrder="0"/>
    </xf>
    <xf borderId="33" fillId="8" fontId="4" numFmtId="0" xfId="0" applyAlignment="1" applyBorder="1" applyFont="1">
      <alignment horizontal="center" readingOrder="0"/>
    </xf>
    <xf borderId="25" fillId="0" fontId="2" numFmtId="0" xfId="0" applyBorder="1" applyFont="1"/>
    <xf borderId="21" fillId="8" fontId="6" numFmtId="0" xfId="0" applyAlignment="1" applyBorder="1" applyFont="1">
      <alignment horizontal="center" readingOrder="0"/>
    </xf>
    <xf borderId="25" fillId="15" fontId="3" numFmtId="0" xfId="0" applyAlignment="1" applyBorder="1" applyFill="1" applyFont="1">
      <alignment readingOrder="0"/>
    </xf>
    <xf borderId="26" fillId="0" fontId="3" numFmtId="0" xfId="0" applyAlignment="1" applyBorder="1" applyFont="1">
      <alignment readingOrder="0"/>
    </xf>
    <xf borderId="29" fillId="15" fontId="3" numFmtId="0" xfId="0" applyAlignment="1" applyBorder="1" applyFont="1">
      <alignment readingOrder="0"/>
    </xf>
    <xf borderId="30" fillId="0" fontId="3" numFmtId="0" xfId="0" applyAlignment="1" applyBorder="1" applyFont="1">
      <alignment readingOrder="0"/>
    </xf>
    <xf borderId="25" fillId="15" fontId="3" numFmtId="0" xfId="0" applyAlignment="1" applyBorder="1" applyFont="1">
      <alignment horizontal="left" readingOrder="0"/>
    </xf>
    <xf borderId="29" fillId="15" fontId="3" numFmtId="0" xfId="0" applyAlignment="1" applyBorder="1" applyFont="1">
      <alignment horizontal="left" readingOrder="0"/>
    </xf>
    <xf borderId="29" fillId="0" fontId="2" numFmtId="0" xfId="0" applyBorder="1" applyFont="1"/>
    <xf borderId="0" fillId="0" fontId="3" numFmtId="0" xfId="0" applyAlignment="1" applyFont="1">
      <alignment shrinkToFit="0" wrapText="1"/>
    </xf>
    <xf borderId="34" fillId="9" fontId="12" numFmtId="0" xfId="0" applyAlignment="1" applyBorder="1" applyFont="1">
      <alignment horizontal="center" readingOrder="0" shrinkToFit="0" vertical="center" wrapText="1"/>
    </xf>
    <xf borderId="21" fillId="9" fontId="4" numFmtId="0" xfId="0" applyAlignment="1" applyBorder="1" applyFont="1">
      <alignment horizontal="center" readingOrder="0"/>
    </xf>
    <xf borderId="22" fillId="9" fontId="4" numFmtId="0" xfId="0" applyAlignment="1" applyBorder="1" applyFont="1">
      <alignment horizontal="center" readingOrder="0"/>
    </xf>
    <xf borderId="35" fillId="9" fontId="4" numFmtId="0" xfId="0" applyAlignment="1" applyBorder="1" applyFont="1">
      <alignment horizontal="center" readingOrder="0" shrinkToFit="0" wrapText="1"/>
    </xf>
    <xf borderId="35" fillId="0" fontId="2" numFmtId="0" xfId="0" applyBorder="1" applyFont="1"/>
    <xf borderId="21" fillId="9" fontId="4" numFmtId="0" xfId="0" applyAlignment="1" applyBorder="1" applyFont="1">
      <alignment horizontal="center" readingOrder="0" shrinkToFit="0" wrapText="1"/>
    </xf>
    <xf borderId="36" fillId="0" fontId="2" numFmtId="0" xfId="0" applyBorder="1" applyFont="1"/>
    <xf borderId="30" fillId="0" fontId="2" numFmtId="0" xfId="0" applyBorder="1" applyFont="1"/>
    <xf borderId="0" fillId="9" fontId="6" numFmtId="0" xfId="0" applyAlignment="1" applyFont="1">
      <alignment readingOrder="0" shrinkToFit="0" wrapText="1"/>
    </xf>
    <xf borderId="26" fillId="9" fontId="6" numFmtId="0" xfId="0" applyAlignment="1" applyBorder="1" applyFont="1">
      <alignment readingOrder="0" shrinkToFit="0" wrapText="1"/>
    </xf>
    <xf borderId="25" fillId="9" fontId="6" numFmtId="0" xfId="0" applyAlignment="1" applyBorder="1" applyFont="1">
      <alignment readingOrder="0" shrinkToFit="0" wrapText="1"/>
    </xf>
    <xf borderId="26" fillId="0" fontId="3" numFmtId="164" xfId="0" applyAlignment="1" applyBorder="1" applyFont="1" applyNumberFormat="1">
      <alignment readingOrder="0"/>
    </xf>
    <xf borderId="0" fillId="0" fontId="3" numFmtId="164" xfId="0" applyFont="1" applyNumberFormat="1"/>
    <xf borderId="0" fillId="0" fontId="3" numFmtId="0" xfId="0" applyFont="1"/>
    <xf borderId="0" fillId="11" fontId="13" numFmtId="164" xfId="0" applyAlignment="1" applyFont="1" applyNumberFormat="1">
      <alignment horizontal="center" shrinkToFit="0" vertical="center" wrapText="1"/>
    </xf>
    <xf borderId="0" fillId="11" fontId="14" numFmtId="0" xfId="0" applyAlignment="1" applyFont="1">
      <alignment horizontal="center" shrinkToFit="0" vertical="center" wrapText="1"/>
    </xf>
    <xf borderId="26" fillId="11" fontId="13" numFmtId="0" xfId="0" applyAlignment="1" applyBorder="1" applyFont="1">
      <alignment horizontal="center" shrinkToFit="0" vertical="center" wrapText="1"/>
    </xf>
    <xf borderId="37" fillId="0" fontId="2" numFmtId="0" xfId="0" applyBorder="1" applyFont="1"/>
    <xf borderId="29" fillId="11" fontId="3" numFmtId="0" xfId="0" applyAlignment="1" applyBorder="1" applyFont="1">
      <alignment readingOrder="0"/>
    </xf>
    <xf borderId="30" fillId="0" fontId="3" numFmtId="164" xfId="0" applyAlignment="1" applyBorder="1" applyFont="1" applyNumberFormat="1">
      <alignment readingOrder="0"/>
    </xf>
    <xf borderId="38" fillId="0" fontId="3" numFmtId="0" xfId="0" applyAlignment="1" applyBorder="1" applyFont="1">
      <alignment readingOrder="0"/>
    </xf>
    <xf borderId="38" fillId="0" fontId="3" numFmtId="164" xfId="0" applyBorder="1" applyFont="1" applyNumberFormat="1"/>
    <xf borderId="38" fillId="0" fontId="3" numFmtId="0" xfId="0" applyBorder="1" applyFont="1"/>
    <xf borderId="38" fillId="0" fontId="2" numFmtId="0" xfId="0" applyBorder="1" applyFont="1"/>
    <xf borderId="34" fillId="6" fontId="12" numFmtId="0" xfId="0" applyAlignment="1" applyBorder="1" applyFont="1">
      <alignment horizontal="center" readingOrder="0" shrinkToFit="0" vertical="center" wrapText="1"/>
    </xf>
    <xf borderId="21" fillId="6" fontId="4" numFmtId="0" xfId="0" applyAlignment="1" applyBorder="1" applyFont="1">
      <alignment readingOrder="0" shrinkToFit="0" wrapText="1"/>
    </xf>
    <xf borderId="35" fillId="6" fontId="4" numFmtId="0" xfId="0" applyAlignment="1" applyBorder="1" applyFont="1">
      <alignment readingOrder="0" shrinkToFit="0" wrapText="1"/>
    </xf>
    <xf borderId="22" fillId="6" fontId="4" numFmtId="0" xfId="0" applyAlignment="1" applyBorder="1" applyFont="1">
      <alignment readingOrder="0" shrinkToFit="0" wrapText="1"/>
    </xf>
    <xf borderId="0" fillId="0" fontId="3" numFmtId="164" xfId="0" applyAlignment="1" applyFont="1" applyNumberFormat="1">
      <alignment readingOrder="0"/>
    </xf>
    <xf borderId="26" fillId="12" fontId="14" numFmtId="164" xfId="0" applyAlignment="1" applyBorder="1" applyFont="1" applyNumberFormat="1">
      <alignment horizontal="center" vertical="center"/>
    </xf>
    <xf borderId="29" fillId="12" fontId="3" numFmtId="0" xfId="0" applyAlignment="1" applyBorder="1" applyFont="1">
      <alignment readingOrder="0"/>
    </xf>
    <xf borderId="38" fillId="0" fontId="3" numFmtId="164" xfId="0" applyAlignment="1" applyBorder="1" applyFont="1" applyNumberFormat="1">
      <alignment readingOrder="0"/>
    </xf>
    <xf borderId="21" fillId="0" fontId="3" numFmtId="0" xfId="0" applyBorder="1" applyFont="1"/>
    <xf borderId="38" fillId="0" fontId="3" numFmtId="9" xfId="0" applyAlignment="1" applyBorder="1" applyFont="1" applyNumberFormat="1">
      <alignment readingOrder="0"/>
    </xf>
    <xf borderId="30" fillId="12" fontId="14" numFmtId="164" xfId="0" applyAlignment="1" applyBorder="1" applyFont="1" applyNumberFormat="1">
      <alignment horizontal="center" vertical="center"/>
    </xf>
    <xf borderId="39" fillId="6" fontId="4" numFmtId="0" xfId="0" applyAlignment="1" applyBorder="1" applyFont="1">
      <alignment readingOrder="0" shrinkToFit="0" wrapText="1"/>
    </xf>
    <xf borderId="33" fillId="12" fontId="14" numFmtId="164" xfId="0" applyAlignment="1" applyBorder="1" applyFont="1" applyNumberFormat="1">
      <alignment horizontal="center" vertical="center"/>
    </xf>
    <xf borderId="33" fillId="12" fontId="13" numFmtId="164" xfId="0" applyAlignment="1" applyBorder="1" applyFont="1" applyNumberFormat="1">
      <alignment horizontal="center" vertical="center"/>
    </xf>
    <xf borderId="0" fillId="0" fontId="3" numFmtId="0" xfId="0" applyAlignment="1" applyFont="1">
      <alignment readingOrder="0" shrinkToFit="0" wrapText="1"/>
    </xf>
    <xf borderId="34" fillId="13" fontId="12" numFmtId="0" xfId="0" applyAlignment="1" applyBorder="1" applyFont="1">
      <alignment horizontal="center" readingOrder="0" shrinkToFit="0" vertical="center" wrapText="1"/>
    </xf>
    <xf borderId="35" fillId="13" fontId="4" numFmtId="0" xfId="0" applyAlignment="1" applyBorder="1" applyFont="1">
      <alignment readingOrder="0" shrinkToFit="0" wrapText="1"/>
    </xf>
    <xf borderId="22" fillId="13" fontId="4" numFmtId="0" xfId="0" applyAlignment="1" applyBorder="1" applyFont="1">
      <alignment readingOrder="0" shrinkToFit="0" wrapText="1"/>
    </xf>
    <xf borderId="0" fillId="14" fontId="3" numFmtId="0" xfId="0" applyAlignment="1" applyFont="1">
      <alignment readingOrder="0"/>
    </xf>
    <xf borderId="26" fillId="14" fontId="13" numFmtId="164" xfId="0" applyAlignment="1" applyBorder="1" applyFont="1" applyNumberFormat="1">
      <alignment horizontal="center" vertical="center"/>
    </xf>
    <xf borderId="38" fillId="14" fontId="3" numFmtId="0" xfId="0" applyAlignment="1" applyBorder="1" applyFont="1">
      <alignment readingOrder="0"/>
    </xf>
    <xf borderId="21" fillId="16" fontId="14" numFmtId="0" xfId="0" applyAlignment="1" applyBorder="1" applyFill="1" applyFont="1">
      <alignment horizontal="center" readingOrder="0" vertical="center"/>
    </xf>
    <xf borderId="22" fillId="17" fontId="3" numFmtId="9" xfId="0" applyAlignment="1" applyBorder="1" applyFill="1" applyFont="1" applyNumberFormat="1">
      <alignment readingOrder="0"/>
    </xf>
    <xf borderId="26" fillId="17" fontId="3" numFmtId="9" xfId="0" applyAlignment="1" applyBorder="1" applyFont="1" applyNumberFormat="1">
      <alignment readingOrder="0"/>
    </xf>
    <xf borderId="30" fillId="17" fontId="3" numFmtId="9" xfId="0" applyAlignment="1" applyBorder="1" applyFont="1" applyNumberFormat="1">
      <alignment readingOrder="0"/>
    </xf>
    <xf borderId="0" fillId="0" fontId="3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63"/>
    <col customWidth="1" min="7" max="7" width="23.63"/>
    <col customWidth="1" min="8" max="8" width="20.25"/>
  </cols>
  <sheetData>
    <row r="1">
      <c r="A1" s="1" t="s">
        <v>0</v>
      </c>
      <c r="B1" s="2"/>
      <c r="C1" s="2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>
      <c r="A2" s="5"/>
      <c r="B2" s="6"/>
      <c r="C2" s="6"/>
      <c r="D2" s="7"/>
      <c r="E2" s="4"/>
      <c r="F2" s="4"/>
      <c r="G2" s="8" t="s">
        <v>1</v>
      </c>
      <c r="H2" s="9">
        <f>DB!C49+DB!H53+DB!N28</f>
        <v>100376.791</v>
      </c>
      <c r="I2" s="4"/>
      <c r="J2" s="4"/>
      <c r="K2" s="4"/>
      <c r="L2" s="4"/>
      <c r="M2" s="4"/>
      <c r="N2" s="4"/>
      <c r="O2" s="4"/>
      <c r="P2" s="4"/>
    </row>
    <row r="3">
      <c r="A3" s="10" t="s">
        <v>2</v>
      </c>
      <c r="B3" s="11"/>
      <c r="C3" s="12" t="s">
        <v>3</v>
      </c>
      <c r="D3" s="13"/>
      <c r="E3" s="4"/>
      <c r="F3" s="4"/>
      <c r="G3" s="14" t="s">
        <v>4</v>
      </c>
      <c r="H3" s="15">
        <v>0.25</v>
      </c>
      <c r="J3" s="4"/>
      <c r="K3" s="4"/>
      <c r="L3" s="4"/>
      <c r="M3" s="4"/>
      <c r="N3" s="4"/>
      <c r="O3" s="4"/>
      <c r="P3" s="4"/>
    </row>
    <row r="4">
      <c r="A4" s="10" t="s">
        <v>5</v>
      </c>
      <c r="B4" s="11"/>
      <c r="C4" s="16">
        <v>45993.0</v>
      </c>
      <c r="D4" s="13"/>
      <c r="E4" s="4"/>
      <c r="F4" s="4"/>
      <c r="G4" s="17" t="str">
        <f>IF(H3&lt;0.15,"🔴 No tomar",IF(H3&lt;0.22,"🟡 Justo","🟢 Rentable"))
</f>
        <v>🟢 Rentable</v>
      </c>
      <c r="H4" s="18"/>
      <c r="I4" s="4"/>
      <c r="J4" s="4"/>
      <c r="K4" s="4"/>
      <c r="L4" s="4"/>
      <c r="M4" s="4"/>
      <c r="N4" s="4"/>
      <c r="O4" s="4"/>
      <c r="P4" s="4"/>
    </row>
    <row r="5">
      <c r="A5" s="10" t="s">
        <v>6</v>
      </c>
      <c r="B5" s="11"/>
      <c r="C5" s="19">
        <v>0.0</v>
      </c>
      <c r="D5" s="13"/>
      <c r="E5" s="4"/>
      <c r="F5" s="4"/>
      <c r="G5" s="14" t="s">
        <v>7</v>
      </c>
      <c r="H5" s="20">
        <f>H2*H3</f>
        <v>25094.19775</v>
      </c>
      <c r="I5" s="4"/>
      <c r="J5" s="4"/>
      <c r="K5" s="4"/>
      <c r="L5" s="4"/>
      <c r="M5" s="4"/>
      <c r="N5" s="4"/>
      <c r="O5" s="4"/>
      <c r="P5" s="4"/>
    </row>
    <row r="6">
      <c r="A6" s="10" t="s">
        <v>8</v>
      </c>
      <c r="B6" s="11"/>
      <c r="C6" s="21">
        <f>C4+C14</f>
        <v>46003</v>
      </c>
      <c r="D6" s="22"/>
      <c r="E6" s="4"/>
      <c r="F6" s="4"/>
      <c r="G6" s="23" t="s">
        <v>9</v>
      </c>
      <c r="H6" s="24">
        <f>H2+H5</f>
        <v>125470.9888</v>
      </c>
      <c r="J6" s="4"/>
      <c r="K6" s="4"/>
      <c r="L6" s="4"/>
      <c r="M6" s="4"/>
      <c r="N6" s="4"/>
      <c r="O6" s="4"/>
      <c r="P6" s="4"/>
    </row>
    <row r="7">
      <c r="A7" s="10" t="s">
        <v>10</v>
      </c>
      <c r="B7" s="11"/>
      <c r="C7" s="25">
        <f>C6-C4</f>
        <v>10</v>
      </c>
      <c r="D7" s="26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</row>
    <row r="8">
      <c r="A8" s="27" t="s">
        <v>11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</row>
    <row r="9">
      <c r="A9" s="28" t="s">
        <v>12</v>
      </c>
      <c r="C9" s="29" t="s">
        <v>13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>
      <c r="A10" s="28" t="s">
        <v>14</v>
      </c>
      <c r="C10" s="29" t="s">
        <v>15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</row>
    <row r="11">
      <c r="A11" s="28" t="s">
        <v>16</v>
      </c>
      <c r="C11" s="30">
        <v>25.0</v>
      </c>
      <c r="D11" s="31"/>
      <c r="E11" s="32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</row>
    <row r="12">
      <c r="A12" s="28" t="s">
        <v>17</v>
      </c>
      <c r="C12" s="29">
        <v>2.0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</row>
    <row r="13">
      <c r="A13" s="28" t="s">
        <v>18</v>
      </c>
      <c r="C13" s="29" t="s">
        <v>19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</row>
    <row r="14">
      <c r="A14" s="28" t="s">
        <v>20</v>
      </c>
      <c r="C14" s="30">
        <v>10.0</v>
      </c>
      <c r="D14" s="31"/>
      <c r="E14" s="4"/>
      <c r="F14" s="4"/>
      <c r="G14" s="33"/>
      <c r="H14" s="33"/>
      <c r="I14" s="4"/>
      <c r="J14" s="4"/>
      <c r="K14" s="4"/>
      <c r="L14" s="4"/>
      <c r="M14" s="4"/>
      <c r="N14" s="4"/>
      <c r="O14" s="4"/>
      <c r="P14" s="4"/>
    </row>
    <row r="15">
      <c r="A15" s="34" t="s">
        <v>21</v>
      </c>
      <c r="C15" s="34" t="s">
        <v>22</v>
      </c>
      <c r="E15" s="4"/>
      <c r="F15" s="35" t="str">
        <f>IF(E15/H2&gt;0.6,"⚠️ Mano de obra &gt; 60% del total (revisar rendimientos / precio)","")
</f>
        <v/>
      </c>
      <c r="G15" s="36" t="s">
        <v>23</v>
      </c>
      <c r="H15" s="37"/>
      <c r="I15" s="32"/>
      <c r="J15" s="4"/>
      <c r="K15" s="4"/>
      <c r="L15" s="4"/>
      <c r="M15" s="4"/>
      <c r="N15" s="4"/>
      <c r="O15" s="4"/>
      <c r="P15" s="4"/>
    </row>
    <row r="16">
      <c r="A16" s="38" t="s">
        <v>24</v>
      </c>
      <c r="C16" s="39">
        <v>1.0</v>
      </c>
      <c r="D16" s="40"/>
      <c r="E16" s="32"/>
      <c r="F16" s="35"/>
      <c r="G16" s="41" t="s">
        <v>21</v>
      </c>
      <c r="H16" s="42"/>
      <c r="I16" s="32"/>
      <c r="J16" s="4"/>
      <c r="K16" s="4"/>
      <c r="L16" s="4"/>
      <c r="M16" s="4"/>
      <c r="N16" s="4"/>
      <c r="O16" s="4"/>
      <c r="P16" s="4"/>
    </row>
    <row r="17">
      <c r="A17" s="38" t="s">
        <v>25</v>
      </c>
      <c r="C17" s="39">
        <v>1.0</v>
      </c>
      <c r="D17" s="40"/>
      <c r="E17" s="32"/>
      <c r="F17" s="35"/>
      <c r="G17" s="43" t="s">
        <v>26</v>
      </c>
      <c r="H17" s="44">
        <f>DB!P28</f>
        <v>46.2</v>
      </c>
      <c r="I17" s="32"/>
      <c r="J17" s="4"/>
      <c r="K17" s="4"/>
      <c r="L17" s="4"/>
      <c r="M17" s="4"/>
      <c r="N17" s="4"/>
      <c r="O17" s="4"/>
      <c r="P17" s="4"/>
    </row>
    <row r="18">
      <c r="A18" s="38" t="s">
        <v>27</v>
      </c>
      <c r="C18" s="39">
        <v>2.0</v>
      </c>
      <c r="D18" s="40"/>
      <c r="E18" s="32"/>
      <c r="F18" s="35"/>
      <c r="G18" s="45" t="s">
        <v>28</v>
      </c>
      <c r="H18" s="46">
        <f>DB!N28</f>
        <v>20350</v>
      </c>
      <c r="I18" s="32"/>
      <c r="J18" s="4"/>
      <c r="K18" s="4"/>
      <c r="L18" s="4"/>
      <c r="M18" s="4"/>
      <c r="N18" s="4"/>
      <c r="O18" s="4"/>
      <c r="P18" s="4"/>
    </row>
    <row r="19">
      <c r="A19" s="38" t="s">
        <v>29</v>
      </c>
      <c r="C19" s="39">
        <v>1.0</v>
      </c>
      <c r="D19" s="40"/>
      <c r="E19" s="32"/>
      <c r="F19" s="35"/>
      <c r="G19" s="47" t="s">
        <v>30</v>
      </c>
      <c r="H19" s="42"/>
      <c r="I19" s="32"/>
      <c r="J19" s="4"/>
      <c r="K19" s="4"/>
      <c r="L19" s="4"/>
      <c r="M19" s="4"/>
      <c r="N19" s="4"/>
      <c r="O19" s="4"/>
      <c r="P19" s="4"/>
    </row>
    <row r="20">
      <c r="A20" s="38" t="s">
        <v>31</v>
      </c>
      <c r="C20" s="39">
        <v>1.0</v>
      </c>
      <c r="D20" s="40"/>
      <c r="E20" s="32"/>
      <c r="F20" s="35"/>
      <c r="G20" s="48" t="s">
        <v>32</v>
      </c>
      <c r="H20" s="49">
        <f>DB!F36</f>
        <v>1320</v>
      </c>
      <c r="I20" s="32"/>
      <c r="J20" s="4"/>
      <c r="K20" s="4"/>
      <c r="L20" s="4"/>
      <c r="M20" s="4"/>
      <c r="N20" s="4"/>
      <c r="O20" s="4"/>
      <c r="P20" s="4"/>
    </row>
    <row r="21">
      <c r="A21" s="50" t="s">
        <v>33</v>
      </c>
      <c r="C21" s="50" t="s">
        <v>34</v>
      </c>
      <c r="E21" s="4"/>
      <c r="F21" s="35"/>
      <c r="G21" s="48" t="s">
        <v>35</v>
      </c>
      <c r="H21" s="49">
        <f>DB!F37</f>
        <v>5346</v>
      </c>
      <c r="I21" s="32"/>
      <c r="J21" s="4"/>
      <c r="K21" s="4"/>
      <c r="L21" s="4"/>
      <c r="M21" s="4"/>
      <c r="N21" s="4"/>
      <c r="O21" s="4"/>
      <c r="P21" s="4"/>
    </row>
    <row r="22">
      <c r="A22" s="51" t="s">
        <v>36</v>
      </c>
      <c r="C22" s="52">
        <v>1.0</v>
      </c>
      <c r="D22" s="32"/>
      <c r="E22" s="32"/>
      <c r="F22" s="35"/>
      <c r="G22" s="48" t="s">
        <v>37</v>
      </c>
      <c r="H22" s="49">
        <f>DB!F38</f>
        <v>15444</v>
      </c>
      <c r="I22" s="32"/>
      <c r="J22" s="4"/>
      <c r="K22" s="4"/>
      <c r="L22" s="4"/>
      <c r="M22" s="4"/>
      <c r="N22" s="4"/>
      <c r="O22" s="4"/>
      <c r="P22" s="4"/>
    </row>
    <row r="23">
      <c r="A23" s="51" t="s">
        <v>38</v>
      </c>
      <c r="C23" s="52">
        <v>1.0</v>
      </c>
      <c r="D23" s="32"/>
      <c r="E23" s="32"/>
      <c r="F23" s="35"/>
      <c r="G23" s="48" t="s">
        <v>39</v>
      </c>
      <c r="H23" s="49">
        <f>DB!F39</f>
        <v>1464.75</v>
      </c>
      <c r="I23" s="32"/>
      <c r="J23" s="4"/>
      <c r="K23" s="4"/>
      <c r="L23" s="4"/>
      <c r="M23" s="4"/>
      <c r="N23" s="4"/>
      <c r="O23" s="4"/>
      <c r="P23" s="4"/>
    </row>
    <row r="24">
      <c r="A24" s="51" t="s">
        <v>40</v>
      </c>
      <c r="C24" s="52">
        <v>1.0</v>
      </c>
      <c r="D24" s="32"/>
      <c r="E24" s="32"/>
      <c r="F24" s="35"/>
      <c r="G24" s="48" t="s">
        <v>41</v>
      </c>
      <c r="H24" s="49">
        <f>DB!F40</f>
        <v>4413.75</v>
      </c>
      <c r="I24" s="32"/>
      <c r="J24" s="4"/>
      <c r="K24" s="4"/>
      <c r="L24" s="4"/>
      <c r="M24" s="4"/>
      <c r="N24" s="4"/>
      <c r="O24" s="4"/>
      <c r="P24" s="4"/>
    </row>
    <row r="25">
      <c r="A25" s="51" t="s">
        <v>42</v>
      </c>
      <c r="C25" s="52">
        <v>1.0</v>
      </c>
      <c r="D25" s="32"/>
      <c r="E25" s="32"/>
      <c r="F25" s="35"/>
      <c r="G25" s="48" t="s">
        <v>43</v>
      </c>
      <c r="H25" s="49">
        <f>DB!D42</f>
        <v>2239.08</v>
      </c>
      <c r="I25" s="32"/>
      <c r="J25" s="4"/>
      <c r="K25" s="4"/>
      <c r="L25" s="4"/>
      <c r="M25" s="4"/>
      <c r="N25" s="4"/>
      <c r="O25" s="4"/>
      <c r="P25" s="4"/>
    </row>
    <row r="26">
      <c r="A26" s="53"/>
      <c r="B26" s="53"/>
      <c r="C26" s="53"/>
      <c r="D26" s="32"/>
      <c r="E26" s="32"/>
      <c r="F26" s="35"/>
      <c r="G26" s="48" t="s">
        <v>33</v>
      </c>
      <c r="H26" s="49">
        <f>DB!F44</f>
        <v>8600</v>
      </c>
      <c r="I26" s="32"/>
      <c r="J26" s="4"/>
      <c r="K26" s="4"/>
      <c r="L26" s="4"/>
      <c r="M26" s="4"/>
      <c r="N26" s="4"/>
      <c r="O26" s="4"/>
      <c r="P26" s="4"/>
    </row>
    <row r="27">
      <c r="A27" s="53"/>
      <c r="B27" s="53"/>
      <c r="C27" s="53"/>
      <c r="D27" s="4"/>
      <c r="E27" s="4"/>
      <c r="F27" s="35"/>
      <c r="G27" s="54" t="s">
        <v>28</v>
      </c>
      <c r="H27" s="55">
        <f>SUM(H20:H26)</f>
        <v>38827.58</v>
      </c>
      <c r="I27" s="32"/>
      <c r="J27" s="4"/>
      <c r="K27" s="4"/>
      <c r="L27" s="4"/>
      <c r="M27" s="4"/>
      <c r="N27" s="4"/>
      <c r="O27" s="4"/>
      <c r="P27" s="4"/>
    </row>
    <row r="28">
      <c r="A28" s="53"/>
      <c r="B28" s="53"/>
      <c r="C28" s="53"/>
      <c r="D28" s="4"/>
      <c r="E28" s="4"/>
      <c r="F28" s="35"/>
      <c r="G28" s="54" t="s">
        <v>44</v>
      </c>
      <c r="H28" s="55">
        <f>DB!C49</f>
        <v>46593.096</v>
      </c>
      <c r="I28" s="32"/>
      <c r="J28" s="4"/>
      <c r="K28" s="4"/>
      <c r="L28" s="4"/>
      <c r="M28" s="4"/>
      <c r="N28" s="4"/>
      <c r="O28" s="4"/>
      <c r="P28" s="4"/>
    </row>
    <row r="29">
      <c r="A29" s="4"/>
      <c r="B29" s="4"/>
      <c r="C29" s="4"/>
      <c r="D29" s="4"/>
      <c r="E29" s="4"/>
      <c r="F29" s="35"/>
      <c r="G29" s="56" t="s">
        <v>45</v>
      </c>
      <c r="H29" s="42"/>
      <c r="I29" s="32"/>
      <c r="J29" s="4"/>
      <c r="K29" s="4"/>
      <c r="L29" s="4"/>
      <c r="M29" s="4"/>
      <c r="N29" s="4"/>
      <c r="O29" s="4"/>
      <c r="P29" s="4"/>
    </row>
    <row r="30">
      <c r="A30" s="4"/>
      <c r="B30" s="4"/>
      <c r="C30" s="4"/>
      <c r="D30" s="4"/>
      <c r="E30" s="4"/>
      <c r="F30" s="35"/>
      <c r="G30" s="57" t="s">
        <v>28</v>
      </c>
      <c r="H30" s="58">
        <f>DB!H53</f>
        <v>33433.695</v>
      </c>
      <c r="I30" s="32"/>
      <c r="J30" s="4"/>
      <c r="K30" s="4"/>
      <c r="L30" s="4"/>
      <c r="M30" s="4"/>
      <c r="N30" s="4"/>
      <c r="O30" s="4"/>
      <c r="P30" s="4"/>
    </row>
    <row r="31">
      <c r="A31" s="4"/>
      <c r="B31" s="4"/>
      <c r="C31" s="4"/>
      <c r="D31" s="4"/>
      <c r="E31" s="4"/>
      <c r="F31" s="4"/>
      <c r="G31" s="53"/>
      <c r="H31" s="53"/>
      <c r="I31" s="4"/>
      <c r="J31" s="4"/>
      <c r="K31" s="4"/>
      <c r="L31" s="4"/>
      <c r="M31" s="4"/>
      <c r="N31" s="4"/>
      <c r="O31" s="4"/>
      <c r="P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</row>
  </sheetData>
  <mergeCells count="46">
    <mergeCell ref="A1:D2"/>
    <mergeCell ref="A3:B3"/>
    <mergeCell ref="C3:D3"/>
    <mergeCell ref="A4:B4"/>
    <mergeCell ref="C4:D4"/>
    <mergeCell ref="G4:H4"/>
    <mergeCell ref="C5:D5"/>
    <mergeCell ref="A5:B5"/>
    <mergeCell ref="A6:B6"/>
    <mergeCell ref="C6:D6"/>
    <mergeCell ref="A7:B7"/>
    <mergeCell ref="C7:D7"/>
    <mergeCell ref="A8:D8"/>
    <mergeCell ref="C9:D9"/>
    <mergeCell ref="G15:H15"/>
    <mergeCell ref="G16:H16"/>
    <mergeCell ref="G19:H19"/>
    <mergeCell ref="G29:H29"/>
    <mergeCell ref="A9:B9"/>
    <mergeCell ref="A10:B10"/>
    <mergeCell ref="A11:B11"/>
    <mergeCell ref="A12:B12"/>
    <mergeCell ref="A13:B13"/>
    <mergeCell ref="A14:B14"/>
    <mergeCell ref="A15:B15"/>
    <mergeCell ref="C17:D17"/>
    <mergeCell ref="C18:D18"/>
    <mergeCell ref="C19:D19"/>
    <mergeCell ref="C20:D20"/>
    <mergeCell ref="C10:D10"/>
    <mergeCell ref="C11:D11"/>
    <mergeCell ref="C12:D12"/>
    <mergeCell ref="C13:D13"/>
    <mergeCell ref="C14:D14"/>
    <mergeCell ref="C15:D15"/>
    <mergeCell ref="C16:D16"/>
    <mergeCell ref="A23:B23"/>
    <mergeCell ref="A24:B24"/>
    <mergeCell ref="A25:B25"/>
    <mergeCell ref="A16:B16"/>
    <mergeCell ref="A17:B17"/>
    <mergeCell ref="A18:B18"/>
    <mergeCell ref="A19:B19"/>
    <mergeCell ref="A20:B20"/>
    <mergeCell ref="A21:B21"/>
    <mergeCell ref="A22:B22"/>
  </mergeCells>
  <dataValidations>
    <dataValidation type="list" allowBlank="1" showErrorMessage="1" sqref="H3">
      <formula1>DB!$B$61:$B$64</formula1>
    </dataValidation>
    <dataValidation type="list" allowBlank="1" showErrorMessage="1" sqref="C9">
      <formula1>"Obra nueva,Reforma,Mantenimiento,Pintura,Seco"</formula1>
    </dataValidation>
    <dataValidation type="list" allowBlank="1" showErrorMessage="1" sqref="C12">
      <formula1>DB!$B$15:$B$19</formula1>
    </dataValidation>
    <dataValidation type="list" allowBlank="1" showErrorMessage="1" sqref="C13">
      <formula1>DB!$B$21:$B$23</formula1>
    </dataValidation>
    <dataValidation type="list" allowBlank="1" showErrorMessage="1" sqref="C10">
      <formula1>DB!$B$11:$B$13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38"/>
    <col customWidth="1" min="2" max="2" width="18.0"/>
    <col customWidth="1" min="3" max="3" width="18.88"/>
    <col customWidth="1" min="4" max="4" width="15.75"/>
    <col customWidth="1" min="5" max="5" width="16.5"/>
    <col customWidth="1" min="6" max="6" width="18.0"/>
    <col customWidth="1" min="7" max="7" width="24.13"/>
    <col customWidth="1" min="8" max="8" width="17.5"/>
    <col customWidth="1" min="9" max="9" width="15.5"/>
    <col customWidth="1" min="11" max="11" width="17.38"/>
    <col customWidth="1" min="13" max="13" width="14.0"/>
    <col customWidth="1" min="14" max="14" width="18.13"/>
    <col customWidth="1" min="16" max="16" width="22.88"/>
  </cols>
  <sheetData>
    <row r="1">
      <c r="A1" s="59" t="s">
        <v>46</v>
      </c>
    </row>
    <row r="2">
      <c r="A2" s="60" t="s">
        <v>47</v>
      </c>
      <c r="B2" s="61" t="str">
        <f>VIEWER!C9</f>
        <v>Obra nueva</v>
      </c>
    </row>
    <row r="3">
      <c r="A3" s="60" t="s">
        <v>48</v>
      </c>
      <c r="B3" s="61">
        <f>VIEWER!C11</f>
        <v>25</v>
      </c>
    </row>
    <row r="4">
      <c r="A4" s="60" t="s">
        <v>49</v>
      </c>
      <c r="B4" s="61">
        <f>VIEWER!C12</f>
        <v>2</v>
      </c>
    </row>
    <row r="5">
      <c r="A5" s="60" t="s">
        <v>50</v>
      </c>
      <c r="B5" s="61" t="str">
        <f>VIEWER!C13</f>
        <v>Alto</v>
      </c>
    </row>
    <row r="6">
      <c r="A6" s="60" t="s">
        <v>51</v>
      </c>
      <c r="B6" s="61">
        <f>VIEWER!C14</f>
        <v>10</v>
      </c>
    </row>
    <row r="9">
      <c r="A9" s="62" t="s">
        <v>52</v>
      </c>
      <c r="B9" s="63" t="s">
        <v>53</v>
      </c>
      <c r="C9" s="64" t="s">
        <v>54</v>
      </c>
    </row>
    <row r="10">
      <c r="A10" s="65"/>
      <c r="B10" s="66" t="s">
        <v>14</v>
      </c>
      <c r="C10" s="37"/>
    </row>
    <row r="11">
      <c r="A11" s="65"/>
      <c r="B11" s="67" t="s">
        <v>55</v>
      </c>
      <c r="C11" s="68">
        <v>1.0</v>
      </c>
    </row>
    <row r="12">
      <c r="A12" s="65"/>
      <c r="B12" s="67" t="s">
        <v>15</v>
      </c>
      <c r="C12" s="68">
        <v>1.05</v>
      </c>
    </row>
    <row r="13">
      <c r="A13" s="65"/>
      <c r="B13" s="69" t="s">
        <v>56</v>
      </c>
      <c r="C13" s="70">
        <v>1.15</v>
      </c>
    </row>
    <row r="14">
      <c r="A14" s="65"/>
      <c r="B14" s="66" t="s">
        <v>17</v>
      </c>
      <c r="C14" s="37"/>
    </row>
    <row r="15">
      <c r="A15" s="65"/>
      <c r="B15" s="71">
        <v>1.0</v>
      </c>
      <c r="C15" s="68">
        <v>1.0</v>
      </c>
    </row>
    <row r="16">
      <c r="A16" s="65"/>
      <c r="B16" s="71">
        <v>2.0</v>
      </c>
      <c r="C16" s="68">
        <v>1.1</v>
      </c>
    </row>
    <row r="17">
      <c r="A17" s="65"/>
      <c r="B17" s="71">
        <v>3.0</v>
      </c>
      <c r="C17" s="68">
        <v>1.25</v>
      </c>
    </row>
    <row r="18">
      <c r="A18" s="65"/>
      <c r="B18" s="71">
        <v>4.0</v>
      </c>
      <c r="C18" s="68">
        <v>1.4</v>
      </c>
    </row>
    <row r="19">
      <c r="A19" s="65"/>
      <c r="B19" s="72">
        <v>5.0</v>
      </c>
      <c r="C19" s="70">
        <v>1.6</v>
      </c>
    </row>
    <row r="20">
      <c r="A20" s="65"/>
      <c r="B20" s="66" t="s">
        <v>18</v>
      </c>
      <c r="C20" s="37"/>
    </row>
    <row r="21">
      <c r="A21" s="65"/>
      <c r="B21" s="67" t="s">
        <v>57</v>
      </c>
      <c r="C21" s="68">
        <v>0.9</v>
      </c>
    </row>
    <row r="22">
      <c r="A22" s="65"/>
      <c r="B22" s="67" t="s">
        <v>58</v>
      </c>
      <c r="C22" s="68">
        <v>1.0</v>
      </c>
    </row>
    <row r="23">
      <c r="A23" s="73"/>
      <c r="B23" s="69" t="s">
        <v>19</v>
      </c>
      <c r="C23" s="70">
        <v>1.2</v>
      </c>
    </row>
    <row r="24">
      <c r="A24" s="74"/>
    </row>
    <row r="25">
      <c r="A25" s="74"/>
    </row>
    <row r="26">
      <c r="A26" s="75" t="s">
        <v>21</v>
      </c>
      <c r="B26" s="76" t="s">
        <v>53</v>
      </c>
      <c r="C26" s="77" t="s">
        <v>59</v>
      </c>
      <c r="D26" s="78" t="s">
        <v>60</v>
      </c>
      <c r="E26" s="79"/>
      <c r="F26" s="79"/>
      <c r="G26" s="79"/>
      <c r="H26" s="37"/>
      <c r="I26" s="80" t="s">
        <v>61</v>
      </c>
      <c r="J26" s="79"/>
      <c r="K26" s="79"/>
      <c r="L26" s="79"/>
      <c r="M26" s="79"/>
      <c r="N26" s="79"/>
      <c r="O26" s="79"/>
      <c r="P26" s="37"/>
    </row>
    <row r="27">
      <c r="A27" s="81"/>
      <c r="B27" s="73"/>
      <c r="C27" s="82"/>
      <c r="D27" s="83" t="s">
        <v>62</v>
      </c>
      <c r="E27" s="83" t="s">
        <v>13</v>
      </c>
      <c r="F27" s="83" t="s">
        <v>63</v>
      </c>
      <c r="G27" s="83" t="s">
        <v>39</v>
      </c>
      <c r="H27" s="84" t="s">
        <v>64</v>
      </c>
      <c r="I27" s="85" t="s">
        <v>65</v>
      </c>
      <c r="J27" s="83" t="s">
        <v>59</v>
      </c>
      <c r="K27" s="83" t="s">
        <v>66</v>
      </c>
      <c r="L27" s="83" t="s">
        <v>26</v>
      </c>
      <c r="M27" s="83" t="s">
        <v>67</v>
      </c>
      <c r="N27" s="83" t="s">
        <v>68</v>
      </c>
      <c r="O27" s="83" t="s">
        <v>69</v>
      </c>
      <c r="P27" s="84" t="s">
        <v>70</v>
      </c>
    </row>
    <row r="28">
      <c r="A28" s="81"/>
      <c r="B28" s="43" t="s">
        <v>24</v>
      </c>
      <c r="C28" s="86">
        <v>650.0</v>
      </c>
      <c r="D28" s="29">
        <v>0.45</v>
      </c>
      <c r="E28" s="29">
        <v>0.4</v>
      </c>
      <c r="F28" s="29">
        <v>0.25</v>
      </c>
      <c r="G28" s="29">
        <v>0.18</v>
      </c>
      <c r="H28" s="68">
        <v>0.35</v>
      </c>
      <c r="I28" s="43" t="str">
        <f t="shared" ref="I28:I32" si="1">B28</f>
        <v>Oficial</v>
      </c>
      <c r="J28" s="87">
        <f t="shared" ref="J28:J32" si="2">INDEX($C$28:$C$32, MATCH(I28, $B$28:$B$32, 0))
</f>
        <v>650</v>
      </c>
      <c r="K28" s="29">
        <f>VIEWER!C16</f>
        <v>1</v>
      </c>
      <c r="L28" s="88">
        <f t="shared" ref="L28:L32" si="3">$B$3 * INDEX($D$28:$H$32,
 MATCH(I28, {"Oficial";"Medio oficial";"Ayudante";"Especialista";"Jefe de obra"}, 0),
 MATCH($B$2, $D$27:$H$27, 0)
) * K28
</f>
        <v>10</v>
      </c>
      <c r="M28" s="87">
        <f t="shared" ref="M28:M32" si="4">J28*L28</f>
        <v>6500</v>
      </c>
      <c r="N28" s="89">
        <f>SUM($M$28:$M$32)
</f>
        <v>20350</v>
      </c>
      <c r="O28" s="90">
        <f>SUM(L28:L32)
</f>
        <v>35</v>
      </c>
      <c r="P28" s="91">
        <f t="array" ref="P28">(INDEX($C$15:$C$19, MATCH(B4, DB!$B$15:$B$19, 0))*(INDEX($C$21:$C$23, MATCH(VIEWER!C13, DB!$B$21:$B$23, 0)))
)*O28</f>
        <v>46.2</v>
      </c>
    </row>
    <row r="29">
      <c r="A29" s="81"/>
      <c r="B29" s="43" t="s">
        <v>25</v>
      </c>
      <c r="C29" s="86">
        <v>520.0</v>
      </c>
      <c r="D29" s="29">
        <v>0.35</v>
      </c>
      <c r="E29" s="29">
        <v>0.3</v>
      </c>
      <c r="F29" s="29">
        <v>0.2</v>
      </c>
      <c r="G29" s="29">
        <v>0.15</v>
      </c>
      <c r="H29" s="68">
        <v>0.3</v>
      </c>
      <c r="I29" s="43" t="str">
        <f t="shared" si="1"/>
        <v>Medio oficial</v>
      </c>
      <c r="J29" s="87">
        <f t="shared" si="2"/>
        <v>520</v>
      </c>
      <c r="K29" s="29">
        <f>VIEWER!C17</f>
        <v>1</v>
      </c>
      <c r="L29" s="88">
        <f t="shared" si="3"/>
        <v>7.5</v>
      </c>
      <c r="M29" s="87">
        <f t="shared" si="4"/>
        <v>3900</v>
      </c>
      <c r="P29" s="42"/>
    </row>
    <row r="30">
      <c r="A30" s="81"/>
      <c r="B30" s="43" t="s">
        <v>27</v>
      </c>
      <c r="C30" s="86">
        <v>420.0</v>
      </c>
      <c r="D30" s="29">
        <v>0.3</v>
      </c>
      <c r="E30" s="29">
        <v>0.25</v>
      </c>
      <c r="F30" s="29">
        <v>0.2</v>
      </c>
      <c r="G30" s="29">
        <v>0.12</v>
      </c>
      <c r="H30" s="68">
        <v>0.25</v>
      </c>
      <c r="I30" s="43" t="str">
        <f t="shared" si="1"/>
        <v>Ayudante</v>
      </c>
      <c r="J30" s="87">
        <f t="shared" si="2"/>
        <v>420</v>
      </c>
      <c r="K30" s="29">
        <f>VIEWER!C18</f>
        <v>2</v>
      </c>
      <c r="L30" s="88">
        <f t="shared" si="3"/>
        <v>12.5</v>
      </c>
      <c r="M30" s="87">
        <f t="shared" si="4"/>
        <v>5250</v>
      </c>
      <c r="P30" s="42"/>
    </row>
    <row r="31">
      <c r="A31" s="81"/>
      <c r="B31" s="43" t="s">
        <v>29</v>
      </c>
      <c r="C31" s="86">
        <v>900.0</v>
      </c>
      <c r="D31" s="29">
        <v>0.15</v>
      </c>
      <c r="E31" s="29">
        <v>0.12</v>
      </c>
      <c r="F31" s="29">
        <v>0.1</v>
      </c>
      <c r="G31" s="29">
        <v>0.0</v>
      </c>
      <c r="H31" s="68">
        <v>0.1</v>
      </c>
      <c r="I31" s="43" t="str">
        <f t="shared" si="1"/>
        <v>Especialista</v>
      </c>
      <c r="J31" s="87">
        <f t="shared" si="2"/>
        <v>900</v>
      </c>
      <c r="K31" s="29">
        <f>VIEWER!C19</f>
        <v>1</v>
      </c>
      <c r="L31" s="88">
        <f t="shared" si="3"/>
        <v>3</v>
      </c>
      <c r="M31" s="87">
        <f t="shared" si="4"/>
        <v>2700</v>
      </c>
      <c r="P31" s="42"/>
    </row>
    <row r="32">
      <c r="A32" s="92"/>
      <c r="B32" s="93" t="s">
        <v>31</v>
      </c>
      <c r="C32" s="94">
        <v>1000.0</v>
      </c>
      <c r="D32" s="95">
        <v>0.1</v>
      </c>
      <c r="E32" s="95">
        <v>0.08</v>
      </c>
      <c r="F32" s="95">
        <v>0.06</v>
      </c>
      <c r="G32" s="95">
        <v>0.05</v>
      </c>
      <c r="H32" s="70">
        <v>0.07</v>
      </c>
      <c r="I32" s="93" t="str">
        <f t="shared" si="1"/>
        <v>Jefe de obra</v>
      </c>
      <c r="J32" s="96">
        <f t="shared" si="2"/>
        <v>1000</v>
      </c>
      <c r="K32" s="95">
        <f>VIEWER!C20</f>
        <v>1</v>
      </c>
      <c r="L32" s="97">
        <f t="shared" si="3"/>
        <v>2</v>
      </c>
      <c r="M32" s="96">
        <f t="shared" si="4"/>
        <v>2000</v>
      </c>
      <c r="N32" s="98"/>
      <c r="O32" s="98"/>
      <c r="P32" s="82"/>
    </row>
    <row r="34">
      <c r="A34" s="74"/>
    </row>
    <row r="35">
      <c r="A35" s="99" t="s">
        <v>30</v>
      </c>
      <c r="B35" s="100" t="s">
        <v>30</v>
      </c>
      <c r="C35" s="101" t="s">
        <v>71</v>
      </c>
      <c r="D35" s="101" t="s">
        <v>72</v>
      </c>
      <c r="E35" s="101" t="s">
        <v>73</v>
      </c>
      <c r="F35" s="101" t="s">
        <v>74</v>
      </c>
      <c r="G35" s="102" t="s">
        <v>75</v>
      </c>
    </row>
    <row r="36">
      <c r="A36" s="81"/>
      <c r="B36" s="48" t="s">
        <v>32</v>
      </c>
      <c r="C36" s="29">
        <v>0.1</v>
      </c>
      <c r="D36" s="103">
        <v>480.0</v>
      </c>
      <c r="E36" s="29">
        <v>0.1</v>
      </c>
      <c r="F36" s="87">
        <f t="shared" ref="F36:F40" si="5">$B$3 * C36 * D36 * (1 + E36)
</f>
        <v>1320</v>
      </c>
      <c r="G36" s="104">
        <f>SUM(F36:F40)
</f>
        <v>27988.5</v>
      </c>
    </row>
    <row r="37">
      <c r="A37" s="81"/>
      <c r="B37" s="48" t="s">
        <v>35</v>
      </c>
      <c r="C37" s="29">
        <v>0.9</v>
      </c>
      <c r="D37" s="103">
        <v>220.0</v>
      </c>
      <c r="E37" s="29">
        <v>0.08</v>
      </c>
      <c r="F37" s="87">
        <f t="shared" si="5"/>
        <v>5346</v>
      </c>
      <c r="G37" s="42"/>
    </row>
    <row r="38">
      <c r="A38" s="81"/>
      <c r="B38" s="48" t="s">
        <v>37</v>
      </c>
      <c r="C38" s="29">
        <v>1.1</v>
      </c>
      <c r="D38" s="103">
        <v>520.0</v>
      </c>
      <c r="E38" s="29">
        <v>0.08</v>
      </c>
      <c r="F38" s="87">
        <f t="shared" si="5"/>
        <v>15444</v>
      </c>
      <c r="G38" s="42"/>
    </row>
    <row r="39">
      <c r="A39" s="81"/>
      <c r="B39" s="48" t="s">
        <v>39</v>
      </c>
      <c r="C39" s="29">
        <v>0.18</v>
      </c>
      <c r="D39" s="103">
        <v>310.0</v>
      </c>
      <c r="E39" s="29">
        <v>0.05</v>
      </c>
      <c r="F39" s="87">
        <f t="shared" si="5"/>
        <v>1464.75</v>
      </c>
      <c r="G39" s="42"/>
    </row>
    <row r="40">
      <c r="A40" s="81"/>
      <c r="B40" s="105" t="s">
        <v>41</v>
      </c>
      <c r="C40" s="95">
        <v>3.0</v>
      </c>
      <c r="D40" s="106">
        <v>55.0</v>
      </c>
      <c r="E40" s="95">
        <v>0.07</v>
      </c>
      <c r="F40" s="96">
        <f t="shared" si="5"/>
        <v>4413.75</v>
      </c>
      <c r="G40" s="82"/>
    </row>
    <row r="41">
      <c r="A41" s="81"/>
      <c r="B41" s="107"/>
      <c r="C41" s="101" t="s">
        <v>76</v>
      </c>
      <c r="D41" s="102" t="s">
        <v>77</v>
      </c>
    </row>
    <row r="42">
      <c r="A42" s="81"/>
      <c r="B42" s="105" t="s">
        <v>78</v>
      </c>
      <c r="C42" s="108">
        <v>0.08</v>
      </c>
      <c r="D42" s="109">
        <f>G36 *C42 </f>
        <v>2239.08</v>
      </c>
    </row>
    <row r="43">
      <c r="A43" s="81"/>
      <c r="B43" s="100" t="s">
        <v>33</v>
      </c>
      <c r="C43" s="101" t="s">
        <v>79</v>
      </c>
      <c r="D43" s="101" t="s">
        <v>34</v>
      </c>
      <c r="E43" s="101" t="s">
        <v>80</v>
      </c>
      <c r="F43" s="102" t="s">
        <v>81</v>
      </c>
    </row>
    <row r="44">
      <c r="A44" s="81"/>
      <c r="B44" s="48" t="s">
        <v>82</v>
      </c>
      <c r="C44" s="103">
        <v>1800.0</v>
      </c>
      <c r="D44" s="88">
        <f>VIEWER!C22</f>
        <v>1</v>
      </c>
      <c r="E44" s="87">
        <f t="shared" ref="E44:E47" si="6">C44*D44</f>
        <v>1800</v>
      </c>
      <c r="F44" s="104">
        <f>SUM(E44:E47)
</f>
        <v>8600</v>
      </c>
    </row>
    <row r="45">
      <c r="A45" s="81"/>
      <c r="B45" s="48" t="s">
        <v>38</v>
      </c>
      <c r="C45" s="103">
        <v>3500.0</v>
      </c>
      <c r="D45" s="88">
        <f>VIEWER!C23</f>
        <v>1</v>
      </c>
      <c r="E45" s="87">
        <f t="shared" si="6"/>
        <v>3500</v>
      </c>
      <c r="F45" s="42"/>
    </row>
    <row r="46">
      <c r="A46" s="81"/>
      <c r="B46" s="48" t="s">
        <v>40</v>
      </c>
      <c r="C46" s="103">
        <v>2500.0</v>
      </c>
      <c r="D46" s="88">
        <f>VIEWER!C24</f>
        <v>1</v>
      </c>
      <c r="E46" s="87">
        <f t="shared" si="6"/>
        <v>2500</v>
      </c>
      <c r="F46" s="42"/>
    </row>
    <row r="47">
      <c r="A47" s="81"/>
      <c r="B47" s="105" t="s">
        <v>42</v>
      </c>
      <c r="C47" s="106">
        <v>800.0</v>
      </c>
      <c r="D47" s="97">
        <f>VIEWER!C25</f>
        <v>1</v>
      </c>
      <c r="E47" s="96">
        <f t="shared" si="6"/>
        <v>800</v>
      </c>
      <c r="F47" s="82"/>
    </row>
    <row r="48">
      <c r="A48" s="81"/>
      <c r="B48" s="110" t="s">
        <v>83</v>
      </c>
      <c r="C48" s="111">
        <f>G36+D42+F44</f>
        <v>38827.58</v>
      </c>
    </row>
    <row r="49">
      <c r="A49" s="92"/>
      <c r="B49" s="110" t="s">
        <v>84</v>
      </c>
      <c r="C49" s="112">
        <f t="array" ref="C49">(INDEX($C$21:$C$23, MATCH(VIEWER!C13, DB!$B$21:$B$23, 0)))*C48</f>
        <v>46593.096</v>
      </c>
    </row>
    <row r="50">
      <c r="A50" s="113"/>
      <c r="B50" s="29"/>
      <c r="C50" s="29"/>
      <c r="D50" s="29"/>
      <c r="E50" s="29"/>
      <c r="F50" s="29"/>
    </row>
    <row r="51">
      <c r="A51" s="113"/>
      <c r="B51" s="29"/>
      <c r="C51" s="29"/>
      <c r="D51" s="29"/>
      <c r="E51" s="29"/>
      <c r="F51" s="29"/>
    </row>
    <row r="52">
      <c r="A52" s="114" t="s">
        <v>45</v>
      </c>
      <c r="B52" s="115" t="s">
        <v>85</v>
      </c>
      <c r="C52" s="115" t="s">
        <v>86</v>
      </c>
      <c r="D52" s="115" t="s">
        <v>87</v>
      </c>
      <c r="E52" s="115" t="s">
        <v>88</v>
      </c>
      <c r="F52" s="115" t="s">
        <v>89</v>
      </c>
      <c r="G52" s="115" t="s">
        <v>90</v>
      </c>
      <c r="H52" s="116" t="s">
        <v>91</v>
      </c>
    </row>
    <row r="53">
      <c r="A53" s="81"/>
      <c r="B53" s="117" t="s">
        <v>92</v>
      </c>
      <c r="C53" s="117" t="s">
        <v>93</v>
      </c>
      <c r="D53" s="103">
        <v>1200.0</v>
      </c>
      <c r="E53" s="87">
        <f>D53*B6</f>
        <v>12000</v>
      </c>
      <c r="F53" s="87">
        <f t="array" ref="F53">INDEX(DB!$C$11:$C$13, MATCH(VIEWER!$C$10, DB!$B$11:$B$13, 0))*E53
</f>
        <v>12600</v>
      </c>
      <c r="G53" s="87"/>
      <c r="H53" s="118">
        <f>SUM(E55:E58)+F53+G54</f>
        <v>33433.695</v>
      </c>
    </row>
    <row r="54">
      <c r="A54" s="81"/>
      <c r="B54" s="117" t="s">
        <v>94</v>
      </c>
      <c r="C54" s="117" t="s">
        <v>93</v>
      </c>
      <c r="D54" s="103">
        <v>900.0</v>
      </c>
      <c r="E54" s="87">
        <f>D54*B6</f>
        <v>9000</v>
      </c>
      <c r="F54" s="87"/>
      <c r="G54" s="87">
        <f t="array" ref="G54">INDEX(DB!$C$11:$C$13, MATCH(VIEWER!$C$10, DB!$B$11:$B$13, 0))*E54
</f>
        <v>9450</v>
      </c>
      <c r="H54" s="42"/>
    </row>
    <row r="55">
      <c r="A55" s="81"/>
      <c r="B55" s="117" t="s">
        <v>95</v>
      </c>
      <c r="C55" s="117" t="s">
        <v>96</v>
      </c>
      <c r="D55" s="103">
        <v>0.03</v>
      </c>
      <c r="E55" s="87">
        <f t="shared" ref="E55:E56" si="7">($G$36+$N$28)*D55</f>
        <v>1450.155</v>
      </c>
      <c r="F55" s="87"/>
      <c r="G55" s="87"/>
      <c r="H55" s="42"/>
    </row>
    <row r="56">
      <c r="A56" s="81"/>
      <c r="B56" s="117" t="s">
        <v>97</v>
      </c>
      <c r="C56" s="117" t="s">
        <v>96</v>
      </c>
      <c r="D56" s="103">
        <v>0.04</v>
      </c>
      <c r="E56" s="87">
        <f t="shared" si="7"/>
        <v>1933.54</v>
      </c>
      <c r="F56" s="87"/>
      <c r="G56" s="87"/>
      <c r="H56" s="42"/>
    </row>
    <row r="57">
      <c r="A57" s="81"/>
      <c r="B57" s="117" t="s">
        <v>98</v>
      </c>
      <c r="C57" s="117" t="s">
        <v>99</v>
      </c>
      <c r="D57" s="103">
        <v>3000.0</v>
      </c>
      <c r="E57" s="87">
        <f t="shared" ref="E57:E58" si="8">D57</f>
        <v>3000</v>
      </c>
      <c r="F57" s="87"/>
      <c r="G57" s="87"/>
      <c r="H57" s="42"/>
    </row>
    <row r="58">
      <c r="A58" s="92"/>
      <c r="B58" s="119" t="s">
        <v>100</v>
      </c>
      <c r="C58" s="119" t="s">
        <v>99</v>
      </c>
      <c r="D58" s="106">
        <v>5000.0</v>
      </c>
      <c r="E58" s="96">
        <f t="shared" si="8"/>
        <v>5000</v>
      </c>
      <c r="F58" s="96"/>
      <c r="G58" s="96"/>
      <c r="H58" s="82"/>
    </row>
    <row r="59">
      <c r="A59" s="74"/>
    </row>
    <row r="60">
      <c r="A60" s="74"/>
    </row>
    <row r="61">
      <c r="A61" s="120" t="s">
        <v>101</v>
      </c>
      <c r="B61" s="121">
        <v>0.0</v>
      </c>
    </row>
    <row r="62">
      <c r="A62" s="65"/>
      <c r="B62" s="122">
        <v>0.1</v>
      </c>
    </row>
    <row r="63">
      <c r="A63" s="65"/>
      <c r="B63" s="122">
        <v>0.25</v>
      </c>
    </row>
    <row r="64">
      <c r="A64" s="73"/>
      <c r="B64" s="123">
        <v>0.5</v>
      </c>
      <c r="C64" s="124"/>
    </row>
    <row r="65">
      <c r="A65" s="74"/>
      <c r="C65" s="124"/>
    </row>
    <row r="66">
      <c r="A66" s="74"/>
    </row>
    <row r="67">
      <c r="A67" s="74"/>
    </row>
    <row r="68">
      <c r="A68" s="74"/>
    </row>
    <row r="69">
      <c r="A69" s="74"/>
    </row>
    <row r="70">
      <c r="A70" s="74"/>
    </row>
    <row r="71">
      <c r="A71" s="74"/>
    </row>
    <row r="72">
      <c r="A72" s="74"/>
    </row>
    <row r="73">
      <c r="A73" s="74"/>
    </row>
    <row r="74">
      <c r="A74" s="74"/>
    </row>
    <row r="75">
      <c r="A75" s="74"/>
    </row>
    <row r="76">
      <c r="A76" s="74"/>
    </row>
    <row r="77">
      <c r="A77" s="74"/>
    </row>
    <row r="78">
      <c r="A78" s="74"/>
    </row>
    <row r="79">
      <c r="A79" s="74"/>
    </row>
    <row r="80">
      <c r="A80" s="74"/>
    </row>
    <row r="81">
      <c r="A81" s="74"/>
    </row>
    <row r="82">
      <c r="A82" s="74"/>
    </row>
    <row r="83">
      <c r="A83" s="74"/>
    </row>
    <row r="84">
      <c r="A84" s="74"/>
    </row>
    <row r="85">
      <c r="A85" s="74"/>
    </row>
    <row r="86">
      <c r="A86" s="74"/>
    </row>
    <row r="87">
      <c r="A87" s="74"/>
    </row>
    <row r="88">
      <c r="A88" s="74"/>
    </row>
    <row r="89">
      <c r="A89" s="74"/>
    </row>
    <row r="90">
      <c r="A90" s="74"/>
    </row>
    <row r="91">
      <c r="A91" s="74"/>
    </row>
    <row r="92">
      <c r="A92" s="74"/>
    </row>
    <row r="93">
      <c r="A93" s="74"/>
    </row>
    <row r="94">
      <c r="A94" s="74"/>
    </row>
    <row r="95">
      <c r="A95" s="74"/>
    </row>
    <row r="96">
      <c r="A96" s="74"/>
    </row>
    <row r="97">
      <c r="A97" s="74"/>
    </row>
    <row r="98">
      <c r="A98" s="74"/>
    </row>
    <row r="99">
      <c r="A99" s="74"/>
    </row>
    <row r="100">
      <c r="A100" s="74"/>
    </row>
    <row r="101">
      <c r="A101" s="74"/>
    </row>
    <row r="102">
      <c r="A102" s="74"/>
    </row>
    <row r="103">
      <c r="A103" s="74"/>
    </row>
    <row r="104">
      <c r="A104" s="74"/>
    </row>
    <row r="105">
      <c r="A105" s="74"/>
    </row>
    <row r="106">
      <c r="A106" s="74"/>
    </row>
    <row r="107">
      <c r="A107" s="74"/>
    </row>
    <row r="108">
      <c r="A108" s="74"/>
    </row>
    <row r="109">
      <c r="A109" s="74"/>
    </row>
    <row r="110">
      <c r="A110" s="74"/>
    </row>
    <row r="111">
      <c r="A111" s="74"/>
    </row>
    <row r="112">
      <c r="A112" s="74"/>
    </row>
    <row r="113">
      <c r="A113" s="74"/>
    </row>
    <row r="114">
      <c r="A114" s="74"/>
    </row>
    <row r="115">
      <c r="A115" s="74"/>
    </row>
    <row r="116">
      <c r="A116" s="74"/>
    </row>
    <row r="117">
      <c r="A117" s="74"/>
    </row>
    <row r="118">
      <c r="A118" s="74"/>
    </row>
    <row r="119">
      <c r="A119" s="74"/>
    </row>
    <row r="120">
      <c r="A120" s="74"/>
    </row>
    <row r="121">
      <c r="A121" s="74"/>
    </row>
    <row r="122">
      <c r="A122" s="74"/>
    </row>
    <row r="123">
      <c r="A123" s="74"/>
    </row>
    <row r="124">
      <c r="A124" s="74"/>
    </row>
    <row r="125">
      <c r="A125" s="74"/>
    </row>
    <row r="126">
      <c r="A126" s="74"/>
    </row>
    <row r="127">
      <c r="A127" s="74"/>
    </row>
    <row r="128">
      <c r="A128" s="74"/>
    </row>
    <row r="129">
      <c r="A129" s="74"/>
    </row>
    <row r="130">
      <c r="A130" s="74"/>
    </row>
    <row r="131">
      <c r="A131" s="74"/>
    </row>
    <row r="132">
      <c r="A132" s="74"/>
    </row>
    <row r="133">
      <c r="A133" s="74"/>
    </row>
    <row r="134">
      <c r="A134" s="74"/>
    </row>
    <row r="135">
      <c r="A135" s="74"/>
    </row>
    <row r="136">
      <c r="A136" s="74"/>
    </row>
    <row r="137">
      <c r="A137" s="74"/>
    </row>
    <row r="138">
      <c r="A138" s="74"/>
    </row>
    <row r="139">
      <c r="A139" s="74"/>
    </row>
    <row r="140">
      <c r="A140" s="74"/>
    </row>
    <row r="141">
      <c r="A141" s="74"/>
    </row>
    <row r="142">
      <c r="A142" s="74"/>
    </row>
    <row r="143">
      <c r="A143" s="74"/>
    </row>
    <row r="144">
      <c r="A144" s="74"/>
    </row>
    <row r="145">
      <c r="A145" s="74"/>
    </row>
    <row r="146">
      <c r="A146" s="74"/>
    </row>
    <row r="147">
      <c r="A147" s="74"/>
    </row>
    <row r="148">
      <c r="A148" s="74"/>
    </row>
    <row r="149">
      <c r="A149" s="74"/>
    </row>
    <row r="150">
      <c r="A150" s="74"/>
    </row>
    <row r="151">
      <c r="A151" s="74"/>
    </row>
    <row r="152">
      <c r="A152" s="74"/>
    </row>
    <row r="153">
      <c r="A153" s="74"/>
    </row>
    <row r="154">
      <c r="A154" s="74"/>
    </row>
    <row r="155">
      <c r="A155" s="74"/>
    </row>
    <row r="156">
      <c r="A156" s="74"/>
    </row>
    <row r="157">
      <c r="A157" s="74"/>
    </row>
    <row r="158">
      <c r="A158" s="74"/>
    </row>
    <row r="159">
      <c r="A159" s="74"/>
    </row>
    <row r="160">
      <c r="A160" s="74"/>
    </row>
    <row r="161">
      <c r="A161" s="74"/>
    </row>
    <row r="162">
      <c r="A162" s="74"/>
    </row>
    <row r="163">
      <c r="A163" s="74"/>
    </row>
    <row r="164">
      <c r="A164" s="74"/>
    </row>
    <row r="165">
      <c r="A165" s="74"/>
    </row>
    <row r="166">
      <c r="A166" s="74"/>
    </row>
    <row r="167">
      <c r="A167" s="74"/>
    </row>
    <row r="168">
      <c r="A168" s="74"/>
    </row>
    <row r="169">
      <c r="A169" s="74"/>
    </row>
    <row r="170">
      <c r="A170" s="74"/>
    </row>
    <row r="171">
      <c r="A171" s="74"/>
    </row>
    <row r="172">
      <c r="A172" s="74"/>
    </row>
    <row r="173">
      <c r="A173" s="74"/>
    </row>
    <row r="174">
      <c r="A174" s="74"/>
    </row>
    <row r="175">
      <c r="A175" s="74"/>
    </row>
    <row r="176">
      <c r="A176" s="74"/>
    </row>
    <row r="177">
      <c r="A177" s="74"/>
    </row>
    <row r="178">
      <c r="A178" s="74"/>
    </row>
    <row r="179">
      <c r="A179" s="74"/>
    </row>
    <row r="180">
      <c r="A180" s="74"/>
    </row>
    <row r="181">
      <c r="A181" s="74"/>
    </row>
    <row r="182">
      <c r="A182" s="74"/>
    </row>
    <row r="183">
      <c r="A183" s="74"/>
    </row>
    <row r="184">
      <c r="A184" s="74"/>
    </row>
    <row r="185">
      <c r="A185" s="74"/>
    </row>
    <row r="186">
      <c r="A186" s="74"/>
    </row>
    <row r="187">
      <c r="A187" s="74"/>
    </row>
    <row r="188">
      <c r="A188" s="74"/>
    </row>
    <row r="189">
      <c r="A189" s="74"/>
    </row>
    <row r="190">
      <c r="A190" s="74"/>
    </row>
    <row r="191">
      <c r="A191" s="74"/>
    </row>
    <row r="192">
      <c r="A192" s="74"/>
    </row>
    <row r="193">
      <c r="A193" s="74"/>
    </row>
    <row r="194">
      <c r="A194" s="74"/>
    </row>
    <row r="195">
      <c r="A195" s="74"/>
    </row>
    <row r="196">
      <c r="A196" s="74"/>
    </row>
    <row r="197">
      <c r="A197" s="74"/>
    </row>
    <row r="198">
      <c r="A198" s="74"/>
    </row>
    <row r="199">
      <c r="A199" s="74"/>
    </row>
    <row r="200">
      <c r="A200" s="74"/>
    </row>
    <row r="201">
      <c r="A201" s="74"/>
    </row>
    <row r="202">
      <c r="A202" s="74"/>
    </row>
    <row r="203">
      <c r="A203" s="74"/>
    </row>
    <row r="204">
      <c r="A204" s="74"/>
    </row>
    <row r="205">
      <c r="A205" s="74"/>
    </row>
    <row r="206">
      <c r="A206" s="74"/>
    </row>
    <row r="207">
      <c r="A207" s="74"/>
    </row>
    <row r="208">
      <c r="A208" s="74"/>
    </row>
    <row r="209">
      <c r="A209" s="74"/>
    </row>
    <row r="210">
      <c r="A210" s="74"/>
    </row>
    <row r="211">
      <c r="A211" s="74"/>
    </row>
    <row r="212">
      <c r="A212" s="74"/>
    </row>
    <row r="213">
      <c r="A213" s="74"/>
    </row>
    <row r="214">
      <c r="A214" s="74"/>
    </row>
    <row r="215">
      <c r="A215" s="74"/>
    </row>
    <row r="216">
      <c r="A216" s="74"/>
    </row>
    <row r="217">
      <c r="A217" s="74"/>
    </row>
    <row r="218">
      <c r="A218" s="74"/>
    </row>
    <row r="219">
      <c r="A219" s="74"/>
    </row>
    <row r="220">
      <c r="A220" s="74"/>
    </row>
    <row r="221">
      <c r="A221" s="74"/>
    </row>
    <row r="222">
      <c r="A222" s="74"/>
    </row>
    <row r="223">
      <c r="A223" s="74"/>
    </row>
    <row r="224">
      <c r="A224" s="74"/>
    </row>
    <row r="225">
      <c r="A225" s="74"/>
    </row>
    <row r="226">
      <c r="A226" s="74"/>
    </row>
    <row r="227">
      <c r="A227" s="74"/>
    </row>
    <row r="228">
      <c r="A228" s="74"/>
    </row>
    <row r="229">
      <c r="A229" s="74"/>
    </row>
    <row r="230">
      <c r="A230" s="74"/>
    </row>
    <row r="231">
      <c r="A231" s="74"/>
    </row>
    <row r="232">
      <c r="A232" s="74"/>
    </row>
    <row r="233">
      <c r="A233" s="74"/>
    </row>
    <row r="234">
      <c r="A234" s="74"/>
    </row>
    <row r="235">
      <c r="A235" s="74"/>
    </row>
    <row r="236">
      <c r="A236" s="74"/>
    </row>
    <row r="237">
      <c r="A237" s="74"/>
    </row>
    <row r="238">
      <c r="A238" s="74"/>
    </row>
    <row r="239">
      <c r="A239" s="74"/>
    </row>
    <row r="240">
      <c r="A240" s="74"/>
    </row>
    <row r="241">
      <c r="A241" s="74"/>
    </row>
    <row r="242">
      <c r="A242" s="74"/>
    </row>
    <row r="243">
      <c r="A243" s="74"/>
    </row>
    <row r="244">
      <c r="A244" s="74"/>
    </row>
    <row r="245">
      <c r="A245" s="74"/>
    </row>
    <row r="246">
      <c r="A246" s="74"/>
    </row>
    <row r="247">
      <c r="A247" s="74"/>
    </row>
    <row r="248">
      <c r="A248" s="74"/>
    </row>
    <row r="249">
      <c r="A249" s="74"/>
    </row>
    <row r="250">
      <c r="A250" s="74"/>
    </row>
    <row r="251">
      <c r="A251" s="74"/>
    </row>
    <row r="252">
      <c r="A252" s="74"/>
    </row>
    <row r="253">
      <c r="A253" s="74"/>
    </row>
    <row r="254">
      <c r="A254" s="74"/>
    </row>
    <row r="255">
      <c r="A255" s="74"/>
    </row>
    <row r="256">
      <c r="A256" s="74"/>
    </row>
    <row r="257">
      <c r="A257" s="74"/>
    </row>
    <row r="258">
      <c r="A258" s="74"/>
    </row>
    <row r="259">
      <c r="A259" s="74"/>
    </row>
    <row r="260">
      <c r="A260" s="74"/>
    </row>
    <row r="261">
      <c r="A261" s="74"/>
    </row>
    <row r="262">
      <c r="A262" s="74"/>
    </row>
    <row r="263">
      <c r="A263" s="74"/>
    </row>
    <row r="264">
      <c r="A264" s="74"/>
    </row>
    <row r="265">
      <c r="A265" s="74"/>
    </row>
    <row r="266">
      <c r="A266" s="74"/>
    </row>
    <row r="267">
      <c r="A267" s="74"/>
    </row>
    <row r="268">
      <c r="A268" s="74"/>
    </row>
    <row r="269">
      <c r="A269" s="74"/>
    </row>
    <row r="270">
      <c r="A270" s="74"/>
    </row>
    <row r="271">
      <c r="A271" s="74"/>
    </row>
    <row r="272">
      <c r="A272" s="74"/>
    </row>
    <row r="273">
      <c r="A273" s="74"/>
    </row>
    <row r="274">
      <c r="A274" s="74"/>
    </row>
    <row r="275">
      <c r="A275" s="74"/>
    </row>
    <row r="276">
      <c r="A276" s="74"/>
    </row>
    <row r="277">
      <c r="A277" s="74"/>
    </row>
    <row r="278">
      <c r="A278" s="74"/>
    </row>
    <row r="279">
      <c r="A279" s="74"/>
    </row>
    <row r="280">
      <c r="A280" s="74"/>
    </row>
    <row r="281">
      <c r="A281" s="74"/>
    </row>
    <row r="282">
      <c r="A282" s="74"/>
    </row>
    <row r="283">
      <c r="A283" s="74"/>
    </row>
    <row r="284">
      <c r="A284" s="74"/>
    </row>
    <row r="285">
      <c r="A285" s="74"/>
    </row>
    <row r="286">
      <c r="A286" s="74"/>
    </row>
    <row r="287">
      <c r="A287" s="74"/>
    </row>
    <row r="288">
      <c r="A288" s="74"/>
    </row>
    <row r="289">
      <c r="A289" s="74"/>
    </row>
    <row r="290">
      <c r="A290" s="74"/>
    </row>
    <row r="291">
      <c r="A291" s="74"/>
    </row>
    <row r="292">
      <c r="A292" s="74"/>
    </row>
    <row r="293">
      <c r="A293" s="74"/>
    </row>
    <row r="294">
      <c r="A294" s="74"/>
    </row>
    <row r="295">
      <c r="A295" s="74"/>
    </row>
    <row r="296">
      <c r="A296" s="74"/>
    </row>
    <row r="297">
      <c r="A297" s="74"/>
    </row>
    <row r="298">
      <c r="A298" s="74"/>
    </row>
    <row r="299">
      <c r="A299" s="74"/>
    </row>
    <row r="300">
      <c r="A300" s="74"/>
    </row>
    <row r="301">
      <c r="A301" s="74"/>
    </row>
    <row r="302">
      <c r="A302" s="74"/>
    </row>
    <row r="303">
      <c r="A303" s="74"/>
    </row>
    <row r="304">
      <c r="A304" s="74"/>
    </row>
    <row r="305">
      <c r="A305" s="74"/>
    </row>
    <row r="306">
      <c r="A306" s="74"/>
    </row>
    <row r="307">
      <c r="A307" s="74"/>
    </row>
    <row r="308">
      <c r="A308" s="74"/>
    </row>
    <row r="309">
      <c r="A309" s="74"/>
    </row>
    <row r="310">
      <c r="A310" s="74"/>
    </row>
    <row r="311">
      <c r="A311" s="74"/>
    </row>
    <row r="312">
      <c r="A312" s="74"/>
    </row>
    <row r="313">
      <c r="A313" s="74"/>
    </row>
    <row r="314">
      <c r="A314" s="74"/>
    </row>
    <row r="315">
      <c r="A315" s="74"/>
    </row>
    <row r="316">
      <c r="A316" s="74"/>
    </row>
    <row r="317">
      <c r="A317" s="74"/>
    </row>
    <row r="318">
      <c r="A318" s="74"/>
    </row>
    <row r="319">
      <c r="A319" s="74"/>
    </row>
    <row r="320">
      <c r="A320" s="74"/>
    </row>
    <row r="321">
      <c r="A321" s="74"/>
    </row>
    <row r="322">
      <c r="A322" s="74"/>
    </row>
    <row r="323">
      <c r="A323" s="74"/>
    </row>
    <row r="324">
      <c r="A324" s="74"/>
    </row>
    <row r="325">
      <c r="A325" s="74"/>
    </row>
    <row r="326">
      <c r="A326" s="74"/>
    </row>
    <row r="327">
      <c r="A327" s="74"/>
    </row>
    <row r="328">
      <c r="A328" s="74"/>
    </row>
    <row r="329">
      <c r="A329" s="74"/>
    </row>
    <row r="330">
      <c r="A330" s="74"/>
    </row>
    <row r="331">
      <c r="A331" s="74"/>
    </row>
    <row r="332">
      <c r="A332" s="74"/>
    </row>
    <row r="333">
      <c r="A333" s="74"/>
    </row>
    <row r="334">
      <c r="A334" s="74"/>
    </row>
    <row r="335">
      <c r="A335" s="74"/>
    </row>
    <row r="336">
      <c r="A336" s="74"/>
    </row>
    <row r="337">
      <c r="A337" s="74"/>
    </row>
    <row r="338">
      <c r="A338" s="74"/>
    </row>
    <row r="339">
      <c r="A339" s="74"/>
    </row>
    <row r="340">
      <c r="A340" s="74"/>
    </row>
    <row r="341">
      <c r="A341" s="74"/>
    </row>
    <row r="342">
      <c r="A342" s="74"/>
    </row>
    <row r="343">
      <c r="A343" s="74"/>
    </row>
    <row r="344">
      <c r="A344" s="74"/>
    </row>
    <row r="345">
      <c r="A345" s="74"/>
    </row>
    <row r="346">
      <c r="A346" s="74"/>
    </row>
    <row r="347">
      <c r="A347" s="74"/>
    </row>
    <row r="348">
      <c r="A348" s="74"/>
    </row>
    <row r="349">
      <c r="A349" s="74"/>
    </row>
    <row r="350">
      <c r="A350" s="74"/>
    </row>
    <row r="351">
      <c r="A351" s="74"/>
    </row>
    <row r="352">
      <c r="A352" s="74"/>
    </row>
    <row r="353">
      <c r="A353" s="74"/>
    </row>
    <row r="354">
      <c r="A354" s="74"/>
    </row>
    <row r="355">
      <c r="A355" s="74"/>
    </row>
    <row r="356">
      <c r="A356" s="74"/>
    </row>
    <row r="357">
      <c r="A357" s="74"/>
    </row>
    <row r="358">
      <c r="A358" s="74"/>
    </row>
    <row r="359">
      <c r="A359" s="74"/>
    </row>
    <row r="360">
      <c r="A360" s="74"/>
    </row>
    <row r="361">
      <c r="A361" s="74"/>
    </row>
    <row r="362">
      <c r="A362" s="74"/>
    </row>
    <row r="363">
      <c r="A363" s="74"/>
    </row>
    <row r="364">
      <c r="A364" s="74"/>
    </row>
    <row r="365">
      <c r="A365" s="74"/>
    </row>
    <row r="366">
      <c r="A366" s="74"/>
    </row>
    <row r="367">
      <c r="A367" s="74"/>
    </row>
    <row r="368">
      <c r="A368" s="74"/>
    </row>
    <row r="369">
      <c r="A369" s="74"/>
    </row>
    <row r="370">
      <c r="A370" s="74"/>
    </row>
    <row r="371">
      <c r="A371" s="74"/>
    </row>
    <row r="372">
      <c r="A372" s="74"/>
    </row>
    <row r="373">
      <c r="A373" s="74"/>
    </row>
    <row r="374">
      <c r="A374" s="74"/>
    </row>
    <row r="375">
      <c r="A375" s="74"/>
    </row>
    <row r="376">
      <c r="A376" s="74"/>
    </row>
    <row r="377">
      <c r="A377" s="74"/>
    </row>
    <row r="378">
      <c r="A378" s="74"/>
    </row>
    <row r="379">
      <c r="A379" s="74"/>
    </row>
    <row r="380">
      <c r="A380" s="74"/>
    </row>
    <row r="381">
      <c r="A381" s="74"/>
    </row>
    <row r="382">
      <c r="A382" s="74"/>
    </row>
    <row r="383">
      <c r="A383" s="74"/>
    </row>
    <row r="384">
      <c r="A384" s="74"/>
    </row>
    <row r="385">
      <c r="A385" s="74"/>
    </row>
    <row r="386">
      <c r="A386" s="74"/>
    </row>
    <row r="387">
      <c r="A387" s="74"/>
    </row>
    <row r="388">
      <c r="A388" s="74"/>
    </row>
    <row r="389">
      <c r="A389" s="74"/>
    </row>
    <row r="390">
      <c r="A390" s="74"/>
    </row>
    <row r="391">
      <c r="A391" s="74"/>
    </row>
    <row r="392">
      <c r="A392" s="74"/>
    </row>
    <row r="393">
      <c r="A393" s="74"/>
    </row>
    <row r="394">
      <c r="A394" s="74"/>
    </row>
    <row r="395">
      <c r="A395" s="74"/>
    </row>
    <row r="396">
      <c r="A396" s="74"/>
    </row>
    <row r="397">
      <c r="A397" s="74"/>
    </row>
    <row r="398">
      <c r="A398" s="74"/>
    </row>
    <row r="399">
      <c r="A399" s="74"/>
    </row>
    <row r="400">
      <c r="A400" s="74"/>
    </row>
    <row r="401">
      <c r="A401" s="74"/>
    </row>
    <row r="402">
      <c r="A402" s="74"/>
    </row>
    <row r="403">
      <c r="A403" s="74"/>
    </row>
    <row r="404">
      <c r="A404" s="74"/>
    </row>
    <row r="405">
      <c r="A405" s="74"/>
    </row>
    <row r="406">
      <c r="A406" s="74"/>
    </row>
    <row r="407">
      <c r="A407" s="74"/>
    </row>
    <row r="408">
      <c r="A408" s="74"/>
    </row>
    <row r="409">
      <c r="A409" s="74"/>
    </row>
    <row r="410">
      <c r="A410" s="74"/>
    </row>
    <row r="411">
      <c r="A411" s="74"/>
    </row>
    <row r="412">
      <c r="A412" s="74"/>
    </row>
    <row r="413">
      <c r="A413" s="74"/>
    </row>
    <row r="414">
      <c r="A414" s="74"/>
    </row>
    <row r="415">
      <c r="A415" s="74"/>
    </row>
    <row r="416">
      <c r="A416" s="74"/>
    </row>
    <row r="417">
      <c r="A417" s="74"/>
    </row>
    <row r="418">
      <c r="A418" s="74"/>
    </row>
    <row r="419">
      <c r="A419" s="74"/>
    </row>
    <row r="420">
      <c r="A420" s="74"/>
    </row>
    <row r="421">
      <c r="A421" s="74"/>
    </row>
    <row r="422">
      <c r="A422" s="74"/>
    </row>
    <row r="423">
      <c r="A423" s="74"/>
    </row>
    <row r="424">
      <c r="A424" s="74"/>
    </row>
    <row r="425">
      <c r="A425" s="74"/>
    </row>
    <row r="426">
      <c r="A426" s="74"/>
    </row>
    <row r="427">
      <c r="A427" s="74"/>
    </row>
    <row r="428">
      <c r="A428" s="74"/>
    </row>
    <row r="429">
      <c r="A429" s="74"/>
    </row>
    <row r="430">
      <c r="A430" s="74"/>
    </row>
    <row r="431">
      <c r="A431" s="74"/>
    </row>
    <row r="432">
      <c r="A432" s="74"/>
    </row>
    <row r="433">
      <c r="A433" s="74"/>
    </row>
    <row r="434">
      <c r="A434" s="74"/>
    </row>
    <row r="435">
      <c r="A435" s="74"/>
    </row>
    <row r="436">
      <c r="A436" s="74"/>
    </row>
    <row r="437">
      <c r="A437" s="74"/>
    </row>
    <row r="438">
      <c r="A438" s="74"/>
    </row>
    <row r="439">
      <c r="A439" s="74"/>
    </row>
    <row r="440">
      <c r="A440" s="74"/>
    </row>
    <row r="441">
      <c r="A441" s="74"/>
    </row>
    <row r="442">
      <c r="A442" s="74"/>
    </row>
    <row r="443">
      <c r="A443" s="74"/>
    </row>
    <row r="444">
      <c r="A444" s="74"/>
    </row>
    <row r="445">
      <c r="A445" s="74"/>
    </row>
    <row r="446">
      <c r="A446" s="74"/>
    </row>
    <row r="447">
      <c r="A447" s="74"/>
    </row>
    <row r="448">
      <c r="A448" s="74"/>
    </row>
    <row r="449">
      <c r="A449" s="74"/>
    </row>
    <row r="450">
      <c r="A450" s="74"/>
    </row>
    <row r="451">
      <c r="A451" s="74"/>
    </row>
    <row r="452">
      <c r="A452" s="74"/>
    </row>
    <row r="453">
      <c r="A453" s="74"/>
    </row>
    <row r="454">
      <c r="A454" s="74"/>
    </row>
    <row r="455">
      <c r="A455" s="74"/>
    </row>
    <row r="456">
      <c r="A456" s="74"/>
    </row>
    <row r="457">
      <c r="A457" s="74"/>
    </row>
    <row r="458">
      <c r="A458" s="74"/>
    </row>
    <row r="459">
      <c r="A459" s="74"/>
    </row>
    <row r="460">
      <c r="A460" s="74"/>
    </row>
    <row r="461">
      <c r="A461" s="74"/>
    </row>
    <row r="462">
      <c r="A462" s="74"/>
    </row>
    <row r="463">
      <c r="A463" s="74"/>
    </row>
    <row r="464">
      <c r="A464" s="74"/>
    </row>
    <row r="465">
      <c r="A465" s="74"/>
    </row>
    <row r="466">
      <c r="A466" s="74"/>
    </row>
    <row r="467">
      <c r="A467" s="74"/>
    </row>
    <row r="468">
      <c r="A468" s="74"/>
    </row>
    <row r="469">
      <c r="A469" s="74"/>
    </row>
    <row r="470">
      <c r="A470" s="74"/>
    </row>
    <row r="471">
      <c r="A471" s="74"/>
    </row>
    <row r="472">
      <c r="A472" s="74"/>
    </row>
    <row r="473">
      <c r="A473" s="74"/>
    </row>
    <row r="474">
      <c r="A474" s="74"/>
    </row>
    <row r="475">
      <c r="A475" s="74"/>
    </row>
    <row r="476">
      <c r="A476" s="74"/>
    </row>
    <row r="477">
      <c r="A477" s="74"/>
    </row>
    <row r="478">
      <c r="A478" s="74"/>
    </row>
    <row r="479">
      <c r="A479" s="74"/>
    </row>
    <row r="480">
      <c r="A480" s="74"/>
    </row>
    <row r="481">
      <c r="A481" s="74"/>
    </row>
    <row r="482">
      <c r="A482" s="74"/>
    </row>
    <row r="483">
      <c r="A483" s="74"/>
    </row>
    <row r="484">
      <c r="A484" s="74"/>
    </row>
    <row r="485">
      <c r="A485" s="74"/>
    </row>
    <row r="486">
      <c r="A486" s="74"/>
    </row>
    <row r="487">
      <c r="A487" s="74"/>
    </row>
    <row r="488">
      <c r="A488" s="74"/>
    </row>
    <row r="489">
      <c r="A489" s="74"/>
    </row>
    <row r="490">
      <c r="A490" s="74"/>
    </row>
    <row r="491">
      <c r="A491" s="74"/>
    </row>
    <row r="492">
      <c r="A492" s="74"/>
    </row>
    <row r="493">
      <c r="A493" s="74"/>
    </row>
    <row r="494">
      <c r="A494" s="74"/>
    </row>
    <row r="495">
      <c r="A495" s="74"/>
    </row>
    <row r="496">
      <c r="A496" s="74"/>
    </row>
    <row r="497">
      <c r="A497" s="74"/>
    </row>
    <row r="498">
      <c r="A498" s="74"/>
    </row>
    <row r="499">
      <c r="A499" s="74"/>
    </row>
    <row r="500">
      <c r="A500" s="74"/>
    </row>
    <row r="501">
      <c r="A501" s="74"/>
    </row>
    <row r="502">
      <c r="A502" s="74"/>
    </row>
    <row r="503">
      <c r="A503" s="74"/>
    </row>
    <row r="504">
      <c r="A504" s="74"/>
    </row>
    <row r="505">
      <c r="A505" s="74"/>
    </row>
    <row r="506">
      <c r="A506" s="74"/>
    </row>
    <row r="507">
      <c r="A507" s="74"/>
    </row>
    <row r="508">
      <c r="A508" s="74"/>
    </row>
    <row r="509">
      <c r="A509" s="74"/>
    </row>
    <row r="510">
      <c r="A510" s="74"/>
    </row>
    <row r="511">
      <c r="A511" s="74"/>
    </row>
    <row r="512">
      <c r="A512" s="74"/>
    </row>
    <row r="513">
      <c r="A513" s="74"/>
    </row>
    <row r="514">
      <c r="A514" s="74"/>
    </row>
    <row r="515">
      <c r="A515" s="74"/>
    </row>
    <row r="516">
      <c r="A516" s="74"/>
    </row>
    <row r="517">
      <c r="A517" s="74"/>
    </row>
    <row r="518">
      <c r="A518" s="74"/>
    </row>
    <row r="519">
      <c r="A519" s="74"/>
    </row>
    <row r="520">
      <c r="A520" s="74"/>
    </row>
    <row r="521">
      <c r="A521" s="74"/>
    </row>
    <row r="522">
      <c r="A522" s="74"/>
    </row>
    <row r="523">
      <c r="A523" s="74"/>
    </row>
    <row r="524">
      <c r="A524" s="74"/>
    </row>
    <row r="525">
      <c r="A525" s="74"/>
    </row>
    <row r="526">
      <c r="A526" s="74"/>
    </row>
    <row r="527">
      <c r="A527" s="74"/>
    </row>
    <row r="528">
      <c r="A528" s="74"/>
    </row>
    <row r="529">
      <c r="A529" s="74"/>
    </row>
    <row r="530">
      <c r="A530" s="74"/>
    </row>
    <row r="531">
      <c r="A531" s="74"/>
    </row>
    <row r="532">
      <c r="A532" s="74"/>
    </row>
    <row r="533">
      <c r="A533" s="74"/>
    </row>
    <row r="534">
      <c r="A534" s="74"/>
    </row>
    <row r="535">
      <c r="A535" s="74"/>
    </row>
    <row r="536">
      <c r="A536" s="74"/>
    </row>
    <row r="537">
      <c r="A537" s="74"/>
    </row>
    <row r="538">
      <c r="A538" s="74"/>
    </row>
    <row r="539">
      <c r="A539" s="74"/>
    </row>
    <row r="540">
      <c r="A540" s="74"/>
    </row>
    <row r="541">
      <c r="A541" s="74"/>
    </row>
    <row r="542">
      <c r="A542" s="74"/>
    </row>
    <row r="543">
      <c r="A543" s="74"/>
    </row>
    <row r="544">
      <c r="A544" s="74"/>
    </row>
    <row r="545">
      <c r="A545" s="74"/>
    </row>
    <row r="546">
      <c r="A546" s="74"/>
    </row>
    <row r="547">
      <c r="A547" s="74"/>
    </row>
    <row r="548">
      <c r="A548" s="74"/>
    </row>
    <row r="549">
      <c r="A549" s="74"/>
    </row>
    <row r="550">
      <c r="A550" s="74"/>
    </row>
    <row r="551">
      <c r="A551" s="74"/>
    </row>
    <row r="552">
      <c r="A552" s="74"/>
    </row>
    <row r="553">
      <c r="A553" s="74"/>
    </row>
    <row r="554">
      <c r="A554" s="74"/>
    </row>
    <row r="555">
      <c r="A555" s="74"/>
    </row>
    <row r="556">
      <c r="A556" s="74"/>
    </row>
    <row r="557">
      <c r="A557" s="74"/>
    </row>
    <row r="558">
      <c r="A558" s="74"/>
    </row>
    <row r="559">
      <c r="A559" s="74"/>
    </row>
    <row r="560">
      <c r="A560" s="74"/>
    </row>
    <row r="561">
      <c r="A561" s="74"/>
    </row>
    <row r="562">
      <c r="A562" s="74"/>
    </row>
    <row r="563">
      <c r="A563" s="74"/>
    </row>
    <row r="564">
      <c r="A564" s="74"/>
    </row>
    <row r="565">
      <c r="A565" s="74"/>
    </row>
    <row r="566">
      <c r="A566" s="74"/>
    </row>
    <row r="567">
      <c r="A567" s="74"/>
    </row>
    <row r="568">
      <c r="A568" s="74"/>
    </row>
    <row r="569">
      <c r="A569" s="74"/>
    </row>
    <row r="570">
      <c r="A570" s="74"/>
    </row>
    <row r="571">
      <c r="A571" s="74"/>
    </row>
    <row r="572">
      <c r="A572" s="74"/>
    </row>
    <row r="573">
      <c r="A573" s="74"/>
    </row>
    <row r="574">
      <c r="A574" s="74"/>
    </row>
    <row r="575">
      <c r="A575" s="74"/>
    </row>
    <row r="576">
      <c r="A576" s="74"/>
    </row>
    <row r="577">
      <c r="A577" s="74"/>
    </row>
    <row r="578">
      <c r="A578" s="74"/>
    </row>
    <row r="579">
      <c r="A579" s="74"/>
    </row>
    <row r="580">
      <c r="A580" s="74"/>
    </row>
    <row r="581">
      <c r="A581" s="74"/>
    </row>
    <row r="582">
      <c r="A582" s="74"/>
    </row>
    <row r="583">
      <c r="A583" s="74"/>
    </row>
    <row r="584">
      <c r="A584" s="74"/>
    </row>
    <row r="585">
      <c r="A585" s="74"/>
    </row>
    <row r="586">
      <c r="A586" s="74"/>
    </row>
    <row r="587">
      <c r="A587" s="74"/>
    </row>
    <row r="588">
      <c r="A588" s="74"/>
    </row>
    <row r="589">
      <c r="A589" s="74"/>
    </row>
    <row r="590">
      <c r="A590" s="74"/>
    </row>
    <row r="591">
      <c r="A591" s="74"/>
    </row>
    <row r="592">
      <c r="A592" s="74"/>
    </row>
    <row r="593">
      <c r="A593" s="74"/>
    </row>
    <row r="594">
      <c r="A594" s="74"/>
    </row>
    <row r="595">
      <c r="A595" s="74"/>
    </row>
    <row r="596">
      <c r="A596" s="74"/>
    </row>
    <row r="597">
      <c r="A597" s="74"/>
    </row>
    <row r="598">
      <c r="A598" s="74"/>
    </row>
    <row r="599">
      <c r="A599" s="74"/>
    </row>
    <row r="600">
      <c r="A600" s="74"/>
    </row>
    <row r="601">
      <c r="A601" s="74"/>
    </row>
    <row r="602">
      <c r="A602" s="74"/>
    </row>
    <row r="603">
      <c r="A603" s="74"/>
    </row>
    <row r="604">
      <c r="A604" s="74"/>
    </row>
    <row r="605">
      <c r="A605" s="74"/>
    </row>
    <row r="606">
      <c r="A606" s="74"/>
    </row>
    <row r="607">
      <c r="A607" s="74"/>
    </row>
    <row r="608">
      <c r="A608" s="74"/>
    </row>
    <row r="609">
      <c r="A609" s="74"/>
    </row>
    <row r="610">
      <c r="A610" s="74"/>
    </row>
    <row r="611">
      <c r="A611" s="74"/>
    </row>
    <row r="612">
      <c r="A612" s="74"/>
    </row>
    <row r="613">
      <c r="A613" s="74"/>
    </row>
    <row r="614">
      <c r="A614" s="74"/>
    </row>
    <row r="615">
      <c r="A615" s="74"/>
    </row>
    <row r="616">
      <c r="A616" s="74"/>
    </row>
    <row r="617">
      <c r="A617" s="74"/>
    </row>
    <row r="618">
      <c r="A618" s="74"/>
    </row>
    <row r="619">
      <c r="A619" s="74"/>
    </row>
    <row r="620">
      <c r="A620" s="74"/>
    </row>
    <row r="621">
      <c r="A621" s="74"/>
    </row>
    <row r="622">
      <c r="A622" s="74"/>
    </row>
    <row r="623">
      <c r="A623" s="74"/>
    </row>
    <row r="624">
      <c r="A624" s="74"/>
    </row>
    <row r="625">
      <c r="A625" s="74"/>
    </row>
    <row r="626">
      <c r="A626" s="74"/>
    </row>
    <row r="627">
      <c r="A627" s="74"/>
    </row>
    <row r="628">
      <c r="A628" s="74"/>
    </row>
    <row r="629">
      <c r="A629" s="74"/>
    </row>
    <row r="630">
      <c r="A630" s="74"/>
    </row>
    <row r="631">
      <c r="A631" s="74"/>
    </row>
    <row r="632">
      <c r="A632" s="74"/>
    </row>
    <row r="633">
      <c r="A633" s="74"/>
    </row>
    <row r="634">
      <c r="A634" s="74"/>
    </row>
    <row r="635">
      <c r="A635" s="74"/>
    </row>
    <row r="636">
      <c r="A636" s="74"/>
    </row>
    <row r="637">
      <c r="A637" s="74"/>
    </row>
    <row r="638">
      <c r="A638" s="74"/>
    </row>
    <row r="639">
      <c r="A639" s="74"/>
    </row>
    <row r="640">
      <c r="A640" s="74"/>
    </row>
    <row r="641">
      <c r="A641" s="74"/>
    </row>
    <row r="642">
      <c r="A642" s="74"/>
    </row>
    <row r="643">
      <c r="A643" s="74"/>
    </row>
    <row r="644">
      <c r="A644" s="74"/>
    </row>
    <row r="645">
      <c r="A645" s="74"/>
    </row>
    <row r="646">
      <c r="A646" s="74"/>
    </row>
    <row r="647">
      <c r="A647" s="74"/>
    </row>
    <row r="648">
      <c r="A648" s="74"/>
    </row>
    <row r="649">
      <c r="A649" s="74"/>
    </row>
    <row r="650">
      <c r="A650" s="74"/>
    </row>
    <row r="651">
      <c r="A651" s="74"/>
    </row>
    <row r="652">
      <c r="A652" s="74"/>
    </row>
    <row r="653">
      <c r="A653" s="74"/>
    </row>
    <row r="654">
      <c r="A654" s="74"/>
    </row>
    <row r="655">
      <c r="A655" s="74"/>
    </row>
    <row r="656">
      <c r="A656" s="74"/>
    </row>
    <row r="657">
      <c r="A657" s="74"/>
    </row>
    <row r="658">
      <c r="A658" s="74"/>
    </row>
    <row r="659">
      <c r="A659" s="74"/>
    </row>
    <row r="660">
      <c r="A660" s="74"/>
    </row>
    <row r="661">
      <c r="A661" s="74"/>
    </row>
    <row r="662">
      <c r="A662" s="74"/>
    </row>
    <row r="663">
      <c r="A663" s="74"/>
    </row>
    <row r="664">
      <c r="A664" s="74"/>
    </row>
    <row r="665">
      <c r="A665" s="74"/>
    </row>
    <row r="666">
      <c r="A666" s="74"/>
    </row>
    <row r="667">
      <c r="A667" s="74"/>
    </row>
    <row r="668">
      <c r="A668" s="74"/>
    </row>
    <row r="669">
      <c r="A669" s="74"/>
    </row>
    <row r="670">
      <c r="A670" s="74"/>
    </row>
    <row r="671">
      <c r="A671" s="74"/>
    </row>
    <row r="672">
      <c r="A672" s="74"/>
    </row>
    <row r="673">
      <c r="A673" s="74"/>
    </row>
    <row r="674">
      <c r="A674" s="74"/>
    </row>
    <row r="675">
      <c r="A675" s="74"/>
    </row>
    <row r="676">
      <c r="A676" s="74"/>
    </row>
    <row r="677">
      <c r="A677" s="74"/>
    </row>
    <row r="678">
      <c r="A678" s="74"/>
    </row>
    <row r="679">
      <c r="A679" s="74"/>
    </row>
    <row r="680">
      <c r="A680" s="74"/>
    </row>
    <row r="681">
      <c r="A681" s="74"/>
    </row>
    <row r="682">
      <c r="A682" s="74"/>
    </row>
    <row r="683">
      <c r="A683" s="74"/>
    </row>
    <row r="684">
      <c r="A684" s="74"/>
    </row>
    <row r="685">
      <c r="A685" s="74"/>
    </row>
    <row r="686">
      <c r="A686" s="74"/>
    </row>
    <row r="687">
      <c r="A687" s="74"/>
    </row>
    <row r="688">
      <c r="A688" s="74"/>
    </row>
    <row r="689">
      <c r="A689" s="74"/>
    </row>
    <row r="690">
      <c r="A690" s="74"/>
    </row>
    <row r="691">
      <c r="A691" s="74"/>
    </row>
    <row r="692">
      <c r="A692" s="74"/>
    </row>
    <row r="693">
      <c r="A693" s="74"/>
    </row>
    <row r="694">
      <c r="A694" s="74"/>
    </row>
    <row r="695">
      <c r="A695" s="74"/>
    </row>
    <row r="696">
      <c r="A696" s="74"/>
    </row>
    <row r="697">
      <c r="A697" s="74"/>
    </row>
    <row r="698">
      <c r="A698" s="74"/>
    </row>
    <row r="699">
      <c r="A699" s="74"/>
    </row>
    <row r="700">
      <c r="A700" s="74"/>
    </row>
    <row r="701">
      <c r="A701" s="74"/>
    </row>
    <row r="702">
      <c r="A702" s="74"/>
    </row>
    <row r="703">
      <c r="A703" s="74"/>
    </row>
    <row r="704">
      <c r="A704" s="74"/>
    </row>
    <row r="705">
      <c r="A705" s="74"/>
    </row>
    <row r="706">
      <c r="A706" s="74"/>
    </row>
    <row r="707">
      <c r="A707" s="74"/>
    </row>
    <row r="708">
      <c r="A708" s="74"/>
    </row>
    <row r="709">
      <c r="A709" s="74"/>
    </row>
    <row r="710">
      <c r="A710" s="74"/>
    </row>
    <row r="711">
      <c r="A711" s="74"/>
    </row>
    <row r="712">
      <c r="A712" s="74"/>
    </row>
    <row r="713">
      <c r="A713" s="74"/>
    </row>
    <row r="714">
      <c r="A714" s="74"/>
    </row>
    <row r="715">
      <c r="A715" s="74"/>
    </row>
    <row r="716">
      <c r="A716" s="74"/>
    </row>
    <row r="717">
      <c r="A717" s="74"/>
    </row>
    <row r="718">
      <c r="A718" s="74"/>
    </row>
    <row r="719">
      <c r="A719" s="74"/>
    </row>
    <row r="720">
      <c r="A720" s="74"/>
    </row>
    <row r="721">
      <c r="A721" s="74"/>
    </row>
    <row r="722">
      <c r="A722" s="74"/>
    </row>
    <row r="723">
      <c r="A723" s="74"/>
    </row>
    <row r="724">
      <c r="A724" s="74"/>
    </row>
    <row r="725">
      <c r="A725" s="74"/>
    </row>
    <row r="726">
      <c r="A726" s="74"/>
    </row>
    <row r="727">
      <c r="A727" s="74"/>
    </row>
    <row r="728">
      <c r="A728" s="74"/>
    </row>
    <row r="729">
      <c r="A729" s="74"/>
    </row>
    <row r="730">
      <c r="A730" s="74"/>
    </row>
    <row r="731">
      <c r="A731" s="74"/>
    </row>
    <row r="732">
      <c r="A732" s="74"/>
    </row>
    <row r="733">
      <c r="A733" s="74"/>
    </row>
    <row r="734">
      <c r="A734" s="74"/>
    </row>
    <row r="735">
      <c r="A735" s="74"/>
    </row>
    <row r="736">
      <c r="A736" s="74"/>
    </row>
    <row r="737">
      <c r="A737" s="74"/>
    </row>
    <row r="738">
      <c r="A738" s="74"/>
    </row>
    <row r="739">
      <c r="A739" s="74"/>
    </row>
    <row r="740">
      <c r="A740" s="74"/>
    </row>
    <row r="741">
      <c r="A741" s="74"/>
    </row>
    <row r="742">
      <c r="A742" s="74"/>
    </row>
    <row r="743">
      <c r="A743" s="74"/>
    </row>
    <row r="744">
      <c r="A744" s="74"/>
    </row>
    <row r="745">
      <c r="A745" s="74"/>
    </row>
    <row r="746">
      <c r="A746" s="74"/>
    </row>
    <row r="747">
      <c r="A747" s="74"/>
    </row>
    <row r="748">
      <c r="A748" s="74"/>
    </row>
    <row r="749">
      <c r="A749" s="74"/>
    </row>
    <row r="750">
      <c r="A750" s="74"/>
    </row>
    <row r="751">
      <c r="A751" s="74"/>
    </row>
    <row r="752">
      <c r="A752" s="74"/>
    </row>
    <row r="753">
      <c r="A753" s="74"/>
    </row>
    <row r="754">
      <c r="A754" s="74"/>
    </row>
    <row r="755">
      <c r="A755" s="74"/>
    </row>
    <row r="756">
      <c r="A756" s="74"/>
    </row>
    <row r="757">
      <c r="A757" s="74"/>
    </row>
    <row r="758">
      <c r="A758" s="74"/>
    </row>
    <row r="759">
      <c r="A759" s="74"/>
    </row>
    <row r="760">
      <c r="A760" s="74"/>
    </row>
    <row r="761">
      <c r="A761" s="74"/>
    </row>
    <row r="762">
      <c r="A762" s="74"/>
    </row>
    <row r="763">
      <c r="A763" s="74"/>
    </row>
    <row r="764">
      <c r="A764" s="74"/>
    </row>
    <row r="765">
      <c r="A765" s="74"/>
    </row>
    <row r="766">
      <c r="A766" s="74"/>
    </row>
    <row r="767">
      <c r="A767" s="74"/>
    </row>
    <row r="768">
      <c r="A768" s="74"/>
    </row>
    <row r="769">
      <c r="A769" s="74"/>
    </row>
    <row r="770">
      <c r="A770" s="74"/>
    </row>
    <row r="771">
      <c r="A771" s="74"/>
    </row>
    <row r="772">
      <c r="A772" s="74"/>
    </row>
    <row r="773">
      <c r="A773" s="74"/>
    </row>
    <row r="774">
      <c r="A774" s="74"/>
    </row>
    <row r="775">
      <c r="A775" s="74"/>
    </row>
    <row r="776">
      <c r="A776" s="74"/>
    </row>
    <row r="777">
      <c r="A777" s="74"/>
    </row>
    <row r="778">
      <c r="A778" s="74"/>
    </row>
    <row r="779">
      <c r="A779" s="74"/>
    </row>
    <row r="780">
      <c r="A780" s="74"/>
    </row>
    <row r="781">
      <c r="A781" s="74"/>
    </row>
    <row r="782">
      <c r="A782" s="74"/>
    </row>
    <row r="783">
      <c r="A783" s="74"/>
    </row>
    <row r="784">
      <c r="A784" s="74"/>
    </row>
    <row r="785">
      <c r="A785" s="74"/>
    </row>
    <row r="786">
      <c r="A786" s="74"/>
    </row>
    <row r="787">
      <c r="A787" s="74"/>
    </row>
    <row r="788">
      <c r="A788" s="74"/>
    </row>
    <row r="789">
      <c r="A789" s="74"/>
    </row>
    <row r="790">
      <c r="A790" s="74"/>
    </row>
    <row r="791">
      <c r="A791" s="74"/>
    </row>
    <row r="792">
      <c r="A792" s="74"/>
    </row>
    <row r="793">
      <c r="A793" s="74"/>
    </row>
    <row r="794">
      <c r="A794" s="74"/>
    </row>
    <row r="795">
      <c r="A795" s="74"/>
    </row>
    <row r="796">
      <c r="A796" s="74"/>
    </row>
    <row r="797">
      <c r="A797" s="74"/>
    </row>
    <row r="798">
      <c r="A798" s="74"/>
    </row>
    <row r="799">
      <c r="A799" s="74"/>
    </row>
    <row r="800">
      <c r="A800" s="74"/>
    </row>
    <row r="801">
      <c r="A801" s="74"/>
    </row>
    <row r="802">
      <c r="A802" s="74"/>
    </row>
    <row r="803">
      <c r="A803" s="74"/>
    </row>
    <row r="804">
      <c r="A804" s="74"/>
    </row>
    <row r="805">
      <c r="A805" s="74"/>
    </row>
    <row r="806">
      <c r="A806" s="74"/>
    </row>
    <row r="807">
      <c r="A807" s="74"/>
    </row>
    <row r="808">
      <c r="A808" s="74"/>
    </row>
    <row r="809">
      <c r="A809" s="74"/>
    </row>
    <row r="810">
      <c r="A810" s="74"/>
    </row>
    <row r="811">
      <c r="A811" s="74"/>
    </row>
    <row r="812">
      <c r="A812" s="74"/>
    </row>
    <row r="813">
      <c r="A813" s="74"/>
    </row>
    <row r="814">
      <c r="A814" s="74"/>
    </row>
    <row r="815">
      <c r="A815" s="74"/>
    </row>
    <row r="816">
      <c r="A816" s="74"/>
    </row>
    <row r="817">
      <c r="A817" s="74"/>
    </row>
    <row r="818">
      <c r="A818" s="74"/>
    </row>
    <row r="819">
      <c r="A819" s="74"/>
    </row>
    <row r="820">
      <c r="A820" s="74"/>
    </row>
    <row r="821">
      <c r="A821" s="74"/>
    </row>
    <row r="822">
      <c r="A822" s="74"/>
    </row>
    <row r="823">
      <c r="A823" s="74"/>
    </row>
    <row r="824">
      <c r="A824" s="74"/>
    </row>
    <row r="825">
      <c r="A825" s="74"/>
    </row>
    <row r="826">
      <c r="A826" s="74"/>
    </row>
    <row r="827">
      <c r="A827" s="74"/>
    </row>
    <row r="828">
      <c r="A828" s="74"/>
    </row>
    <row r="829">
      <c r="A829" s="74"/>
    </row>
    <row r="830">
      <c r="A830" s="74"/>
    </row>
    <row r="831">
      <c r="A831" s="74"/>
    </row>
    <row r="832">
      <c r="A832" s="74"/>
    </row>
    <row r="833">
      <c r="A833" s="74"/>
    </row>
    <row r="834">
      <c r="A834" s="74"/>
    </row>
    <row r="835">
      <c r="A835" s="74"/>
    </row>
    <row r="836">
      <c r="A836" s="74"/>
    </row>
    <row r="837">
      <c r="A837" s="74"/>
    </row>
    <row r="838">
      <c r="A838" s="74"/>
    </row>
    <row r="839">
      <c r="A839" s="74"/>
    </row>
    <row r="840">
      <c r="A840" s="74"/>
    </row>
    <row r="841">
      <c r="A841" s="74"/>
    </row>
    <row r="842">
      <c r="A842" s="74"/>
    </row>
    <row r="843">
      <c r="A843" s="74"/>
    </row>
    <row r="844">
      <c r="A844" s="74"/>
    </row>
    <row r="845">
      <c r="A845" s="74"/>
    </row>
    <row r="846">
      <c r="A846" s="74"/>
    </row>
    <row r="847">
      <c r="A847" s="74"/>
    </row>
    <row r="848">
      <c r="A848" s="74"/>
    </row>
    <row r="849">
      <c r="A849" s="74"/>
    </row>
    <row r="850">
      <c r="A850" s="74"/>
    </row>
    <row r="851">
      <c r="A851" s="74"/>
    </row>
    <row r="852">
      <c r="A852" s="74"/>
    </row>
    <row r="853">
      <c r="A853" s="74"/>
    </row>
    <row r="854">
      <c r="A854" s="74"/>
    </row>
    <row r="855">
      <c r="A855" s="74"/>
    </row>
    <row r="856">
      <c r="A856" s="74"/>
    </row>
    <row r="857">
      <c r="A857" s="74"/>
    </row>
    <row r="858">
      <c r="A858" s="74"/>
    </row>
    <row r="859">
      <c r="A859" s="74"/>
    </row>
    <row r="860">
      <c r="A860" s="74"/>
    </row>
    <row r="861">
      <c r="A861" s="74"/>
    </row>
    <row r="862">
      <c r="A862" s="74"/>
    </row>
    <row r="863">
      <c r="A863" s="74"/>
    </row>
    <row r="864">
      <c r="A864" s="74"/>
    </row>
    <row r="865">
      <c r="A865" s="74"/>
    </row>
    <row r="866">
      <c r="A866" s="74"/>
    </row>
    <row r="867">
      <c r="A867" s="74"/>
    </row>
    <row r="868">
      <c r="A868" s="74"/>
    </row>
    <row r="869">
      <c r="A869" s="74"/>
    </row>
    <row r="870">
      <c r="A870" s="74"/>
    </row>
    <row r="871">
      <c r="A871" s="74"/>
    </row>
    <row r="872">
      <c r="A872" s="74"/>
    </row>
    <row r="873">
      <c r="A873" s="74"/>
    </row>
    <row r="874">
      <c r="A874" s="74"/>
    </row>
    <row r="875">
      <c r="A875" s="74"/>
    </row>
    <row r="876">
      <c r="A876" s="74"/>
    </row>
    <row r="877">
      <c r="A877" s="74"/>
    </row>
    <row r="878">
      <c r="A878" s="74"/>
    </row>
    <row r="879">
      <c r="A879" s="74"/>
    </row>
    <row r="880">
      <c r="A880" s="74"/>
    </row>
    <row r="881">
      <c r="A881" s="74"/>
    </row>
    <row r="882">
      <c r="A882" s="74"/>
    </row>
    <row r="883">
      <c r="A883" s="74"/>
    </row>
    <row r="884">
      <c r="A884" s="74"/>
    </row>
    <row r="885">
      <c r="A885" s="74"/>
    </row>
    <row r="886">
      <c r="A886" s="74"/>
    </row>
    <row r="887">
      <c r="A887" s="74"/>
    </row>
    <row r="888">
      <c r="A888" s="74"/>
    </row>
    <row r="889">
      <c r="A889" s="74"/>
    </row>
    <row r="890">
      <c r="A890" s="74"/>
    </row>
    <row r="891">
      <c r="A891" s="74"/>
    </row>
    <row r="892">
      <c r="A892" s="74"/>
    </row>
    <row r="893">
      <c r="A893" s="74"/>
    </row>
    <row r="894">
      <c r="A894" s="74"/>
    </row>
    <row r="895">
      <c r="A895" s="74"/>
    </row>
    <row r="896">
      <c r="A896" s="74"/>
    </row>
    <row r="897">
      <c r="A897" s="74"/>
    </row>
    <row r="898">
      <c r="A898" s="74"/>
    </row>
    <row r="899">
      <c r="A899" s="74"/>
    </row>
    <row r="900">
      <c r="A900" s="74"/>
    </row>
    <row r="901">
      <c r="A901" s="74"/>
    </row>
    <row r="902">
      <c r="A902" s="74"/>
    </row>
    <row r="903">
      <c r="A903" s="74"/>
    </row>
    <row r="904">
      <c r="A904" s="74"/>
    </row>
    <row r="905">
      <c r="A905" s="74"/>
    </row>
    <row r="906">
      <c r="A906" s="74"/>
    </row>
    <row r="907">
      <c r="A907" s="74"/>
    </row>
    <row r="908">
      <c r="A908" s="74"/>
    </row>
    <row r="909">
      <c r="A909" s="74"/>
    </row>
    <row r="910">
      <c r="A910" s="74"/>
    </row>
    <row r="911">
      <c r="A911" s="74"/>
    </row>
    <row r="912">
      <c r="A912" s="74"/>
    </row>
    <row r="913">
      <c r="A913" s="74"/>
    </row>
    <row r="914">
      <c r="A914" s="74"/>
    </row>
    <row r="915">
      <c r="A915" s="74"/>
    </row>
    <row r="916">
      <c r="A916" s="74"/>
    </row>
    <row r="917">
      <c r="A917" s="74"/>
    </row>
    <row r="918">
      <c r="A918" s="74"/>
    </row>
    <row r="919">
      <c r="A919" s="74"/>
    </row>
    <row r="920">
      <c r="A920" s="74"/>
    </row>
    <row r="921">
      <c r="A921" s="74"/>
    </row>
    <row r="922">
      <c r="A922" s="74"/>
    </row>
    <row r="923">
      <c r="A923" s="74"/>
    </row>
    <row r="924">
      <c r="A924" s="74"/>
    </row>
    <row r="925">
      <c r="A925" s="74"/>
    </row>
    <row r="926">
      <c r="A926" s="74"/>
    </row>
    <row r="927">
      <c r="A927" s="74"/>
    </row>
    <row r="928">
      <c r="A928" s="74"/>
    </row>
    <row r="929">
      <c r="A929" s="74"/>
    </row>
    <row r="930">
      <c r="A930" s="74"/>
    </row>
    <row r="931">
      <c r="A931" s="74"/>
    </row>
    <row r="932">
      <c r="A932" s="74"/>
    </row>
    <row r="933">
      <c r="A933" s="74"/>
    </row>
    <row r="934">
      <c r="A934" s="74"/>
    </row>
    <row r="935">
      <c r="A935" s="74"/>
    </row>
    <row r="936">
      <c r="A936" s="74"/>
    </row>
    <row r="937">
      <c r="A937" s="74"/>
    </row>
    <row r="938">
      <c r="A938" s="74"/>
    </row>
    <row r="939">
      <c r="A939" s="74"/>
    </row>
    <row r="940">
      <c r="A940" s="74"/>
    </row>
    <row r="941">
      <c r="A941" s="74"/>
    </row>
    <row r="942">
      <c r="A942" s="74"/>
    </row>
    <row r="943">
      <c r="A943" s="74"/>
    </row>
    <row r="944">
      <c r="A944" s="74"/>
    </row>
    <row r="945">
      <c r="A945" s="74"/>
    </row>
    <row r="946">
      <c r="A946" s="74"/>
    </row>
    <row r="947">
      <c r="A947" s="74"/>
    </row>
    <row r="948">
      <c r="A948" s="74"/>
    </row>
    <row r="949">
      <c r="A949" s="74"/>
    </row>
    <row r="950">
      <c r="A950" s="74"/>
    </row>
    <row r="951">
      <c r="A951" s="74"/>
    </row>
    <row r="952">
      <c r="A952" s="74"/>
    </row>
    <row r="953">
      <c r="A953" s="74"/>
    </row>
    <row r="954">
      <c r="A954" s="74"/>
    </row>
    <row r="955">
      <c r="A955" s="74"/>
    </row>
    <row r="956">
      <c r="A956" s="74"/>
    </row>
    <row r="957">
      <c r="A957" s="74"/>
    </row>
    <row r="958">
      <c r="A958" s="74"/>
    </row>
    <row r="959">
      <c r="A959" s="74"/>
    </row>
    <row r="960">
      <c r="A960" s="74"/>
    </row>
    <row r="961">
      <c r="A961" s="74"/>
    </row>
    <row r="962">
      <c r="A962" s="74"/>
    </row>
    <row r="963">
      <c r="A963" s="74"/>
    </row>
    <row r="964">
      <c r="A964" s="74"/>
    </row>
    <row r="965">
      <c r="A965" s="74"/>
    </row>
    <row r="966">
      <c r="A966" s="74"/>
    </row>
    <row r="967">
      <c r="A967" s="74"/>
    </row>
    <row r="968">
      <c r="A968" s="74"/>
    </row>
    <row r="969">
      <c r="A969" s="74"/>
    </row>
    <row r="970">
      <c r="A970" s="74"/>
    </row>
    <row r="971">
      <c r="A971" s="74"/>
    </row>
    <row r="972">
      <c r="A972" s="74"/>
    </row>
    <row r="973">
      <c r="A973" s="74"/>
    </row>
    <row r="974">
      <c r="A974" s="74"/>
    </row>
    <row r="975">
      <c r="A975" s="74"/>
    </row>
    <row r="976">
      <c r="A976" s="74"/>
    </row>
    <row r="977">
      <c r="A977" s="74"/>
    </row>
    <row r="978">
      <c r="A978" s="74"/>
    </row>
    <row r="979">
      <c r="A979" s="74"/>
    </row>
    <row r="980">
      <c r="A980" s="74"/>
    </row>
    <row r="981">
      <c r="A981" s="74"/>
    </row>
    <row r="982">
      <c r="A982" s="74"/>
    </row>
    <row r="983">
      <c r="A983" s="74"/>
    </row>
    <row r="984">
      <c r="A984" s="74"/>
    </row>
    <row r="985">
      <c r="A985" s="74"/>
    </row>
    <row r="986">
      <c r="A986" s="74"/>
    </row>
    <row r="987">
      <c r="A987" s="74"/>
    </row>
    <row r="988">
      <c r="A988" s="74"/>
    </row>
    <row r="989">
      <c r="A989" s="74"/>
    </row>
    <row r="990">
      <c r="A990" s="74"/>
    </row>
    <row r="991">
      <c r="A991" s="74"/>
    </row>
    <row r="992">
      <c r="A992" s="74"/>
    </row>
    <row r="993">
      <c r="A993" s="74"/>
    </row>
    <row r="994">
      <c r="A994" s="74"/>
    </row>
    <row r="995">
      <c r="A995" s="74"/>
    </row>
    <row r="996">
      <c r="A996" s="74"/>
    </row>
    <row r="997">
      <c r="A997" s="74"/>
    </row>
    <row r="998">
      <c r="A998" s="74"/>
    </row>
    <row r="999">
      <c r="A999" s="74"/>
    </row>
    <row r="1000">
      <c r="A1000" s="74"/>
    </row>
    <row r="1001">
      <c r="A1001" s="74"/>
    </row>
    <row r="1002">
      <c r="A1002" s="74"/>
    </row>
    <row r="1003">
      <c r="A1003" s="74"/>
    </row>
  </sheetData>
  <mergeCells count="19">
    <mergeCell ref="A35:A49"/>
    <mergeCell ref="A52:A58"/>
    <mergeCell ref="A61:A64"/>
    <mergeCell ref="A1:B1"/>
    <mergeCell ref="A9:A23"/>
    <mergeCell ref="B10:C10"/>
    <mergeCell ref="B14:C14"/>
    <mergeCell ref="B20:C20"/>
    <mergeCell ref="A26:A32"/>
    <mergeCell ref="B26:B27"/>
    <mergeCell ref="F44:F47"/>
    <mergeCell ref="H53:H58"/>
    <mergeCell ref="C26:C27"/>
    <mergeCell ref="D26:H26"/>
    <mergeCell ref="I26:P26"/>
    <mergeCell ref="N28:N32"/>
    <mergeCell ref="O28:O32"/>
    <mergeCell ref="P28:P32"/>
    <mergeCell ref="G36:G40"/>
  </mergeCells>
  <drawing r:id="rId1"/>
</worksheet>
</file>