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22">
      <text>
        <t xml:space="preserve">ABOGADO GIULI</t>
      </text>
    </comment>
  </commentList>
</comments>
</file>

<file path=xl/sharedStrings.xml><?xml version="1.0" encoding="utf-8"?>
<sst xmlns="http://schemas.openxmlformats.org/spreadsheetml/2006/main" count="30" uniqueCount="29">
  <si>
    <t>RESTO</t>
  </si>
  <si>
    <t>INGRESOS</t>
  </si>
  <si>
    <t>Ahorros</t>
  </si>
  <si>
    <t>Sueldo</t>
  </si>
  <si>
    <t>Otros</t>
  </si>
  <si>
    <t>EGRESOS</t>
  </si>
  <si>
    <t>Antel</t>
  </si>
  <si>
    <t>OSE</t>
  </si>
  <si>
    <t>UTE</t>
  </si>
  <si>
    <t>Tele</t>
  </si>
  <si>
    <t>Veterinaria</t>
  </si>
  <si>
    <t>Gimnasio</t>
  </si>
  <si>
    <t>Contribucion del cementerio</t>
  </si>
  <si>
    <t>Contribucion de la casa</t>
  </si>
  <si>
    <t>Patente</t>
  </si>
  <si>
    <t>Farmacia y salud</t>
  </si>
  <si>
    <t>Viajes</t>
  </si>
  <si>
    <t>Reparacion moto</t>
  </si>
  <si>
    <t>Gasolina</t>
  </si>
  <si>
    <t>Lujos, ropa y entretenimiento</t>
  </si>
  <si>
    <t>Otros/Gastos generales</t>
  </si>
  <si>
    <t>Comida</t>
  </si>
  <si>
    <t>IMPREVISTOS</t>
  </si>
  <si>
    <t>ADQUISICIONES / COMPRAS</t>
  </si>
  <si>
    <t>Construccion</t>
  </si>
  <si>
    <t>POSIBLES COMPRAS</t>
  </si>
  <si>
    <t xml:space="preserve">AHORRO   </t>
  </si>
  <si>
    <t>SUBTOTAL</t>
  </si>
  <si>
    <t>DIFERENCIA REAL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</si>
</sst>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-yyyy"/>
  </numFmts>
  <fonts count="6">
    <font>
      <sz val="10.0"/>
      <color rgb="FF000000"/>
      <name val="Arial"/>
      <scheme val="minor"/>
    </font>
    <font>
      <color theme="1"/>
      <name val="Arial"/>
    </font>
    <font>
      <b/>
      <color rgb="FFFFFFFF"/>
      <name val="Arial"/>
    </font>
    <font>
      <b/>
      <color theme="1"/>
      <name val="Arial"/>
    </font>
    <font>
      <b/>
      <color rgb="FF000000"/>
      <name val="Arial"/>
    </font>
    <font>
      <color rgb="FFFFFFFF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4A86E8"/>
        <bgColor rgb="FF4A86E8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990000"/>
        <bgColor rgb="FF990000"/>
      </patternFill>
    </fill>
    <fill>
      <patternFill patternType="solid">
        <fgColor rgb="FFD0E0E3"/>
        <bgColor rgb="FFD0E0E3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9900FF"/>
        <bgColor rgb="FF9900FF"/>
      </patternFill>
    </fill>
    <fill>
      <patternFill patternType="solid">
        <fgColor rgb="FF8E7CC3"/>
        <bgColor rgb="FF8E7CC3"/>
      </patternFill>
    </fill>
  </fills>
  <borders count="1">
    <border/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164" xfId="0" applyAlignment="1" applyFont="1" applyNumberFormat="1">
      <alignment horizontal="right" vertical="bottom"/>
    </xf>
    <xf borderId="0" fillId="3" fontId="2" numFmtId="0" xfId="0" applyAlignment="1" applyFill="1" applyFont="1">
      <alignment vertical="bottom"/>
    </xf>
    <xf borderId="0" fillId="3" fontId="2" numFmtId="0" xfId="0" applyAlignment="1" applyFont="1">
      <alignment horizontal="right" vertical="bottom"/>
    </xf>
    <xf borderId="0" fillId="3" fontId="2" numFmtId="1" xfId="0" applyAlignment="1" applyFont="1" applyNumberFormat="1">
      <alignment horizontal="right" vertical="bottom"/>
    </xf>
    <xf borderId="0" fillId="4" fontId="3" numFmtId="0" xfId="0" applyAlignment="1" applyFill="1" applyFont="1">
      <alignment vertical="bottom"/>
    </xf>
    <xf borderId="0" fillId="4" fontId="4" numFmtId="0" xfId="0" applyAlignment="1" applyFont="1">
      <alignment horizontal="right" vertical="bottom"/>
    </xf>
    <xf borderId="0" fillId="4" fontId="4" numFmtId="1" xfId="0" applyAlignment="1" applyFont="1" applyNumberFormat="1">
      <alignment horizontal="right" vertical="bottom"/>
    </xf>
    <xf borderId="0" fillId="5" fontId="3" numFmtId="0" xfId="0" applyAlignment="1" applyFill="1" applyFont="1">
      <alignment readingOrder="0" vertical="bottom"/>
    </xf>
    <xf borderId="0" fillId="5" fontId="1" numFmtId="0" xfId="0" applyAlignment="1" applyFont="1">
      <alignment vertical="bottom"/>
    </xf>
    <xf borderId="0" fillId="5" fontId="1" numFmtId="0" xfId="0" applyAlignment="1" applyFont="1">
      <alignment horizontal="right" readingOrder="0" vertical="bottom"/>
    </xf>
    <xf borderId="0" fillId="5" fontId="1" numFmtId="0" xfId="0" applyAlignment="1" applyFont="1">
      <alignment horizontal="right" vertical="bottom"/>
    </xf>
    <xf borderId="0" fillId="5" fontId="1" numFmtId="0" xfId="0" applyAlignment="1" applyFont="1">
      <alignment horizontal="right" readingOrder="0" vertical="bottom"/>
    </xf>
    <xf borderId="0" fillId="5" fontId="1" numFmtId="0" xfId="0" applyAlignment="1" applyFont="1">
      <alignment horizontal="right" vertical="bottom"/>
    </xf>
    <xf borderId="0" fillId="6" fontId="2" numFmtId="0" xfId="0" applyAlignment="1" applyFill="1" applyFont="1">
      <alignment vertical="bottom"/>
    </xf>
    <xf borderId="0" fillId="6" fontId="2" numFmtId="1" xfId="0" applyAlignment="1" applyFont="1" applyNumberFormat="1">
      <alignment horizontal="right" vertical="bottom"/>
    </xf>
    <xf borderId="0" fillId="7" fontId="3" numFmtId="0" xfId="0" applyAlignment="1" applyFill="1" applyFont="1">
      <alignment vertical="bottom"/>
    </xf>
    <xf borderId="0" fillId="7" fontId="1" numFmtId="0" xfId="0" applyAlignment="1" applyFont="1">
      <alignment horizontal="right" vertical="bottom"/>
    </xf>
    <xf borderId="0" fillId="7" fontId="3" numFmtId="0" xfId="0" applyAlignment="1" applyFont="1">
      <alignment readingOrder="0" vertical="bottom"/>
    </xf>
    <xf borderId="0" fillId="7" fontId="1" numFmtId="0" xfId="0" applyAlignment="1" applyFont="1">
      <alignment vertical="bottom"/>
    </xf>
    <xf borderId="0" fillId="7" fontId="1" numFmtId="0" xfId="0" applyAlignment="1" applyFont="1">
      <alignment horizontal="right" vertical="bottom"/>
    </xf>
    <xf borderId="0" fillId="8" fontId="3" numFmtId="0" xfId="0" applyAlignment="1" applyFill="1" applyFont="1">
      <alignment vertical="bottom"/>
    </xf>
    <xf borderId="0" fillId="9" fontId="1" numFmtId="0" xfId="0" applyAlignment="1" applyFill="1" applyFont="1">
      <alignment vertical="bottom"/>
    </xf>
    <xf borderId="0" fillId="7" fontId="1" numFmtId="0" xfId="0" applyAlignment="1" applyFont="1">
      <alignment readingOrder="0" vertical="bottom"/>
    </xf>
    <xf borderId="0" fillId="10" fontId="3" numFmtId="0" xfId="0" applyAlignment="1" applyFill="1" applyFont="1">
      <alignment vertical="bottom"/>
    </xf>
    <xf borderId="0" fillId="10" fontId="1" numFmtId="0" xfId="0" applyAlignment="1" applyFont="1">
      <alignment horizontal="right" readingOrder="0" vertical="bottom"/>
    </xf>
    <xf borderId="0" fillId="10" fontId="1" numFmtId="0" xfId="0" applyAlignment="1" applyFont="1">
      <alignment horizontal="right" vertical="bottom"/>
    </xf>
    <xf borderId="0" fillId="10" fontId="1" numFmtId="0" xfId="0" applyAlignment="1" applyFont="1">
      <alignment vertical="bottom"/>
    </xf>
    <xf borderId="0" fillId="11" fontId="3" numFmtId="0" xfId="0" applyAlignment="1" applyFill="1" applyFont="1">
      <alignment vertical="bottom"/>
    </xf>
    <xf borderId="0" fillId="11" fontId="1" numFmtId="0" xfId="0" applyAlignment="1" applyFont="1">
      <alignment vertical="bottom"/>
    </xf>
    <xf borderId="0" fillId="11" fontId="1" numFmtId="0" xfId="0" applyAlignment="1" applyFont="1">
      <alignment horizontal="right" vertical="bottom"/>
    </xf>
    <xf borderId="0" fillId="11" fontId="3" numFmtId="0" xfId="0" applyAlignment="1" applyFont="1">
      <alignment readingOrder="0" vertical="bottom"/>
    </xf>
    <xf borderId="0" fillId="12" fontId="2" numFmtId="0" xfId="0" applyAlignment="1" applyFill="1" applyFont="1">
      <alignment vertical="bottom"/>
    </xf>
    <xf borderId="0" fillId="12" fontId="1" numFmtId="1" xfId="0" applyAlignment="1" applyFont="1" applyNumberFormat="1">
      <alignment vertical="bottom"/>
    </xf>
    <xf borderId="0" fillId="12" fontId="5" numFmtId="1" xfId="0" applyAlignment="1" applyFont="1" applyNumberFormat="1">
      <alignment horizontal="right" vertical="bottom"/>
    </xf>
    <xf borderId="0" fillId="13" fontId="4" numFmtId="0" xfId="0" applyAlignment="1" applyFill="1" applyFont="1">
      <alignment vertical="bottom"/>
    </xf>
    <xf borderId="0" fillId="13" fontId="4" numFmtId="0" xfId="0" applyAlignment="1" applyFont="1">
      <alignment horizontal="right" readingOrder="0" vertical="bottom"/>
    </xf>
    <xf borderId="0" fillId="13" fontId="4" numFmtId="0" xfId="0" applyAlignment="1" applyFont="1">
      <alignment horizontal="right" vertical="bottom"/>
    </xf>
    <xf borderId="0" fillId="13" fontId="1" numFmtId="0" xfId="0" applyAlignment="1" applyFont="1">
      <alignment vertical="bottom"/>
    </xf>
    <xf borderId="0" fillId="13" fontId="4" numFmtId="1" xfId="0" applyAlignment="1" applyFont="1" applyNumberFormat="1">
      <alignment horizontal="right"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0.38"/>
  </cols>
  <sheetData>
    <row r="1">
      <c r="A1" s="1"/>
      <c r="D1" s="2">
        <v>45292.0</v>
      </c>
      <c r="E1" s="2">
        <v>45323.0</v>
      </c>
      <c r="F1" s="2">
        <v>45352.0</v>
      </c>
      <c r="G1" s="2">
        <v>45383.0</v>
      </c>
      <c r="H1" s="2">
        <v>45413.0</v>
      </c>
      <c r="I1" s="2">
        <v>45444.0</v>
      </c>
      <c r="J1" s="2">
        <v>45474.0</v>
      </c>
      <c r="K1" s="2">
        <v>45505.0</v>
      </c>
      <c r="L1" s="2">
        <v>45536.0</v>
      </c>
      <c r="M1" s="2">
        <v>45566.0</v>
      </c>
      <c r="N1" s="2">
        <v>45597.0</v>
      </c>
      <c r="O1" s="2">
        <v>45627.0</v>
      </c>
    </row>
    <row r="2">
      <c r="A2" s="3" t="s">
        <v>0</v>
      </c>
      <c r="D2" s="4">
        <v>4409.0</v>
      </c>
      <c r="E2" s="5">
        <f t="shared" ref="E2:O2" si="1">D31</f>
        <v>21244</v>
      </c>
      <c r="F2" s="5">
        <f t="shared" si="1"/>
        <v>11592</v>
      </c>
      <c r="G2" s="5">
        <f t="shared" si="1"/>
        <v>1306</v>
      </c>
      <c r="H2" s="5">
        <f t="shared" si="1"/>
        <v>11335</v>
      </c>
      <c r="I2" s="5">
        <f t="shared" si="1"/>
        <v>2934</v>
      </c>
      <c r="J2" s="5">
        <f t="shared" si="1"/>
        <v>15573</v>
      </c>
      <c r="K2" s="5">
        <f t="shared" si="1"/>
        <v>26901</v>
      </c>
      <c r="L2" s="5">
        <f t="shared" si="1"/>
        <v>10006</v>
      </c>
      <c r="M2" s="5">
        <f t="shared" si="1"/>
        <v>3735.5</v>
      </c>
      <c r="N2" s="5">
        <f t="shared" si="1"/>
        <v>1305.5</v>
      </c>
      <c r="O2" s="5">
        <f t="shared" si="1"/>
        <v>911.5</v>
      </c>
    </row>
    <row r="3">
      <c r="A3" s="6" t="s">
        <v>1</v>
      </c>
      <c r="D3" s="7">
        <f t="shared" ref="D3:O3" si="2">SUM(D4:D6)</f>
        <v>51755</v>
      </c>
      <c r="E3" s="7">
        <f t="shared" si="2"/>
        <v>50666</v>
      </c>
      <c r="F3" s="8">
        <f t="shared" si="2"/>
        <v>51715</v>
      </c>
      <c r="G3" s="7">
        <f t="shared" si="2"/>
        <v>54045</v>
      </c>
      <c r="H3" s="7">
        <f t="shared" si="2"/>
        <v>51339</v>
      </c>
      <c r="I3" s="7">
        <f t="shared" si="2"/>
        <v>51960</v>
      </c>
      <c r="J3" s="7">
        <f t="shared" si="2"/>
        <v>52064</v>
      </c>
      <c r="K3" s="7">
        <f t="shared" si="2"/>
        <v>50792</v>
      </c>
      <c r="L3" s="7">
        <f t="shared" si="2"/>
        <v>52063</v>
      </c>
      <c r="M3" s="7">
        <f t="shared" si="2"/>
        <v>55240</v>
      </c>
      <c r="N3" s="7">
        <f t="shared" si="2"/>
        <v>51015</v>
      </c>
      <c r="O3" s="7">
        <f t="shared" si="2"/>
        <v>50889</v>
      </c>
    </row>
    <row r="4">
      <c r="A4" s="9" t="s">
        <v>2</v>
      </c>
      <c r="D4" s="10"/>
      <c r="E4" s="10"/>
      <c r="F4" s="11">
        <v>500.0</v>
      </c>
      <c r="G4" s="11">
        <v>1500.0</v>
      </c>
      <c r="H4" s="10"/>
      <c r="I4" s="10"/>
      <c r="J4" s="10"/>
      <c r="K4" s="10"/>
      <c r="L4" s="10"/>
      <c r="M4" s="12">
        <v>3500.0</v>
      </c>
      <c r="N4" s="10"/>
      <c r="O4" s="12">
        <v>1100.0</v>
      </c>
    </row>
    <row r="5">
      <c r="A5" s="9" t="s">
        <v>3</v>
      </c>
      <c r="D5" s="13">
        <v>42255.0</v>
      </c>
      <c r="E5" s="13">
        <v>42255.0</v>
      </c>
      <c r="F5" s="13">
        <v>42255.0</v>
      </c>
      <c r="G5" s="13">
        <v>42255.0</v>
      </c>
      <c r="H5" s="13">
        <v>42255.0</v>
      </c>
      <c r="I5" s="13">
        <v>42255.0</v>
      </c>
      <c r="J5" s="13">
        <v>42255.0</v>
      </c>
      <c r="K5" s="13">
        <v>42255.0</v>
      </c>
      <c r="L5" s="13">
        <v>42255.0</v>
      </c>
      <c r="M5" s="13">
        <v>42255.0</v>
      </c>
      <c r="N5" s="13">
        <v>42255.0</v>
      </c>
      <c r="O5" s="13">
        <v>42255.0</v>
      </c>
    </row>
    <row r="6">
      <c r="A6" s="9" t="s">
        <v>4</v>
      </c>
      <c r="D6" s="14">
        <f>585+8915</f>
        <v>9500</v>
      </c>
      <c r="E6" s="14">
        <f>585+7826</f>
        <v>8411</v>
      </c>
      <c r="F6" s="14">
        <v>8960.0</v>
      </c>
      <c r="G6" s="14">
        <f>640+9650</f>
        <v>10290</v>
      </c>
      <c r="H6" s="14">
        <f>640+8444</f>
        <v>9084</v>
      </c>
      <c r="I6" s="14">
        <v>9705.0</v>
      </c>
      <c r="J6" s="14">
        <v>9809.0</v>
      </c>
      <c r="K6" s="14">
        <v>8537.0</v>
      </c>
      <c r="L6" s="14">
        <v>9808.0</v>
      </c>
      <c r="M6" s="14">
        <v>9485.0</v>
      </c>
      <c r="N6" s="14">
        <v>8760.0</v>
      </c>
      <c r="O6" s="14">
        <f>640+6894</f>
        <v>7534</v>
      </c>
    </row>
    <row r="7">
      <c r="A7" s="15" t="s">
        <v>5</v>
      </c>
      <c r="D7" s="16">
        <f t="shared" ref="D7:H7" si="3">SUM(D8:D26)</f>
        <v>21827</v>
      </c>
      <c r="E7" s="16">
        <f t="shared" si="3"/>
        <v>41090</v>
      </c>
      <c r="F7" s="16">
        <f t="shared" si="3"/>
        <v>41749</v>
      </c>
      <c r="G7" s="16">
        <f t="shared" si="3"/>
        <v>37307</v>
      </c>
      <c r="H7" s="16">
        <f t="shared" si="3"/>
        <v>51612</v>
      </c>
      <c r="I7" s="16">
        <f t="shared" ref="I7:O7" si="4">SUM(I8:I27)</f>
        <v>39014</v>
      </c>
      <c r="J7" s="16">
        <f t="shared" si="4"/>
        <v>40351</v>
      </c>
      <c r="K7" s="16">
        <f t="shared" si="4"/>
        <v>37134</v>
      </c>
      <c r="L7" s="16">
        <f t="shared" si="4"/>
        <v>43208.5</v>
      </c>
      <c r="M7" s="16">
        <f t="shared" si="4"/>
        <v>42852</v>
      </c>
      <c r="N7" s="16">
        <f t="shared" si="4"/>
        <v>50532</v>
      </c>
      <c r="O7" s="16">
        <f t="shared" si="4"/>
        <v>41614</v>
      </c>
    </row>
    <row r="8">
      <c r="A8" s="17" t="s">
        <v>6</v>
      </c>
      <c r="D8" s="18">
        <v>1595.0</v>
      </c>
      <c r="E8" s="18">
        <v>1638.0</v>
      </c>
      <c r="F8" s="18">
        <v>1687.0</v>
      </c>
      <c r="G8" s="18">
        <v>1715.0</v>
      </c>
      <c r="H8" s="18">
        <v>1683.0</v>
      </c>
      <c r="I8" s="18">
        <v>1681.0</v>
      </c>
      <c r="J8" s="18">
        <v>1707.0</v>
      </c>
      <c r="K8" s="18">
        <v>1738.0</v>
      </c>
      <c r="L8" s="18">
        <v>1699.0</v>
      </c>
      <c r="M8" s="18">
        <v>1698.0</v>
      </c>
      <c r="N8" s="18">
        <v>1783.0</v>
      </c>
      <c r="O8" s="18">
        <v>1736.0</v>
      </c>
    </row>
    <row r="9">
      <c r="A9" s="19" t="s">
        <v>7</v>
      </c>
      <c r="D9" s="18">
        <v>1020.0</v>
      </c>
      <c r="E9" s="18">
        <v>499.0</v>
      </c>
      <c r="F9" s="18">
        <v>783.0</v>
      </c>
      <c r="G9" s="18">
        <v>687.0</v>
      </c>
      <c r="H9" s="18">
        <v>955.0</v>
      </c>
      <c r="I9" s="18">
        <v>455.0</v>
      </c>
      <c r="J9" s="18">
        <v>719.0</v>
      </c>
      <c r="K9" s="18">
        <v>687.0</v>
      </c>
      <c r="L9" s="18">
        <v>719.0</v>
      </c>
      <c r="M9" s="18">
        <v>687.0</v>
      </c>
      <c r="N9" s="18">
        <v>815.0</v>
      </c>
      <c r="O9" s="18">
        <v>955.0</v>
      </c>
    </row>
    <row r="10">
      <c r="A10" s="19" t="s">
        <v>8</v>
      </c>
      <c r="D10" s="18">
        <v>553.0</v>
      </c>
      <c r="E10" s="18">
        <v>1331.0</v>
      </c>
      <c r="F10" s="18">
        <v>1029.0</v>
      </c>
      <c r="G10" s="18">
        <v>172.0</v>
      </c>
      <c r="H10" s="18">
        <v>2668.0</v>
      </c>
      <c r="I10" s="18">
        <v>593.0</v>
      </c>
      <c r="J10" s="18">
        <v>1176.0</v>
      </c>
      <c r="K10" s="18">
        <v>1341.0</v>
      </c>
      <c r="L10" s="18">
        <v>33.5</v>
      </c>
      <c r="M10" s="18">
        <v>1166.0</v>
      </c>
      <c r="N10" s="18">
        <v>669.0</v>
      </c>
      <c r="O10" s="18">
        <v>747.0</v>
      </c>
    </row>
    <row r="11">
      <c r="A11" s="19" t="s">
        <v>9</v>
      </c>
      <c r="D11" s="18">
        <v>1056.0</v>
      </c>
      <c r="E11" s="18">
        <v>1056.0</v>
      </c>
      <c r="F11" s="18">
        <v>1056.0</v>
      </c>
      <c r="G11" s="18">
        <v>1056.0</v>
      </c>
      <c r="H11" s="18">
        <v>1056.0</v>
      </c>
      <c r="I11" s="18">
        <v>1056.0</v>
      </c>
      <c r="J11" s="18">
        <v>1056.0</v>
      </c>
      <c r="K11" s="18">
        <v>1056.0</v>
      </c>
      <c r="L11" s="18">
        <f>1074-18</f>
        <v>1056</v>
      </c>
      <c r="M11" s="18">
        <v>915.0</v>
      </c>
      <c r="N11" s="18">
        <v>1600.0</v>
      </c>
      <c r="O11" s="18">
        <v>1331.0</v>
      </c>
    </row>
    <row r="12">
      <c r="A12" s="17" t="s">
        <v>10</v>
      </c>
      <c r="D12" s="18">
        <v>1747.0</v>
      </c>
      <c r="E12" s="18">
        <v>775.0</v>
      </c>
      <c r="F12" s="18">
        <v>560.0</v>
      </c>
      <c r="G12" s="18">
        <v>560.0</v>
      </c>
      <c r="H12" s="18">
        <v>551.0</v>
      </c>
      <c r="I12" s="18">
        <v>455.0</v>
      </c>
      <c r="J12" s="18">
        <v>551.0</v>
      </c>
      <c r="K12" s="20"/>
      <c r="L12" s="18">
        <v>1102.0</v>
      </c>
      <c r="M12" s="18">
        <v>560.0</v>
      </c>
      <c r="N12" s="18">
        <v>1343.0</v>
      </c>
      <c r="O12" s="18">
        <v>0.0</v>
      </c>
    </row>
    <row r="13">
      <c r="A13" s="19" t="s">
        <v>11</v>
      </c>
      <c r="D13" s="21">
        <v>1350.0</v>
      </c>
      <c r="E13" s="21">
        <v>1350.0</v>
      </c>
      <c r="F13" s="21">
        <v>1350.0</v>
      </c>
      <c r="G13" s="21">
        <v>1350.0</v>
      </c>
      <c r="H13" s="21">
        <v>1350.0</v>
      </c>
      <c r="I13" s="21">
        <v>1350.0</v>
      </c>
      <c r="J13" s="21">
        <v>1350.0</v>
      </c>
      <c r="K13" s="21">
        <v>1350.0</v>
      </c>
      <c r="L13" s="21">
        <v>1450.0</v>
      </c>
      <c r="M13" s="21">
        <v>1450.0</v>
      </c>
      <c r="N13" s="21">
        <v>1450.0</v>
      </c>
      <c r="O13" s="21">
        <v>1450.0</v>
      </c>
    </row>
    <row r="14">
      <c r="A14" s="22" t="s">
        <v>12</v>
      </c>
      <c r="D14" s="23"/>
      <c r="E14" s="23"/>
      <c r="F14" s="24">
        <v>0.0</v>
      </c>
      <c r="G14" s="23"/>
      <c r="H14" s="23"/>
      <c r="I14" s="23"/>
      <c r="J14" s="21">
        <v>2168.0</v>
      </c>
      <c r="K14" s="23"/>
      <c r="L14" s="23"/>
      <c r="M14" s="23"/>
      <c r="N14" s="23"/>
      <c r="O14" s="23"/>
    </row>
    <row r="15">
      <c r="A15" s="22" t="s">
        <v>13</v>
      </c>
      <c r="D15" s="23"/>
      <c r="E15" s="23"/>
      <c r="F15" s="24">
        <v>0.0</v>
      </c>
      <c r="G15" s="23"/>
      <c r="H15" s="23"/>
      <c r="I15" s="23"/>
      <c r="J15" s="21">
        <v>1244.0</v>
      </c>
      <c r="K15" s="23"/>
      <c r="L15" s="23"/>
      <c r="M15" s="23"/>
      <c r="N15" s="23"/>
      <c r="O15" s="23"/>
    </row>
    <row r="16">
      <c r="A16" s="22" t="s">
        <v>14</v>
      </c>
      <c r="D16" s="23"/>
      <c r="E16" s="23"/>
      <c r="F16" s="21">
        <v>652.0</v>
      </c>
      <c r="G16" s="23"/>
      <c r="H16" s="23"/>
      <c r="I16" s="23"/>
      <c r="J16" s="23"/>
      <c r="K16" s="23"/>
      <c r="L16" s="23"/>
      <c r="M16" s="23"/>
      <c r="N16" s="23"/>
      <c r="O16" s="23"/>
    </row>
    <row r="17">
      <c r="A17" s="25" t="s">
        <v>15</v>
      </c>
      <c r="D17" s="26">
        <v>1500.0</v>
      </c>
      <c r="E17" s="26">
        <v>1500.0</v>
      </c>
      <c r="F17" s="26">
        <v>1500.0</v>
      </c>
      <c r="G17" s="26">
        <v>1500.0</v>
      </c>
      <c r="H17" s="26">
        <v>1500.0</v>
      </c>
      <c r="I17" s="26">
        <v>1500.0</v>
      </c>
      <c r="J17" s="26">
        <v>1500.0</v>
      </c>
      <c r="K17" s="26">
        <v>1500.0</v>
      </c>
      <c r="L17" s="26">
        <v>1500.0</v>
      </c>
      <c r="M17" s="26">
        <v>1500.0</v>
      </c>
      <c r="N17" s="26">
        <v>1500.0</v>
      </c>
      <c r="O17" s="26">
        <v>1500.0</v>
      </c>
    </row>
    <row r="18">
      <c r="A18" s="25" t="s">
        <v>16</v>
      </c>
      <c r="D18" s="27">
        <v>0.0</v>
      </c>
      <c r="E18" s="27">
        <v>0.0</v>
      </c>
      <c r="F18" s="27">
        <v>0.0</v>
      </c>
      <c r="G18" s="27">
        <v>0.0</v>
      </c>
      <c r="H18" s="27">
        <v>0.0</v>
      </c>
      <c r="I18" s="27">
        <v>0.0</v>
      </c>
      <c r="J18" s="27">
        <v>0.0</v>
      </c>
      <c r="K18" s="27">
        <v>0.0</v>
      </c>
      <c r="L18" s="27">
        <v>0.0</v>
      </c>
      <c r="M18" s="27">
        <v>700.0</v>
      </c>
      <c r="N18" s="27">
        <v>300.0</v>
      </c>
      <c r="O18" s="27">
        <v>1077.0</v>
      </c>
    </row>
    <row r="19">
      <c r="A19" s="25" t="s">
        <v>17</v>
      </c>
      <c r="D19" s="27">
        <v>589.0</v>
      </c>
      <c r="E19" s="27">
        <v>0.0</v>
      </c>
      <c r="F19" s="27">
        <v>0.0</v>
      </c>
      <c r="G19" s="27">
        <v>0.0</v>
      </c>
      <c r="H19" s="27">
        <v>1129.0</v>
      </c>
      <c r="I19" s="27">
        <v>0.0</v>
      </c>
      <c r="J19" s="28"/>
      <c r="K19" s="27">
        <v>0.0</v>
      </c>
      <c r="L19" s="27">
        <v>0.0</v>
      </c>
      <c r="M19" s="27">
        <v>0.0</v>
      </c>
      <c r="N19" s="27">
        <v>861.0</v>
      </c>
      <c r="O19" s="27">
        <v>130.0</v>
      </c>
    </row>
    <row r="20">
      <c r="A20" s="25" t="s">
        <v>18</v>
      </c>
      <c r="D20" s="27">
        <v>532.0</v>
      </c>
      <c r="E20" s="27">
        <v>938.0</v>
      </c>
      <c r="F20" s="27">
        <v>941.0</v>
      </c>
      <c r="G20" s="27">
        <v>741.0</v>
      </c>
      <c r="H20" s="27">
        <v>969.0</v>
      </c>
      <c r="I20" s="27">
        <v>731.0</v>
      </c>
      <c r="J20" s="27">
        <v>940.0</v>
      </c>
      <c r="K20" s="27">
        <v>764.0</v>
      </c>
      <c r="L20" s="27">
        <v>663.0</v>
      </c>
      <c r="M20" s="27">
        <v>612.0</v>
      </c>
      <c r="N20" s="27">
        <v>1152.0</v>
      </c>
      <c r="O20" s="27">
        <v>971.0</v>
      </c>
    </row>
    <row r="21">
      <c r="A21" s="25" t="s">
        <v>19</v>
      </c>
      <c r="D21" s="27">
        <v>1119.0</v>
      </c>
      <c r="E21" s="27">
        <v>4839.0</v>
      </c>
      <c r="F21" s="27">
        <v>1726.0</v>
      </c>
      <c r="G21" s="27">
        <v>3924.0</v>
      </c>
      <c r="H21" s="27">
        <v>2317.0</v>
      </c>
      <c r="I21" s="27">
        <v>5397.0</v>
      </c>
      <c r="J21" s="27">
        <v>2375.0</v>
      </c>
      <c r="K21" s="27">
        <v>781.0</v>
      </c>
      <c r="L21" s="27">
        <v>3763.0</v>
      </c>
      <c r="M21" s="27">
        <v>3005.0</v>
      </c>
      <c r="N21" s="27">
        <v>2679.0</v>
      </c>
      <c r="O21" s="27">
        <v>5000.0</v>
      </c>
    </row>
    <row r="22">
      <c r="A22" s="25" t="s">
        <v>20</v>
      </c>
      <c r="D22" s="26">
        <v>2500.0</v>
      </c>
      <c r="E22" s="27">
        <v>3366.0</v>
      </c>
      <c r="F22" s="27">
        <v>6367.0</v>
      </c>
      <c r="G22" s="27">
        <v>2063.0</v>
      </c>
      <c r="H22" s="27">
        <v>13535.0</v>
      </c>
      <c r="I22" s="27">
        <v>2416.0</v>
      </c>
      <c r="J22" s="27">
        <v>2858.0</v>
      </c>
      <c r="K22" s="27">
        <v>4125.0</v>
      </c>
      <c r="L22" s="27">
        <v>2701.0</v>
      </c>
      <c r="M22" s="27">
        <v>8066.0</v>
      </c>
      <c r="N22" s="27">
        <v>1767.0</v>
      </c>
      <c r="O22" s="27">
        <v>1811.0</v>
      </c>
    </row>
    <row r="23">
      <c r="A23" s="25" t="s">
        <v>21</v>
      </c>
      <c r="D23" s="26">
        <v>8000.0</v>
      </c>
      <c r="E23" s="27">
        <v>23798.0</v>
      </c>
      <c r="F23" s="27">
        <v>24098.0</v>
      </c>
      <c r="G23" s="27">
        <v>23143.0</v>
      </c>
      <c r="H23" s="27">
        <v>23104.0</v>
      </c>
      <c r="I23" s="27">
        <v>23380.0</v>
      </c>
      <c r="J23" s="27">
        <v>22707.0</v>
      </c>
      <c r="K23" s="27">
        <f>23182+610</f>
        <v>23792</v>
      </c>
      <c r="L23" s="27">
        <v>21918.0</v>
      </c>
      <c r="M23" s="27">
        <v>21786.0</v>
      </c>
      <c r="N23" s="27">
        <v>33067.0</v>
      </c>
      <c r="O23" s="27">
        <v>24138.0</v>
      </c>
    </row>
    <row r="24">
      <c r="A24" s="29" t="s">
        <v>22</v>
      </c>
      <c r="D24" s="30"/>
      <c r="E24" s="31"/>
      <c r="F24" s="31"/>
      <c r="G24" s="31"/>
      <c r="H24" s="30"/>
      <c r="I24" s="31"/>
      <c r="J24" s="30"/>
      <c r="K24" s="30"/>
      <c r="L24" s="30"/>
      <c r="M24" s="30"/>
      <c r="N24" s="31"/>
      <c r="O24" s="30"/>
    </row>
    <row r="25">
      <c r="A25" s="29" t="s">
        <v>23</v>
      </c>
      <c r="D25" s="30"/>
      <c r="E25" s="30"/>
      <c r="F25" s="30"/>
      <c r="G25" s="30"/>
      <c r="H25" s="30"/>
      <c r="I25" s="30"/>
      <c r="J25" s="30"/>
      <c r="K25" s="30"/>
      <c r="L25" s="31">
        <v>6345.0</v>
      </c>
      <c r="M25" s="30"/>
      <c r="N25" s="31">
        <v>660.0</v>
      </c>
      <c r="O25" s="30"/>
    </row>
    <row r="26">
      <c r="A26" s="32" t="s">
        <v>24</v>
      </c>
      <c r="D26" s="31">
        <v>266.0</v>
      </c>
      <c r="E26" s="30"/>
      <c r="F26" s="30"/>
      <c r="G26" s="31">
        <v>396.0</v>
      </c>
      <c r="H26" s="31">
        <v>795.0</v>
      </c>
      <c r="I26" s="30"/>
      <c r="J26" s="30"/>
      <c r="K26" s="30"/>
      <c r="L26" s="31">
        <v>259.0</v>
      </c>
      <c r="M26" s="31">
        <v>707.0</v>
      </c>
      <c r="N26" s="31">
        <v>886.0</v>
      </c>
      <c r="O26" s="31">
        <v>768.0</v>
      </c>
    </row>
    <row r="27">
      <c r="A27" s="33" t="s">
        <v>25</v>
      </c>
      <c r="D27" s="34"/>
      <c r="E27" s="34"/>
      <c r="F27" s="34"/>
      <c r="G27" s="34"/>
      <c r="H27" s="34"/>
      <c r="I27" s="35" t="str">
        <f t="shared" ref="I27:O27" si="5">I42</f>
        <v/>
      </c>
      <c r="J27" s="35" t="str">
        <f t="shared" si="5"/>
        <v/>
      </c>
      <c r="K27" s="35" t="str">
        <f t="shared" si="5"/>
        <v/>
      </c>
      <c r="L27" s="35" t="str">
        <f t="shared" si="5"/>
        <v/>
      </c>
      <c r="M27" s="35" t="str">
        <f t="shared" si="5"/>
        <v/>
      </c>
      <c r="N27" s="35" t="str">
        <f t="shared" si="5"/>
        <v/>
      </c>
      <c r="O27" s="35" t="str">
        <f t="shared" si="5"/>
        <v/>
      </c>
    </row>
    <row r="28">
      <c r="A28" s="36" t="s">
        <v>26</v>
      </c>
      <c r="D28" s="37">
        <v>10000.0</v>
      </c>
      <c r="E28" s="38">
        <f>15760+3152</f>
        <v>18912</v>
      </c>
      <c r="F28" s="37">
        <v>21000.0</v>
      </c>
      <c r="G28" s="38">
        <v>7000.0</v>
      </c>
      <c r="H28" s="37">
        <v>7000.0</v>
      </c>
      <c r="I28" s="38"/>
      <c r="J28" s="38"/>
      <c r="K28" s="37">
        <v>30000.0</v>
      </c>
      <c r="L28" s="37">
        <v>15000.0</v>
      </c>
      <c r="M28" s="37">
        <v>14700.0</v>
      </c>
      <c r="N28" s="38"/>
      <c r="O28" s="39"/>
    </row>
    <row r="29">
      <c r="A29" s="36" t="s">
        <v>27</v>
      </c>
      <c r="D29" s="40">
        <f t="shared" ref="D29:O29" si="6">D3-(D7+D28)</f>
        <v>19928</v>
      </c>
      <c r="E29" s="40">
        <f t="shared" si="6"/>
        <v>-9336</v>
      </c>
      <c r="F29" s="40">
        <f t="shared" si="6"/>
        <v>-11034</v>
      </c>
      <c r="G29" s="40">
        <f t="shared" si="6"/>
        <v>9738</v>
      </c>
      <c r="H29" s="40">
        <f t="shared" si="6"/>
        <v>-7273</v>
      </c>
      <c r="I29" s="40">
        <f t="shared" si="6"/>
        <v>12946</v>
      </c>
      <c r="J29" s="40">
        <f t="shared" si="6"/>
        <v>11713</v>
      </c>
      <c r="K29" s="40">
        <f t="shared" si="6"/>
        <v>-16342</v>
      </c>
      <c r="L29" s="40">
        <f t="shared" si="6"/>
        <v>-6145.5</v>
      </c>
      <c r="M29" s="40">
        <f t="shared" si="6"/>
        <v>-2312</v>
      </c>
      <c r="N29" s="40">
        <f t="shared" si="6"/>
        <v>483</v>
      </c>
      <c r="O29" s="40">
        <f t="shared" si="6"/>
        <v>9275</v>
      </c>
    </row>
    <row r="30">
      <c r="A30" s="36" t="s">
        <v>28</v>
      </c>
      <c r="D30" s="40">
        <v>-3093.0</v>
      </c>
      <c r="E30" s="40">
        <v>-316.0</v>
      </c>
      <c r="F30" s="40">
        <v>748.0</v>
      </c>
      <c r="G30" s="40">
        <v>291.0</v>
      </c>
      <c r="H30" s="40">
        <v>-1128.0</v>
      </c>
      <c r="I30" s="40">
        <v>-307.0</v>
      </c>
      <c r="J30" s="40">
        <v>-385.0</v>
      </c>
      <c r="K30" s="40">
        <v>-553.0</v>
      </c>
      <c r="L30" s="40">
        <v>-125.0</v>
      </c>
      <c r="M30" s="40">
        <v>-118.0</v>
      </c>
      <c r="N30" s="40">
        <f>-947+70</f>
        <v>-877</v>
      </c>
      <c r="O30" s="40">
        <v>-308.0</v>
      </c>
    </row>
    <row r="31">
      <c r="A31" s="3" t="s">
        <v>0</v>
      </c>
      <c r="D31" s="5">
        <f t="shared" ref="D31:O31" si="7">D30+(D29+D2)</f>
        <v>21244</v>
      </c>
      <c r="E31" s="5">
        <f t="shared" si="7"/>
        <v>11592</v>
      </c>
      <c r="F31" s="5">
        <f t="shared" si="7"/>
        <v>1306</v>
      </c>
      <c r="G31" s="5">
        <f t="shared" si="7"/>
        <v>11335</v>
      </c>
      <c r="H31" s="5">
        <f t="shared" si="7"/>
        <v>2934</v>
      </c>
      <c r="I31" s="5">
        <f t="shared" si="7"/>
        <v>15573</v>
      </c>
      <c r="J31" s="5">
        <f t="shared" si="7"/>
        <v>26901</v>
      </c>
      <c r="K31" s="5">
        <f t="shared" si="7"/>
        <v>10006</v>
      </c>
      <c r="L31" s="5">
        <f t="shared" si="7"/>
        <v>3735.5</v>
      </c>
      <c r="M31" s="5">
        <f t="shared" si="7"/>
        <v>1305.5</v>
      </c>
      <c r="N31" s="5">
        <f t="shared" si="7"/>
        <v>911.5</v>
      </c>
      <c r="O31" s="5">
        <f t="shared" si="7"/>
        <v>9878.5</v>
      </c>
    </row>
    <row r="32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</row>
  </sheetData>
  <mergeCells count="31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9:C29"/>
    <mergeCell ref="A30:C30"/>
    <mergeCell ref="A31:C31"/>
    <mergeCell ref="A22:C22"/>
    <mergeCell ref="A23:C23"/>
    <mergeCell ref="A24:C24"/>
    <mergeCell ref="A25:C25"/>
    <mergeCell ref="A26:C26"/>
    <mergeCell ref="A27:C27"/>
    <mergeCell ref="A28:C28"/>
  </mergeCells>
  <drawing r:id="rId2"/>
  <legacyDrawing r:id="rId3"/>
</worksheet>
</file>