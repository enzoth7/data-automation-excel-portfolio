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4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5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6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7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drawings/drawing8.xml" ContentType="application/vnd.openxmlformats-officedocument.drawing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9.xml" ContentType="application/vnd.openxmlformats-officedocument.drawing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drawings/drawing10.xml" ContentType="application/vnd.openxmlformats-officedocument.drawing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drawings/drawing11.xml" ContentType="application/vnd.openxmlformats-officedocument.drawing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drawings/drawing12.xml" ContentType="application/vnd.openxmlformats-officedocument.drawing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drawings/drawing13.xml" ContentType="application/vnd.openxmlformats-officedocument.drawing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nzog\OneDrive\Escritorio\PORTFOLIOS\Data-automation-excel-portfolio\1- Dashboards\"/>
    </mc:Choice>
  </mc:AlternateContent>
  <xr:revisionPtr revIDLastSave="0" documentId="13_ncr:1_{BFC93330-514D-48E0-A612-C2859D8080AF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CTAS" sheetId="1" r:id="rId1"/>
    <sheet name="RESUMEN" sheetId="2" r:id="rId2"/>
    <sheet name="ENERO" sheetId="3" r:id="rId3"/>
    <sheet name="FEBRERO" sheetId="4" r:id="rId4"/>
    <sheet name="MARZO" sheetId="5" r:id="rId5"/>
    <sheet name="ABRIL" sheetId="6" r:id="rId6"/>
    <sheet name="MAYO" sheetId="7" r:id="rId7"/>
    <sheet name="JUNIO" sheetId="8" r:id="rId8"/>
    <sheet name="JULIO" sheetId="9" r:id="rId9"/>
    <sheet name="AGOSTO" sheetId="10" r:id="rId10"/>
    <sheet name="SEPTIEMBRE" sheetId="11" r:id="rId11"/>
    <sheet name="OCTUBRE" sheetId="12" r:id="rId12"/>
    <sheet name="NOVIEMBRE" sheetId="13" r:id="rId13"/>
    <sheet name="DICIEMBRE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O120" i="14"/>
  <c r="H53" i="14"/>
  <c r="H52" i="14"/>
  <c r="J8" i="14" s="1"/>
  <c r="Q18" i="2" s="1"/>
  <c r="M40" i="14"/>
  <c r="S42" i="14" s="1"/>
  <c r="L40" i="14"/>
  <c r="T37" i="14"/>
  <c r="V37" i="14" s="1"/>
  <c r="H37" i="14"/>
  <c r="T36" i="14"/>
  <c r="Q78" i="2" s="1"/>
  <c r="H36" i="14"/>
  <c r="T35" i="14"/>
  <c r="V35" i="14" s="1"/>
  <c r="T34" i="14"/>
  <c r="V34" i="14" s="1"/>
  <c r="T33" i="14"/>
  <c r="V33" i="14" s="1"/>
  <c r="T32" i="14"/>
  <c r="V32" i="14" s="1"/>
  <c r="T31" i="14"/>
  <c r="V31" i="14" s="1"/>
  <c r="Z30" i="14"/>
  <c r="T30" i="14"/>
  <c r="Q72" i="2" s="1"/>
  <c r="Z29" i="14"/>
  <c r="T29" i="14"/>
  <c r="Z28" i="14"/>
  <c r="T28" i="14"/>
  <c r="Z27" i="14"/>
  <c r="T27" i="14"/>
  <c r="V27" i="14" s="1"/>
  <c r="T26" i="14"/>
  <c r="Q68" i="2" s="1"/>
  <c r="T25" i="14"/>
  <c r="V25" i="14" s="1"/>
  <c r="T24" i="14"/>
  <c r="V24" i="14" s="1"/>
  <c r="T23" i="14"/>
  <c r="V23" i="14" s="1"/>
  <c r="T22" i="14"/>
  <c r="V22" i="14" s="1"/>
  <c r="T21" i="14"/>
  <c r="V21" i="14" s="1"/>
  <c r="T20" i="14"/>
  <c r="V20" i="14" s="1"/>
  <c r="T19" i="14"/>
  <c r="V19" i="14" s="1"/>
  <c r="T18" i="14"/>
  <c r="Q60" i="2" s="1"/>
  <c r="T17" i="14"/>
  <c r="Z16" i="14"/>
  <c r="T16" i="14"/>
  <c r="Z15" i="14"/>
  <c r="T15" i="14"/>
  <c r="T40" i="14" s="1"/>
  <c r="Z14" i="14"/>
  <c r="Z17" i="14" s="1"/>
  <c r="Z13" i="14"/>
  <c r="K8" i="14"/>
  <c r="Q20" i="2" s="1"/>
  <c r="I8" i="14"/>
  <c r="Q14" i="2" s="1"/>
  <c r="H8" i="14"/>
  <c r="J5" i="14"/>
  <c r="H5" i="14"/>
  <c r="L5" i="14" s="1"/>
  <c r="O120" i="13"/>
  <c r="I8" i="13" s="1"/>
  <c r="P14" i="2" s="1"/>
  <c r="H53" i="13"/>
  <c r="H52" i="13"/>
  <c r="M40" i="13"/>
  <c r="H8" i="13" s="1"/>
  <c r="L40" i="13"/>
  <c r="T37" i="13"/>
  <c r="P79" i="2" s="1"/>
  <c r="H37" i="13"/>
  <c r="T36" i="13"/>
  <c r="H36" i="13"/>
  <c r="T35" i="13"/>
  <c r="T34" i="13"/>
  <c r="T33" i="13"/>
  <c r="T32" i="13"/>
  <c r="T31" i="13"/>
  <c r="Z30" i="13"/>
  <c r="T30" i="13"/>
  <c r="Z29" i="13"/>
  <c r="T29" i="13"/>
  <c r="Z28" i="13"/>
  <c r="T28" i="13"/>
  <c r="Z27" i="13"/>
  <c r="T27" i="13"/>
  <c r="T26" i="13"/>
  <c r="T25" i="13"/>
  <c r="T24" i="13"/>
  <c r="T23" i="13"/>
  <c r="T22" i="13"/>
  <c r="T21" i="13"/>
  <c r="T20" i="13"/>
  <c r="T19" i="13"/>
  <c r="T18" i="13"/>
  <c r="T17" i="13"/>
  <c r="Z16" i="13"/>
  <c r="T16" i="13"/>
  <c r="Z15" i="13"/>
  <c r="T15" i="13"/>
  <c r="Z13" i="13"/>
  <c r="K8" i="13"/>
  <c r="J8" i="13"/>
  <c r="J5" i="13"/>
  <c r="H5" i="13"/>
  <c r="L5" i="13" s="1"/>
  <c r="O120" i="12"/>
  <c r="H53" i="12"/>
  <c r="H52" i="12"/>
  <c r="S42" i="12"/>
  <c r="M40" i="12"/>
  <c r="L40" i="12"/>
  <c r="T37" i="12"/>
  <c r="V37" i="12" s="1"/>
  <c r="H37" i="12"/>
  <c r="T36" i="12"/>
  <c r="V36" i="12" s="1"/>
  <c r="H36" i="12"/>
  <c r="T35" i="12"/>
  <c r="V35" i="12" s="1"/>
  <c r="T34" i="12"/>
  <c r="V34" i="12" s="1"/>
  <c r="T33" i="12"/>
  <c r="O75" i="2" s="1"/>
  <c r="T32" i="12"/>
  <c r="T31" i="12"/>
  <c r="Z30" i="12"/>
  <c r="T30" i="12"/>
  <c r="Z29" i="12"/>
  <c r="T29" i="12"/>
  <c r="V29" i="12" s="1"/>
  <c r="Z28" i="12"/>
  <c r="T28" i="12"/>
  <c r="O70" i="2" s="1"/>
  <c r="Z27" i="12"/>
  <c r="T27" i="12"/>
  <c r="V27" i="12" s="1"/>
  <c r="T26" i="12"/>
  <c r="V26" i="12" s="1"/>
  <c r="T25" i="12"/>
  <c r="V25" i="12" s="1"/>
  <c r="T24" i="12"/>
  <c r="V24" i="12" s="1"/>
  <c r="T23" i="12"/>
  <c r="V23" i="12" s="1"/>
  <c r="T22" i="12"/>
  <c r="V22" i="12" s="1"/>
  <c r="T21" i="12"/>
  <c r="O63" i="2" s="1"/>
  <c r="T20" i="12"/>
  <c r="T40" i="12" s="1"/>
  <c r="T19" i="12"/>
  <c r="T18" i="12"/>
  <c r="T17" i="12"/>
  <c r="Z16" i="12"/>
  <c r="T16" i="12"/>
  <c r="V16" i="12" s="1"/>
  <c r="Z15" i="12"/>
  <c r="T15" i="12"/>
  <c r="Z14" i="12"/>
  <c r="Z13" i="12"/>
  <c r="Z17" i="12" s="1"/>
  <c r="K8" i="12"/>
  <c r="J8" i="12"/>
  <c r="I8" i="12"/>
  <c r="H8" i="12"/>
  <c r="L8" i="12" s="1"/>
  <c r="J5" i="12"/>
  <c r="H5" i="12"/>
  <c r="L5" i="12" s="1"/>
  <c r="O120" i="11"/>
  <c r="I8" i="11" s="1"/>
  <c r="H53" i="11"/>
  <c r="Z16" i="11" s="1"/>
  <c r="H52" i="11"/>
  <c r="J8" i="11" s="1"/>
  <c r="N18" i="2" s="1"/>
  <c r="M40" i="11"/>
  <c r="S42" i="11" s="1"/>
  <c r="L40" i="11"/>
  <c r="T37" i="11"/>
  <c r="H37" i="11"/>
  <c r="T36" i="11"/>
  <c r="H36" i="11"/>
  <c r="T35" i="11"/>
  <c r="T34" i="11"/>
  <c r="T33" i="11"/>
  <c r="T32" i="11"/>
  <c r="T31" i="11"/>
  <c r="Z30" i="11"/>
  <c r="T30" i="11"/>
  <c r="Z29" i="11"/>
  <c r="T29" i="11"/>
  <c r="Z28" i="11"/>
  <c r="T28" i="11"/>
  <c r="Z27" i="11"/>
  <c r="T27" i="11"/>
  <c r="T26" i="11"/>
  <c r="T25" i="11"/>
  <c r="T24" i="11"/>
  <c r="T23" i="11"/>
  <c r="T22" i="11"/>
  <c r="T21" i="11"/>
  <c r="T20" i="11"/>
  <c r="T19" i="11"/>
  <c r="T18" i="11"/>
  <c r="T17" i="11"/>
  <c r="T16" i="11"/>
  <c r="T15" i="11"/>
  <c r="Z13" i="11"/>
  <c r="K8" i="11"/>
  <c r="H8" i="11"/>
  <c r="J5" i="11"/>
  <c r="H5" i="11"/>
  <c r="L5" i="11" s="1"/>
  <c r="O120" i="10"/>
  <c r="H53" i="10"/>
  <c r="Z16" i="10" s="1"/>
  <c r="H52" i="10"/>
  <c r="J8" i="10" s="1"/>
  <c r="M18" i="2" s="1"/>
  <c r="M40" i="10"/>
  <c r="S42" i="10" s="1"/>
  <c r="L40" i="10"/>
  <c r="T37" i="10"/>
  <c r="V37" i="10" s="1"/>
  <c r="H37" i="10"/>
  <c r="T36" i="10"/>
  <c r="H36" i="10"/>
  <c r="T35" i="10"/>
  <c r="M77" i="2" s="1"/>
  <c r="T34" i="10"/>
  <c r="T33" i="10"/>
  <c r="T32" i="10"/>
  <c r="T31" i="10"/>
  <c r="Z30" i="10"/>
  <c r="T30" i="10"/>
  <c r="Z29" i="10"/>
  <c r="T29" i="10"/>
  <c r="M71" i="2" s="1"/>
  <c r="Z28" i="10"/>
  <c r="T28" i="10"/>
  <c r="V28" i="10" s="1"/>
  <c r="Z27" i="10"/>
  <c r="T27" i="10"/>
  <c r="V27" i="10" s="1"/>
  <c r="T26" i="10"/>
  <c r="T25" i="10"/>
  <c r="T24" i="10"/>
  <c r="M66" i="2" s="1"/>
  <c r="T23" i="10"/>
  <c r="T22" i="10"/>
  <c r="T21" i="10"/>
  <c r="T20" i="10"/>
  <c r="T19" i="10"/>
  <c r="T18" i="10"/>
  <c r="T17" i="10"/>
  <c r="T16" i="10"/>
  <c r="M58" i="2" s="1"/>
  <c r="Z15" i="10"/>
  <c r="T15" i="10"/>
  <c r="T40" i="10" s="1"/>
  <c r="Z14" i="10"/>
  <c r="Z13" i="10"/>
  <c r="I8" i="10"/>
  <c r="H8" i="10"/>
  <c r="J5" i="10"/>
  <c r="H5" i="10"/>
  <c r="L5" i="10" s="1"/>
  <c r="O120" i="9"/>
  <c r="H53" i="9"/>
  <c r="H52" i="9"/>
  <c r="M40" i="9"/>
  <c r="S42" i="9" s="1"/>
  <c r="L40" i="9"/>
  <c r="T37" i="9"/>
  <c r="H37" i="9"/>
  <c r="T36" i="9"/>
  <c r="H36" i="9"/>
  <c r="T35" i="9"/>
  <c r="T34" i="9"/>
  <c r="T33" i="9"/>
  <c r="T32" i="9"/>
  <c r="T31" i="9"/>
  <c r="Z30" i="9"/>
  <c r="T30" i="9"/>
  <c r="Z29" i="9"/>
  <c r="T29" i="9"/>
  <c r="Z28" i="9"/>
  <c r="T28" i="9"/>
  <c r="Z27" i="9"/>
  <c r="T27" i="9"/>
  <c r="T26" i="9"/>
  <c r="T25" i="9"/>
  <c r="T24" i="9"/>
  <c r="T23" i="9"/>
  <c r="T22" i="9"/>
  <c r="T21" i="9"/>
  <c r="T20" i="9"/>
  <c r="T19" i="9"/>
  <c r="T18" i="9"/>
  <c r="Z17" i="9"/>
  <c r="T17" i="9"/>
  <c r="L59" i="2" s="1"/>
  <c r="Z16" i="9"/>
  <c r="T16" i="9"/>
  <c r="Z15" i="9"/>
  <c r="T15" i="9"/>
  <c r="Z14" i="9"/>
  <c r="Z13" i="9"/>
  <c r="K8" i="9"/>
  <c r="J8" i="9"/>
  <c r="I8" i="9"/>
  <c r="H8" i="9"/>
  <c r="L12" i="2" s="1"/>
  <c r="J5" i="9"/>
  <c r="H5" i="9"/>
  <c r="L5" i="9" s="1"/>
  <c r="O120" i="8"/>
  <c r="H53" i="8"/>
  <c r="H52" i="8"/>
  <c r="J8" i="8" s="1"/>
  <c r="K18" i="2" s="1"/>
  <c r="M40" i="8"/>
  <c r="S42" i="8" s="1"/>
  <c r="L40" i="8"/>
  <c r="T37" i="8"/>
  <c r="H37" i="8"/>
  <c r="H5" i="8" s="1"/>
  <c r="L5" i="8" s="1"/>
  <c r="T36" i="8"/>
  <c r="V36" i="8" s="1"/>
  <c r="H36" i="8"/>
  <c r="T35" i="8"/>
  <c r="V35" i="8" s="1"/>
  <c r="T34" i="8"/>
  <c r="T33" i="8"/>
  <c r="V33" i="8" s="1"/>
  <c r="T32" i="8"/>
  <c r="V32" i="8" s="1"/>
  <c r="T31" i="8"/>
  <c r="K73" i="2" s="1"/>
  <c r="Z30" i="8"/>
  <c r="T30" i="8"/>
  <c r="V30" i="8" s="1"/>
  <c r="Z29" i="8"/>
  <c r="T29" i="8"/>
  <c r="V29" i="8" s="1"/>
  <c r="Z28" i="8"/>
  <c r="T28" i="8"/>
  <c r="Z27" i="8"/>
  <c r="T27" i="8"/>
  <c r="K69" i="2" s="1"/>
  <c r="T26" i="8"/>
  <c r="K68" i="2" s="1"/>
  <c r="T25" i="8"/>
  <c r="V25" i="8" s="1"/>
  <c r="T24" i="8"/>
  <c r="V24" i="8" s="1"/>
  <c r="T23" i="8"/>
  <c r="V23" i="8" s="1"/>
  <c r="T22" i="8"/>
  <c r="V22" i="8" s="1"/>
  <c r="T21" i="8"/>
  <c r="V21" i="8" s="1"/>
  <c r="T20" i="8"/>
  <c r="V20" i="8" s="1"/>
  <c r="T19" i="8"/>
  <c r="K61" i="2" s="1"/>
  <c r="T18" i="8"/>
  <c r="K60" i="2" s="1"/>
  <c r="T17" i="8"/>
  <c r="V17" i="8" s="1"/>
  <c r="Z16" i="8"/>
  <c r="T16" i="8"/>
  <c r="V16" i="8" s="1"/>
  <c r="Z15" i="8"/>
  <c r="T15" i="8"/>
  <c r="T40" i="8" s="1"/>
  <c r="Z14" i="8"/>
  <c r="Z17" i="8" s="1"/>
  <c r="Z13" i="8"/>
  <c r="K8" i="8"/>
  <c r="K20" i="2" s="1"/>
  <c r="I8" i="8"/>
  <c r="H8" i="8"/>
  <c r="L8" i="8" s="1"/>
  <c r="J5" i="8"/>
  <c r="O120" i="7"/>
  <c r="H53" i="7"/>
  <c r="H52" i="7"/>
  <c r="J8" i="7" s="1"/>
  <c r="J18" i="2" s="1"/>
  <c r="M40" i="7"/>
  <c r="H8" i="7" s="1"/>
  <c r="L40" i="7"/>
  <c r="T37" i="7"/>
  <c r="H37" i="7"/>
  <c r="T36" i="7"/>
  <c r="H36" i="7"/>
  <c r="T35" i="7"/>
  <c r="T34" i="7"/>
  <c r="T33" i="7"/>
  <c r="T32" i="7"/>
  <c r="T31" i="7"/>
  <c r="Z30" i="7"/>
  <c r="T30" i="7"/>
  <c r="Z29" i="7"/>
  <c r="T29" i="7"/>
  <c r="Z28" i="7"/>
  <c r="T28" i="7"/>
  <c r="Z27" i="7"/>
  <c r="T27" i="7"/>
  <c r="T26" i="7"/>
  <c r="T25" i="7"/>
  <c r="T24" i="7"/>
  <c r="T23" i="7"/>
  <c r="T22" i="7"/>
  <c r="T21" i="7"/>
  <c r="T20" i="7"/>
  <c r="T19" i="7"/>
  <c r="T18" i="7"/>
  <c r="T17" i="7"/>
  <c r="Z16" i="7"/>
  <c r="T16" i="7"/>
  <c r="Z15" i="7"/>
  <c r="T15" i="7"/>
  <c r="Z14" i="7"/>
  <c r="Z13" i="7"/>
  <c r="Z17" i="7" s="1"/>
  <c r="K8" i="7"/>
  <c r="I8" i="7"/>
  <c r="J5" i="7"/>
  <c r="H5" i="7"/>
  <c r="L5" i="7" s="1"/>
  <c r="O120" i="6"/>
  <c r="H53" i="6"/>
  <c r="Z16" i="6" s="1"/>
  <c r="H52" i="6"/>
  <c r="J8" i="6" s="1"/>
  <c r="I18" i="2" s="1"/>
  <c r="S42" i="6"/>
  <c r="M40" i="6"/>
  <c r="L40" i="6"/>
  <c r="T37" i="6"/>
  <c r="H37" i="6"/>
  <c r="T36" i="6"/>
  <c r="H36" i="6"/>
  <c r="T35" i="6"/>
  <c r="T34" i="6"/>
  <c r="I76" i="2" s="1"/>
  <c r="T33" i="6"/>
  <c r="I75" i="2" s="1"/>
  <c r="T32" i="6"/>
  <c r="T31" i="6"/>
  <c r="Z30" i="6"/>
  <c r="T30" i="6"/>
  <c r="Z29" i="6"/>
  <c r="T29" i="6"/>
  <c r="Z28" i="6"/>
  <c r="T28" i="6"/>
  <c r="Z27" i="6"/>
  <c r="T27" i="6"/>
  <c r="T26" i="6"/>
  <c r="V26" i="6" s="1"/>
  <c r="T25" i="6"/>
  <c r="T24" i="6"/>
  <c r="V24" i="6" s="1"/>
  <c r="T23" i="6"/>
  <c r="T22" i="6"/>
  <c r="I64" i="2" s="1"/>
  <c r="T21" i="6"/>
  <c r="T40" i="6" s="1"/>
  <c r="T20" i="6"/>
  <c r="T19" i="6"/>
  <c r="T18" i="6"/>
  <c r="T17" i="6"/>
  <c r="T16" i="6"/>
  <c r="Z15" i="6"/>
  <c r="T15" i="6"/>
  <c r="Z14" i="6"/>
  <c r="Z13" i="6"/>
  <c r="Z17" i="6" s="1"/>
  <c r="K8" i="6"/>
  <c r="I8" i="6"/>
  <c r="H8" i="6"/>
  <c r="L8" i="6" s="1"/>
  <c r="J5" i="6"/>
  <c r="H5" i="6"/>
  <c r="L5" i="6" s="1"/>
  <c r="O120" i="5"/>
  <c r="Z14" i="5" s="1"/>
  <c r="H53" i="5"/>
  <c r="H52" i="5"/>
  <c r="J8" i="5" s="1"/>
  <c r="H18" i="2" s="1"/>
  <c r="M40" i="5"/>
  <c r="S42" i="5" s="1"/>
  <c r="L40" i="5"/>
  <c r="T37" i="5"/>
  <c r="H37" i="5"/>
  <c r="T36" i="5"/>
  <c r="H36" i="5"/>
  <c r="T35" i="5"/>
  <c r="T34" i="5"/>
  <c r="T33" i="5"/>
  <c r="T32" i="5"/>
  <c r="T31" i="5"/>
  <c r="Z30" i="5"/>
  <c r="T30" i="5"/>
  <c r="V30" i="5" s="1"/>
  <c r="Z29" i="5"/>
  <c r="T29" i="5"/>
  <c r="Z28" i="5"/>
  <c r="T28" i="5"/>
  <c r="Z27" i="5"/>
  <c r="T27" i="5"/>
  <c r="T26" i="5"/>
  <c r="T25" i="5"/>
  <c r="V25" i="5" s="1"/>
  <c r="T24" i="5"/>
  <c r="T23" i="5"/>
  <c r="T22" i="5"/>
  <c r="T21" i="5"/>
  <c r="V21" i="5" s="1"/>
  <c r="T20" i="5"/>
  <c r="V20" i="5" s="1"/>
  <c r="T19" i="5"/>
  <c r="T18" i="5"/>
  <c r="V18" i="5" s="1"/>
  <c r="T17" i="5"/>
  <c r="V17" i="5" s="1"/>
  <c r="Z16" i="5"/>
  <c r="T16" i="5"/>
  <c r="Z15" i="5"/>
  <c r="T15" i="5"/>
  <c r="T40" i="5" s="1"/>
  <c r="Z13" i="5"/>
  <c r="K8" i="5"/>
  <c r="H8" i="5"/>
  <c r="J5" i="5"/>
  <c r="H5" i="5"/>
  <c r="L5" i="5" s="1"/>
  <c r="O120" i="4"/>
  <c r="H53" i="4"/>
  <c r="H52" i="4"/>
  <c r="J8" i="4" s="1"/>
  <c r="G18" i="2" s="1"/>
  <c r="M40" i="4"/>
  <c r="S42" i="4" s="1"/>
  <c r="L40" i="4"/>
  <c r="T37" i="4"/>
  <c r="V37" i="4" s="1"/>
  <c r="H37" i="4"/>
  <c r="T36" i="4"/>
  <c r="V36" i="4" s="1"/>
  <c r="H36" i="4"/>
  <c r="T35" i="4"/>
  <c r="V35" i="4" s="1"/>
  <c r="T34" i="4"/>
  <c r="T33" i="4"/>
  <c r="T32" i="4"/>
  <c r="T31" i="4"/>
  <c r="Z30" i="4"/>
  <c r="T30" i="4"/>
  <c r="G72" i="2" s="1"/>
  <c r="Z29" i="4"/>
  <c r="T29" i="4"/>
  <c r="Z28" i="4"/>
  <c r="T28" i="4"/>
  <c r="V28" i="4" s="1"/>
  <c r="Z27" i="4"/>
  <c r="T27" i="4"/>
  <c r="T26" i="4"/>
  <c r="T25" i="4"/>
  <c r="G67" i="2" s="1"/>
  <c r="T24" i="4"/>
  <c r="G66" i="2" s="1"/>
  <c r="R66" i="2" s="1"/>
  <c r="T23" i="4"/>
  <c r="V23" i="4" s="1"/>
  <c r="T22" i="4"/>
  <c r="T21" i="4"/>
  <c r="T20" i="4"/>
  <c r="T19" i="4"/>
  <c r="T18" i="4"/>
  <c r="T17" i="4"/>
  <c r="Z16" i="4"/>
  <c r="T16" i="4"/>
  <c r="Z15" i="4"/>
  <c r="T15" i="4"/>
  <c r="T40" i="4" s="1"/>
  <c r="Z14" i="4"/>
  <c r="Z13" i="4"/>
  <c r="Z17" i="4" s="1"/>
  <c r="K8" i="4"/>
  <c r="I8" i="4"/>
  <c r="G14" i="2" s="1"/>
  <c r="H8" i="4"/>
  <c r="L8" i="4" s="1"/>
  <c r="L5" i="4"/>
  <c r="S8" i="4" s="1"/>
  <c r="J5" i="4"/>
  <c r="H5" i="4"/>
  <c r="O120" i="3"/>
  <c r="H53" i="3"/>
  <c r="Z16" i="3" s="1"/>
  <c r="H52" i="3"/>
  <c r="Z15" i="3" s="1"/>
  <c r="M40" i="3"/>
  <c r="H8" i="3" s="1"/>
  <c r="F12" i="2" s="1"/>
  <c r="L40" i="3"/>
  <c r="T37" i="3"/>
  <c r="F79" i="2" s="1"/>
  <c r="H37" i="3"/>
  <c r="H5" i="3" s="1"/>
  <c r="L5" i="3" s="1"/>
  <c r="T36" i="3"/>
  <c r="H36" i="3"/>
  <c r="T35" i="3"/>
  <c r="T34" i="3"/>
  <c r="F76" i="2" s="1"/>
  <c r="T33" i="3"/>
  <c r="T32" i="3"/>
  <c r="F74" i="2" s="1"/>
  <c r="T31" i="3"/>
  <c r="Z30" i="3"/>
  <c r="T30" i="3"/>
  <c r="Z29" i="3"/>
  <c r="T29" i="3"/>
  <c r="Z28" i="3"/>
  <c r="T28" i="3"/>
  <c r="Z27" i="3"/>
  <c r="T27" i="3"/>
  <c r="F69" i="2" s="1"/>
  <c r="S69" i="2" s="1"/>
  <c r="T26" i="3"/>
  <c r="T25" i="3"/>
  <c r="T24" i="3"/>
  <c r="T23" i="3"/>
  <c r="T22" i="3"/>
  <c r="T21" i="3"/>
  <c r="F63" i="2" s="1"/>
  <c r="T20" i="3"/>
  <c r="F62" i="2" s="1"/>
  <c r="T19" i="3"/>
  <c r="T18" i="3"/>
  <c r="T17" i="3"/>
  <c r="T16" i="3"/>
  <c r="T15" i="3"/>
  <c r="Z14" i="3"/>
  <c r="I8" i="3"/>
  <c r="J5" i="3"/>
  <c r="Q79" i="2"/>
  <c r="O79" i="2"/>
  <c r="N79" i="2"/>
  <c r="M79" i="2"/>
  <c r="L79" i="2"/>
  <c r="K79" i="2"/>
  <c r="J79" i="2"/>
  <c r="I79" i="2"/>
  <c r="H79" i="2"/>
  <c r="G79" i="2"/>
  <c r="P78" i="2"/>
  <c r="O78" i="2"/>
  <c r="N78" i="2"/>
  <c r="M78" i="2"/>
  <c r="L78" i="2"/>
  <c r="K78" i="2"/>
  <c r="J78" i="2"/>
  <c r="I78" i="2"/>
  <c r="H78" i="2"/>
  <c r="F78" i="2"/>
  <c r="Q77" i="2"/>
  <c r="P77" i="2"/>
  <c r="O77" i="2"/>
  <c r="N77" i="2"/>
  <c r="L77" i="2"/>
  <c r="K77" i="2"/>
  <c r="J77" i="2"/>
  <c r="I77" i="2"/>
  <c r="H77" i="2"/>
  <c r="G77" i="2"/>
  <c r="F77" i="2"/>
  <c r="S77" i="2" s="1"/>
  <c r="Q76" i="2"/>
  <c r="P76" i="2"/>
  <c r="O76" i="2"/>
  <c r="N76" i="2"/>
  <c r="M76" i="2"/>
  <c r="L76" i="2"/>
  <c r="K76" i="2"/>
  <c r="J76" i="2"/>
  <c r="H76" i="2"/>
  <c r="G76" i="2"/>
  <c r="Q75" i="2"/>
  <c r="P75" i="2"/>
  <c r="N75" i="2"/>
  <c r="M75" i="2"/>
  <c r="L75" i="2"/>
  <c r="K75" i="2"/>
  <c r="J75" i="2"/>
  <c r="H75" i="2"/>
  <c r="G75" i="2"/>
  <c r="F75" i="2"/>
  <c r="Q74" i="2"/>
  <c r="P74" i="2"/>
  <c r="N74" i="2"/>
  <c r="M74" i="2"/>
  <c r="L74" i="2"/>
  <c r="K74" i="2"/>
  <c r="J74" i="2"/>
  <c r="I74" i="2"/>
  <c r="H74" i="2"/>
  <c r="G74" i="2"/>
  <c r="Q73" i="2"/>
  <c r="P73" i="2"/>
  <c r="O73" i="2"/>
  <c r="N73" i="2"/>
  <c r="M73" i="2"/>
  <c r="L73" i="2"/>
  <c r="J73" i="2"/>
  <c r="I73" i="2"/>
  <c r="H73" i="2"/>
  <c r="G73" i="2"/>
  <c r="F73" i="2"/>
  <c r="P72" i="2"/>
  <c r="O72" i="2"/>
  <c r="N72" i="2"/>
  <c r="M72" i="2"/>
  <c r="L72" i="2"/>
  <c r="K72" i="2"/>
  <c r="J72" i="2"/>
  <c r="I72" i="2"/>
  <c r="H72" i="2"/>
  <c r="F72" i="2"/>
  <c r="Q71" i="2"/>
  <c r="P71" i="2"/>
  <c r="O71" i="2"/>
  <c r="N71" i="2"/>
  <c r="L71" i="2"/>
  <c r="K71" i="2"/>
  <c r="J71" i="2"/>
  <c r="R71" i="2" s="1"/>
  <c r="I71" i="2"/>
  <c r="H71" i="2"/>
  <c r="G71" i="2"/>
  <c r="F71" i="2"/>
  <c r="S71" i="2" s="1"/>
  <c r="Q70" i="2"/>
  <c r="P70" i="2"/>
  <c r="N70" i="2"/>
  <c r="M70" i="2"/>
  <c r="L70" i="2"/>
  <c r="K70" i="2"/>
  <c r="J70" i="2"/>
  <c r="H70" i="2"/>
  <c r="G70" i="2"/>
  <c r="F70" i="2"/>
  <c r="Q69" i="2"/>
  <c r="P69" i="2"/>
  <c r="O69" i="2"/>
  <c r="N69" i="2"/>
  <c r="M69" i="2"/>
  <c r="L69" i="2"/>
  <c r="J69" i="2"/>
  <c r="I69" i="2"/>
  <c r="H69" i="2"/>
  <c r="G69" i="2"/>
  <c r="P68" i="2"/>
  <c r="O68" i="2"/>
  <c r="N68" i="2"/>
  <c r="M68" i="2"/>
  <c r="L68" i="2"/>
  <c r="J68" i="2"/>
  <c r="I68" i="2"/>
  <c r="H68" i="2"/>
  <c r="G68" i="2"/>
  <c r="F68" i="2"/>
  <c r="S68" i="2" s="1"/>
  <c r="P67" i="2"/>
  <c r="O67" i="2"/>
  <c r="N67" i="2"/>
  <c r="M67" i="2"/>
  <c r="L67" i="2"/>
  <c r="K67" i="2"/>
  <c r="J67" i="2"/>
  <c r="I67" i="2"/>
  <c r="H67" i="2"/>
  <c r="F67" i="2"/>
  <c r="Q66" i="2"/>
  <c r="P66" i="2"/>
  <c r="O66" i="2"/>
  <c r="N66" i="2"/>
  <c r="L66" i="2"/>
  <c r="K66" i="2"/>
  <c r="J66" i="2"/>
  <c r="I66" i="2"/>
  <c r="H66" i="2"/>
  <c r="F66" i="2"/>
  <c r="Q65" i="2"/>
  <c r="P65" i="2"/>
  <c r="O65" i="2"/>
  <c r="N65" i="2"/>
  <c r="L65" i="2"/>
  <c r="K65" i="2"/>
  <c r="J65" i="2"/>
  <c r="I65" i="2"/>
  <c r="H65" i="2"/>
  <c r="G65" i="2"/>
  <c r="Q64" i="2"/>
  <c r="P64" i="2"/>
  <c r="O64" i="2"/>
  <c r="N64" i="2"/>
  <c r="M64" i="2"/>
  <c r="L64" i="2"/>
  <c r="K64" i="2"/>
  <c r="J64" i="2"/>
  <c r="H64" i="2"/>
  <c r="G64" i="2"/>
  <c r="Q63" i="2"/>
  <c r="P63" i="2"/>
  <c r="N63" i="2"/>
  <c r="M63" i="2"/>
  <c r="L63" i="2"/>
  <c r="K63" i="2"/>
  <c r="J63" i="2"/>
  <c r="H63" i="2"/>
  <c r="G63" i="2"/>
  <c r="Q62" i="2"/>
  <c r="P62" i="2"/>
  <c r="N62" i="2"/>
  <c r="M62" i="2"/>
  <c r="L62" i="2"/>
  <c r="K62" i="2"/>
  <c r="J62" i="2"/>
  <c r="I62" i="2"/>
  <c r="H62" i="2"/>
  <c r="G62" i="2"/>
  <c r="Q61" i="2"/>
  <c r="P61" i="2"/>
  <c r="O61" i="2"/>
  <c r="N61" i="2"/>
  <c r="M61" i="2"/>
  <c r="L61" i="2"/>
  <c r="J61" i="2"/>
  <c r="I61" i="2"/>
  <c r="H61" i="2"/>
  <c r="G61" i="2"/>
  <c r="F61" i="2"/>
  <c r="P60" i="2"/>
  <c r="O60" i="2"/>
  <c r="N60" i="2"/>
  <c r="M60" i="2"/>
  <c r="L60" i="2"/>
  <c r="J60" i="2"/>
  <c r="I60" i="2"/>
  <c r="H60" i="2"/>
  <c r="G60" i="2"/>
  <c r="F60" i="2"/>
  <c r="Q59" i="2"/>
  <c r="P59" i="2"/>
  <c r="O59" i="2"/>
  <c r="N59" i="2"/>
  <c r="M59" i="2"/>
  <c r="K59" i="2"/>
  <c r="J59" i="2"/>
  <c r="I59" i="2"/>
  <c r="H59" i="2"/>
  <c r="G59" i="2"/>
  <c r="F59" i="2"/>
  <c r="Q58" i="2"/>
  <c r="P58" i="2"/>
  <c r="O58" i="2"/>
  <c r="N58" i="2"/>
  <c r="L58" i="2"/>
  <c r="K58" i="2"/>
  <c r="J58" i="2"/>
  <c r="I58" i="2"/>
  <c r="H58" i="2"/>
  <c r="G58" i="2"/>
  <c r="F58" i="2"/>
  <c r="S58" i="2" s="1"/>
  <c r="Q57" i="2"/>
  <c r="P57" i="2"/>
  <c r="O57" i="2"/>
  <c r="N57" i="2"/>
  <c r="M57" i="2"/>
  <c r="L57" i="2"/>
  <c r="K57" i="2"/>
  <c r="J57" i="2"/>
  <c r="I57" i="2"/>
  <c r="H57" i="2"/>
  <c r="G57" i="2"/>
  <c r="F57" i="2"/>
  <c r="S57" i="2" s="1"/>
  <c r="P20" i="2"/>
  <c r="O20" i="2"/>
  <c r="N20" i="2"/>
  <c r="L20" i="2"/>
  <c r="J20" i="2"/>
  <c r="I20" i="2"/>
  <c r="H20" i="2"/>
  <c r="G20" i="2"/>
  <c r="P18" i="2"/>
  <c r="O18" i="2"/>
  <c r="L18" i="2"/>
  <c r="O14" i="2"/>
  <c r="M14" i="2"/>
  <c r="L14" i="2"/>
  <c r="K14" i="2"/>
  <c r="J14" i="2"/>
  <c r="I14" i="2"/>
  <c r="F14" i="2"/>
  <c r="Q12" i="2"/>
  <c r="O12" i="2"/>
  <c r="N12" i="2"/>
  <c r="M12" i="2"/>
  <c r="K12" i="2"/>
  <c r="I12" i="2"/>
  <c r="H12" i="2"/>
  <c r="G12" i="2"/>
  <c r="I10" i="1"/>
  <c r="J9" i="1" s="1"/>
  <c r="G10" i="1"/>
  <c r="H9" i="1" s="1"/>
  <c r="E10" i="1"/>
  <c r="F9" i="1" s="1"/>
  <c r="K9" i="1"/>
  <c r="K10" i="1" s="1"/>
  <c r="I9" i="1"/>
  <c r="G9" i="1"/>
  <c r="E9" i="1"/>
  <c r="C9" i="1"/>
  <c r="C10" i="1" s="1"/>
  <c r="A9" i="1"/>
  <c r="A10" i="1" s="1"/>
  <c r="J8" i="1"/>
  <c r="D3" i="13" s="1"/>
  <c r="K4" i="1"/>
  <c r="K5" i="1" s="1"/>
  <c r="I4" i="1"/>
  <c r="I5" i="1" s="1"/>
  <c r="G4" i="1"/>
  <c r="G5" i="1" s="1"/>
  <c r="E4" i="1"/>
  <c r="E5" i="1" s="1"/>
  <c r="C4" i="1"/>
  <c r="C5" i="1" s="1"/>
  <c r="A5" i="1"/>
  <c r="R58" i="2" l="1"/>
  <c r="F65" i="2"/>
  <c r="S42" i="3"/>
  <c r="R57" i="2"/>
  <c r="T40" i="3"/>
  <c r="V33" i="3" s="1"/>
  <c r="F64" i="2"/>
  <c r="R64" i="2" s="1"/>
  <c r="J8" i="3"/>
  <c r="F18" i="2" s="1"/>
  <c r="K8" i="3"/>
  <c r="F20" i="2" s="1"/>
  <c r="Z13" i="3"/>
  <c r="Z17" i="3" s="1"/>
  <c r="V20" i="6"/>
  <c r="V32" i="6"/>
  <c r="V25" i="10"/>
  <c r="V36" i="10"/>
  <c r="B4" i="1"/>
  <c r="B3" i="1"/>
  <c r="D3" i="3" s="1"/>
  <c r="F10" i="2"/>
  <c r="S8" i="3"/>
  <c r="U8" i="4"/>
  <c r="W8" i="4" s="1"/>
  <c r="Z35" i="4" s="1"/>
  <c r="Z39" i="4" s="1"/>
  <c r="Z40" i="4" s="1"/>
  <c r="G16" i="2"/>
  <c r="V31" i="6"/>
  <c r="V27" i="6"/>
  <c r="V15" i="6"/>
  <c r="R75" i="2"/>
  <c r="S75" i="2"/>
  <c r="V26" i="10"/>
  <c r="O16" i="2"/>
  <c r="U8" i="12"/>
  <c r="AA28" i="12" s="1"/>
  <c r="P12" i="2"/>
  <c r="R12" i="2" s="1"/>
  <c r="L8" i="13"/>
  <c r="D4" i="1"/>
  <c r="D3" i="1"/>
  <c r="D3" i="4" s="1"/>
  <c r="F3" i="1"/>
  <c r="D3" i="5" s="1"/>
  <c r="F4" i="1"/>
  <c r="V26" i="4"/>
  <c r="S8" i="6"/>
  <c r="I10" i="2"/>
  <c r="V23" i="6"/>
  <c r="V35" i="6"/>
  <c r="AA30" i="8"/>
  <c r="Z17" i="10"/>
  <c r="L10" i="2"/>
  <c r="S8" i="9"/>
  <c r="H3" i="1"/>
  <c r="D3" i="6" s="1"/>
  <c r="H4" i="1"/>
  <c r="S79" i="2"/>
  <c r="R79" i="2"/>
  <c r="V16" i="4"/>
  <c r="V29" i="4"/>
  <c r="AA27" i="6"/>
  <c r="V30" i="10"/>
  <c r="N10" i="2"/>
  <c r="S8" i="11"/>
  <c r="S8" i="14"/>
  <c r="Q10" i="2"/>
  <c r="L3" i="1"/>
  <c r="D3" i="8" s="1"/>
  <c r="L4" i="1"/>
  <c r="V34" i="4"/>
  <c r="V15" i="4"/>
  <c r="V31" i="4"/>
  <c r="V27" i="4"/>
  <c r="V19" i="4"/>
  <c r="V17" i="4"/>
  <c r="AA29" i="4"/>
  <c r="V28" i="6"/>
  <c r="U8" i="8"/>
  <c r="AA29" i="8" s="1"/>
  <c r="K16" i="2"/>
  <c r="V18" i="10"/>
  <c r="J12" i="2"/>
  <c r="L8" i="7"/>
  <c r="V31" i="10"/>
  <c r="V17" i="10"/>
  <c r="V34" i="10"/>
  <c r="V15" i="10"/>
  <c r="S62" i="2"/>
  <c r="S76" i="2"/>
  <c r="B9" i="1"/>
  <c r="B8" i="1"/>
  <c r="D3" i="9" s="1"/>
  <c r="AA28" i="6"/>
  <c r="V19" i="10"/>
  <c r="AA29" i="12"/>
  <c r="R73" i="2"/>
  <c r="AA30" i="4"/>
  <c r="V29" i="6"/>
  <c r="S8" i="8"/>
  <c r="K10" i="2"/>
  <c r="V20" i="10"/>
  <c r="V32" i="10"/>
  <c r="V30" i="12"/>
  <c r="S18" i="2"/>
  <c r="R18" i="2"/>
  <c r="U8" i="6"/>
  <c r="AA29" i="6" s="1"/>
  <c r="I16" i="2"/>
  <c r="V25" i="6"/>
  <c r="AA27" i="12"/>
  <c r="V37" i="6"/>
  <c r="S61" i="2"/>
  <c r="S8" i="5"/>
  <c r="H10" i="2"/>
  <c r="V18" i="4"/>
  <c r="V26" i="5"/>
  <c r="V16" i="6"/>
  <c r="V21" i="10"/>
  <c r="V33" i="10"/>
  <c r="V18" i="12"/>
  <c r="AA30" i="12"/>
  <c r="S8" i="13"/>
  <c r="P10" i="2"/>
  <c r="V15" i="14"/>
  <c r="V17" i="14"/>
  <c r="V28" i="14"/>
  <c r="J3" i="1"/>
  <c r="D3" i="7" s="1"/>
  <c r="J4" i="1"/>
  <c r="V36" i="6"/>
  <c r="L9" i="1"/>
  <c r="L8" i="1"/>
  <c r="D3" i="14" s="1"/>
  <c r="S72" i="2"/>
  <c r="V17" i="3"/>
  <c r="V20" i="4"/>
  <c r="V32" i="4"/>
  <c r="V37" i="5"/>
  <c r="V17" i="6"/>
  <c r="V30" i="6"/>
  <c r="AA27" i="8"/>
  <c r="V29" i="9"/>
  <c r="V22" i="10"/>
  <c r="V15" i="11"/>
  <c r="V19" i="12"/>
  <c r="V21" i="4"/>
  <c r="V33" i="4"/>
  <c r="Z17" i="5"/>
  <c r="V18" i="6"/>
  <c r="AA30" i="6"/>
  <c r="J10" i="2"/>
  <c r="S8" i="7"/>
  <c r="V34" i="8"/>
  <c r="V15" i="8"/>
  <c r="V37" i="8"/>
  <c r="V28" i="8"/>
  <c r="R59" i="2"/>
  <c r="S59" i="2"/>
  <c r="V23" i="10"/>
  <c r="L8" i="11"/>
  <c r="N14" i="2"/>
  <c r="V17" i="12"/>
  <c r="V15" i="12"/>
  <c r="V31" i="12"/>
  <c r="V32" i="12"/>
  <c r="V16" i="14"/>
  <c r="V29" i="14"/>
  <c r="S65" i="2"/>
  <c r="S73" i="2"/>
  <c r="AA28" i="4"/>
  <c r="D8" i="1"/>
  <c r="D3" i="10" s="1"/>
  <c r="D9" i="1"/>
  <c r="S60" i="2"/>
  <c r="S66" i="2"/>
  <c r="V22" i="4"/>
  <c r="V32" i="5"/>
  <c r="V35" i="5"/>
  <c r="V31" i="5"/>
  <c r="V27" i="5"/>
  <c r="V19" i="5"/>
  <c r="V16" i="5"/>
  <c r="V23" i="5"/>
  <c r="V36" i="5"/>
  <c r="V24" i="5"/>
  <c r="V22" i="5"/>
  <c r="V29" i="5"/>
  <c r="V34" i="5"/>
  <c r="V15" i="5"/>
  <c r="V33" i="5"/>
  <c r="V28" i="5"/>
  <c r="V19" i="6"/>
  <c r="AA28" i="8"/>
  <c r="M10" i="2"/>
  <c r="S8" i="10"/>
  <c r="O10" i="2"/>
  <c r="S8" i="12"/>
  <c r="W8" i="12" s="1"/>
  <c r="Z35" i="12" s="1"/>
  <c r="Z39" i="12" s="1"/>
  <c r="Z40" i="12" s="1"/>
  <c r="F8" i="1"/>
  <c r="D3" i="11" s="1"/>
  <c r="R60" i="2"/>
  <c r="R68" i="2"/>
  <c r="R76" i="2"/>
  <c r="L8" i="3"/>
  <c r="H8" i="1"/>
  <c r="D3" i="12" s="1"/>
  <c r="I63" i="2"/>
  <c r="R63" i="2" s="1"/>
  <c r="M65" i="2"/>
  <c r="R65" i="2" s="1"/>
  <c r="Q67" i="2"/>
  <c r="S67" i="2" s="1"/>
  <c r="O74" i="2"/>
  <c r="R74" i="2" s="1"/>
  <c r="G78" i="2"/>
  <c r="Z14" i="11"/>
  <c r="Z17" i="11" s="1"/>
  <c r="T40" i="11"/>
  <c r="V37" i="11" s="1"/>
  <c r="I70" i="2"/>
  <c r="S70" i="2" s="1"/>
  <c r="V24" i="4"/>
  <c r="V21" i="6"/>
  <c r="V33" i="6"/>
  <c r="V18" i="8"/>
  <c r="V26" i="8"/>
  <c r="V17" i="9"/>
  <c r="V16" i="10"/>
  <c r="V29" i="10"/>
  <c r="V35" i="10"/>
  <c r="V20" i="12"/>
  <c r="V30" i="14"/>
  <c r="V36" i="14"/>
  <c r="Z15" i="11"/>
  <c r="V25" i="4"/>
  <c r="V30" i="4"/>
  <c r="V22" i="6"/>
  <c r="V34" i="6"/>
  <c r="T40" i="7"/>
  <c r="V19" i="8"/>
  <c r="V27" i="8"/>
  <c r="V31" i="8"/>
  <c r="V24" i="10"/>
  <c r="V21" i="12"/>
  <c r="V28" i="12"/>
  <c r="V33" i="12"/>
  <c r="L8" i="14"/>
  <c r="V18" i="14"/>
  <c r="V26" i="14"/>
  <c r="L8" i="9"/>
  <c r="G10" i="2"/>
  <c r="I8" i="5"/>
  <c r="H14" i="2" s="1"/>
  <c r="S14" i="2" s="1"/>
  <c r="S42" i="7"/>
  <c r="Z14" i="13"/>
  <c r="Z17" i="13" s="1"/>
  <c r="T40" i="13"/>
  <c r="V17" i="13" s="1"/>
  <c r="R72" i="2"/>
  <c r="K8" i="10"/>
  <c r="M20" i="2" s="1"/>
  <c r="O62" i="2"/>
  <c r="S42" i="13"/>
  <c r="T40" i="9"/>
  <c r="V16" i="9" s="1"/>
  <c r="R62" i="2"/>
  <c r="R61" i="2"/>
  <c r="R69" i="2"/>
  <c r="R77" i="2"/>
  <c r="R20" i="2" l="1"/>
  <c r="V34" i="3"/>
  <c r="V32" i="3"/>
  <c r="V18" i="3"/>
  <c r="V29" i="3"/>
  <c r="V20" i="3"/>
  <c r="V26" i="3"/>
  <c r="S64" i="2"/>
  <c r="V21" i="3"/>
  <c r="V24" i="3"/>
  <c r="V30" i="3"/>
  <c r="V22" i="3"/>
  <c r="V37" i="3"/>
  <c r="V19" i="3"/>
  <c r="V27" i="3"/>
  <c r="V35" i="3"/>
  <c r="V16" i="3"/>
  <c r="V36" i="3"/>
  <c r="V25" i="3"/>
  <c r="V31" i="3"/>
  <c r="V23" i="3"/>
  <c r="V28" i="3"/>
  <c r="V15" i="3"/>
  <c r="V19" i="7"/>
  <c r="V36" i="7"/>
  <c r="V24" i="7"/>
  <c r="V27" i="7"/>
  <c r="V34" i="7"/>
  <c r="V31" i="7"/>
  <c r="V33" i="7"/>
  <c r="V28" i="7"/>
  <c r="V21" i="7"/>
  <c r="V20" i="7"/>
  <c r="V32" i="7"/>
  <c r="W8" i="13"/>
  <c r="Z35" i="13" s="1"/>
  <c r="Z39" i="13" s="1"/>
  <c r="Z40" i="13" s="1"/>
  <c r="W8" i="9"/>
  <c r="Z35" i="9" s="1"/>
  <c r="Z39" i="9" s="1"/>
  <c r="Z40" i="9" s="1"/>
  <c r="V30" i="7"/>
  <c r="V20" i="11"/>
  <c r="P16" i="2"/>
  <c r="U8" i="13"/>
  <c r="R10" i="2"/>
  <c r="S10" i="2"/>
  <c r="V18" i="13"/>
  <c r="V24" i="13"/>
  <c r="V27" i="13"/>
  <c r="V35" i="13"/>
  <c r="V29" i="13"/>
  <c r="V23" i="13"/>
  <c r="V16" i="13"/>
  <c r="V34" i="13"/>
  <c r="V22" i="13"/>
  <c r="V19" i="13"/>
  <c r="V33" i="13"/>
  <c r="V28" i="13"/>
  <c r="V21" i="13"/>
  <c r="V32" i="13"/>
  <c r="V20" i="13"/>
  <c r="V26" i="13"/>
  <c r="V36" i="13"/>
  <c r="V30" i="13"/>
  <c r="V25" i="13"/>
  <c r="V31" i="13"/>
  <c r="V15" i="13"/>
  <c r="U8" i="7"/>
  <c r="W8" i="7" s="1"/>
  <c r="Z35" i="7" s="1"/>
  <c r="Z39" i="7" s="1"/>
  <c r="Z40" i="7" s="1"/>
  <c r="J16" i="2"/>
  <c r="L16" i="2"/>
  <c r="U8" i="9"/>
  <c r="V23" i="7"/>
  <c r="R70" i="2"/>
  <c r="S78" i="2"/>
  <c r="R78" i="2"/>
  <c r="V17" i="11"/>
  <c r="V30" i="11"/>
  <c r="Q16" i="2"/>
  <c r="U8" i="14"/>
  <c r="R14" i="2"/>
  <c r="V34" i="9"/>
  <c r="V22" i="9"/>
  <c r="V33" i="9"/>
  <c r="V28" i="9"/>
  <c r="V21" i="9"/>
  <c r="V30" i="9"/>
  <c r="V32" i="9"/>
  <c r="V36" i="9"/>
  <c r="V25" i="9"/>
  <c r="V31" i="9"/>
  <c r="V27" i="9"/>
  <c r="V19" i="9"/>
  <c r="V26" i="9"/>
  <c r="V18" i="9"/>
  <c r="V24" i="9"/>
  <c r="V35" i="9"/>
  <c r="V37" i="13"/>
  <c r="V29" i="7"/>
  <c r="L8" i="5"/>
  <c r="L8" i="10"/>
  <c r="V35" i="7"/>
  <c r="V15" i="7"/>
  <c r="AA27" i="4"/>
  <c r="W8" i="6"/>
  <c r="Z35" i="6" s="1"/>
  <c r="Z39" i="6" s="1"/>
  <c r="Z40" i="6" s="1"/>
  <c r="V26" i="7"/>
  <c r="V25" i="7"/>
  <c r="V17" i="7"/>
  <c r="S12" i="2"/>
  <c r="V15" i="9"/>
  <c r="V37" i="9"/>
  <c r="S20" i="2"/>
  <c r="V16" i="7"/>
  <c r="U8" i="11"/>
  <c r="N16" i="2"/>
  <c r="W8" i="14"/>
  <c r="Z35" i="14" s="1"/>
  <c r="Z39" i="14" s="1"/>
  <c r="Z40" i="14" s="1"/>
  <c r="V37" i="7"/>
  <c r="S74" i="2"/>
  <c r="W8" i="11"/>
  <c r="Z35" i="11" s="1"/>
  <c r="Z39" i="11" s="1"/>
  <c r="Z40" i="11" s="1"/>
  <c r="V31" i="11"/>
  <c r="V27" i="11"/>
  <c r="V19" i="11"/>
  <c r="V26" i="11"/>
  <c r="V18" i="11"/>
  <c r="V36" i="11"/>
  <c r="V22" i="11"/>
  <c r="V24" i="11"/>
  <c r="V28" i="11"/>
  <c r="V35" i="11"/>
  <c r="V29" i="11"/>
  <c r="V23" i="11"/>
  <c r="V16" i="11"/>
  <c r="V34" i="11"/>
  <c r="V33" i="11"/>
  <c r="V32" i="11"/>
  <c r="V21" i="11"/>
  <c r="S63" i="2"/>
  <c r="V25" i="11"/>
  <c r="W8" i="8"/>
  <c r="Z35" i="8" s="1"/>
  <c r="Z39" i="8" s="1"/>
  <c r="Z40" i="8" s="1"/>
  <c r="V23" i="9"/>
  <c r="R67" i="2"/>
  <c r="V22" i="7"/>
  <c r="U8" i="3"/>
  <c r="W8" i="3" s="1"/>
  <c r="Z35" i="3" s="1"/>
  <c r="Z39" i="3" s="1"/>
  <c r="Z40" i="3" s="1"/>
  <c r="F16" i="2"/>
  <c r="V18" i="7"/>
  <c r="V20" i="9"/>
  <c r="AA28" i="3" l="1"/>
  <c r="AA30" i="3"/>
  <c r="AA29" i="3"/>
  <c r="AA27" i="3"/>
  <c r="AA28" i="9"/>
  <c r="AA29" i="9"/>
  <c r="AA30" i="9"/>
  <c r="AA27" i="9"/>
  <c r="U8" i="10"/>
  <c r="M16" i="2"/>
  <c r="H16" i="2"/>
  <c r="S16" i="2" s="1"/>
  <c r="U8" i="5"/>
  <c r="AA29" i="14"/>
  <c r="AA30" i="14"/>
  <c r="AA28" i="14"/>
  <c r="AA27" i="14"/>
  <c r="AA29" i="7"/>
  <c r="AA27" i="7"/>
  <c r="AA28" i="7"/>
  <c r="AA30" i="7"/>
  <c r="AA30" i="11"/>
  <c r="AA29" i="11"/>
  <c r="AA28" i="11"/>
  <c r="AA27" i="11"/>
  <c r="AA29" i="13"/>
  <c r="AA28" i="13"/>
  <c r="AA27" i="13"/>
  <c r="AA30" i="13"/>
  <c r="R16" i="2" l="1"/>
  <c r="AA28" i="5"/>
  <c r="AA29" i="5"/>
  <c r="AA27" i="5"/>
  <c r="AA30" i="5"/>
  <c r="W8" i="5"/>
  <c r="Z35" i="5" s="1"/>
  <c r="Z39" i="5" s="1"/>
  <c r="Z40" i="5" s="1"/>
  <c r="AA29" i="10"/>
  <c r="AA28" i="10"/>
  <c r="AA30" i="10"/>
  <c r="AA27" i="10"/>
  <c r="W8" i="10"/>
  <c r="Z35" i="10" s="1"/>
  <c r="Z39" i="10" s="1"/>
  <c r="Z40" i="10" s="1"/>
</calcChain>
</file>

<file path=xl/sharedStrings.xml><?xml version="1.0" encoding="utf-8"?>
<sst xmlns="http://schemas.openxmlformats.org/spreadsheetml/2006/main" count="1265" uniqueCount="105">
  <si>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</si>
  <si>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</si>
  <si>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</si>
  <si>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</si>
  <si>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</si>
  <si>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</si>
  <si>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</si>
  <si>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</si>
  <si>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</si>
  <si>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</si>
  <si>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</si>
  <si>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</si>
  <si>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RESUMEN FINANCIERO</t>
  </si>
  <si>
    <t>PROMEDIO</t>
  </si>
  <si>
    <t>TOTAL</t>
  </si>
  <si>
    <t>INGRESOS</t>
  </si>
  <si>
    <t>GASTOS FIJOS</t>
  </si>
  <si>
    <t>GASTOS VARIABLES</t>
  </si>
  <si>
    <t>GASTOS TOTALES</t>
  </si>
  <si>
    <t>AHORROS</t>
  </si>
  <si>
    <t>INVERSIONES</t>
  </si>
  <si>
    <t>CATEGORIA DE GASTOS</t>
  </si>
  <si>
    <t>Transporte</t>
  </si>
  <si>
    <t>Alimentación</t>
  </si>
  <si>
    <t>Restaurantes</t>
  </si>
  <si>
    <t>Delivery</t>
  </si>
  <si>
    <t>Bares</t>
  </si>
  <si>
    <t>Ropa</t>
  </si>
  <si>
    <t>Belleza</t>
  </si>
  <si>
    <t>Gasolina</t>
  </si>
  <si>
    <t>Hogar</t>
  </si>
  <si>
    <t>Tarjeta de crédito</t>
  </si>
  <si>
    <t>Ocio</t>
  </si>
  <si>
    <t>Pequeñas compras</t>
  </si>
  <si>
    <t>Tasas/Impuestos</t>
  </si>
  <si>
    <t>Viajes/vacaciones</t>
  </si>
  <si>
    <t>Tecnologia</t>
  </si>
  <si>
    <t>Reparaciones</t>
  </si>
  <si>
    <t>Salud</t>
  </si>
  <si>
    <t>Higiene</t>
  </si>
  <si>
    <t>Cursos/Fromación/Trabajo</t>
  </si>
  <si>
    <t>Mascotas</t>
  </si>
  <si>
    <t>Familia</t>
  </si>
  <si>
    <t>Otros</t>
  </si>
  <si>
    <t xml:space="preserve">Préstamos	</t>
  </si>
  <si>
    <t>OBJETIVOS CUMPLIDOS</t>
  </si>
  <si>
    <t>RESUMEN</t>
  </si>
  <si>
    <t>SALDO REMANENTE</t>
  </si>
  <si>
    <t>I. DISPONIBLES</t>
  </si>
  <si>
    <t>DISPONIBLES PARA GASTOS</t>
  </si>
  <si>
    <t>FIJOS</t>
  </si>
  <si>
    <t>VARIABLES</t>
  </si>
  <si>
    <t>INVERSIÓN</t>
  </si>
  <si>
    <t>INICIO</t>
  </si>
  <si>
    <t>INGRESOS DISPONIBLES</t>
  </si>
  <si>
    <t>GASTOS</t>
  </si>
  <si>
    <t>RESTO</t>
  </si>
  <si>
    <t>FINAL</t>
  </si>
  <si>
    <t>OBJETIVOS FINANCIEROS DEL MES</t>
  </si>
  <si>
    <t>Gastos fijos</t>
  </si>
  <si>
    <t>OBJETIVOS</t>
  </si>
  <si>
    <t>✔</t>
  </si>
  <si>
    <t>CONCEPTO</t>
  </si>
  <si>
    <t>GASTO ESPERADO</t>
  </si>
  <si>
    <t>GASTO REAL</t>
  </si>
  <si>
    <t>METODO DE PAGO</t>
  </si>
  <si>
    <t>VENCIMIENTO</t>
  </si>
  <si>
    <t>PAGADO</t>
  </si>
  <si>
    <t>CATEGORIA</t>
  </si>
  <si>
    <t>GASTO TOTAL POR CATEGORIA</t>
  </si>
  <si>
    <t>% DEL TOTAL</t>
  </si>
  <si>
    <t>Gastos variables</t>
  </si>
  <si>
    <t>Transferencia</t>
  </si>
  <si>
    <t>Ahorros</t>
  </si>
  <si>
    <t>Inversión</t>
  </si>
  <si>
    <t>CANTIDAD ESPERADA</t>
  </si>
  <si>
    <t>CANTIDAD RECIBIDA</t>
  </si>
  <si>
    <t>RESUMEN TIPO DE PAGO</t>
  </si>
  <si>
    <t>Trajeta de débito</t>
  </si>
  <si>
    <t>Tecnología</t>
  </si>
  <si>
    <t>Efectivo</t>
  </si>
  <si>
    <t>CONTROL DE DINERO</t>
  </si>
  <si>
    <t>VIRTUAL (LO QUE ANOTASTE)</t>
  </si>
  <si>
    <t>Resto</t>
  </si>
  <si>
    <t>TOTAL INGRESOS</t>
  </si>
  <si>
    <t>ING ESPERADOS</t>
  </si>
  <si>
    <t>REAL</t>
  </si>
  <si>
    <t>ING REALES</t>
  </si>
  <si>
    <t>Préstamos</t>
  </si>
  <si>
    <t>Tarjetas de débito</t>
  </si>
  <si>
    <t>SALDO REMANENTE (MES ANTERIOR)</t>
  </si>
  <si>
    <t>DIFERENCIA</t>
  </si>
  <si>
    <t>AHORRO E INVERSIÓN</t>
  </si>
  <si>
    <t>TOTAL GASTOS (FIJOS + VARIABLES)</t>
  </si>
  <si>
    <t>CATEGORÍA</t>
  </si>
  <si>
    <t>CANTIDAD</t>
  </si>
  <si>
    <t>TOTAL AHORROS</t>
  </si>
  <si>
    <t>TOTAL INVERSIÓN</t>
  </si>
  <si>
    <t>SEGUIMIENTO GASTOS VARIABLES</t>
  </si>
  <si>
    <t>FECHA</t>
  </si>
  <si>
    <t>MÉTODO DE PAGO</t>
  </si>
  <si>
    <t>OBSERVACIONES</t>
  </si>
  <si>
    <t>Cena en restaurante</t>
  </si>
  <si>
    <t>Camsia neuva</t>
  </si>
  <si>
    <t>FECHA DE COBRO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</si>
</sst>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&quot;/&quot;m&quot;/&quot;yyyy"/>
    <numFmt numFmtId="165" formatCode="d/m"/>
    <numFmt numFmtId="166" formatCode="d/m/yy"/>
  </numFmts>
  <fonts count="1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37"/>
      <color theme="1"/>
      <name val="Times New Roman"/>
    </font>
    <font>
      <sz val="18"/>
      <color theme="1"/>
      <name val="Times New Roman"/>
    </font>
    <font>
      <b/>
      <sz val="10"/>
      <color theme="1"/>
      <name val="Arial"/>
      <scheme val="minor"/>
    </font>
    <font>
      <b/>
      <sz val="10"/>
      <color theme="1"/>
      <name val="Arial"/>
    </font>
    <font>
      <b/>
      <sz val="16"/>
      <color theme="1"/>
      <name val="Arial"/>
      <scheme val="minor"/>
    </font>
    <font>
      <b/>
      <sz val="14"/>
      <color theme="1"/>
      <name val="Arial"/>
      <scheme val="minor"/>
    </font>
    <font>
      <b/>
      <sz val="12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b/>
      <sz val="11"/>
      <color theme="1"/>
      <name val="Arial"/>
      <scheme val="minor"/>
    </font>
    <font>
      <sz val="11"/>
      <color theme="1"/>
      <name val="Arial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FF8E4"/>
        <bgColor rgb="FFFFF8E4"/>
      </patternFill>
    </fill>
    <fill>
      <patternFill patternType="solid">
        <fgColor rgb="FFC27BA0"/>
        <bgColor rgb="FFC27BA0"/>
      </patternFill>
    </fill>
    <fill>
      <patternFill patternType="solid">
        <fgColor rgb="FFF4CCCC"/>
        <bgColor rgb="FFF4CCCC"/>
      </patternFill>
    </fill>
    <fill>
      <patternFill patternType="solid">
        <fgColor rgb="FF24A499"/>
        <bgColor rgb="FF24A499"/>
      </patternFill>
    </fill>
    <fill>
      <patternFill patternType="solid">
        <fgColor rgb="FFA4C2F4"/>
        <bgColor rgb="FFA4C2F4"/>
      </patternFill>
    </fill>
    <fill>
      <patternFill patternType="solid">
        <fgColor rgb="FFDD7E6B"/>
        <bgColor rgb="FFDD7E6B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8E7CC3"/>
        <bgColor rgb="FF8E7CC3"/>
      </patternFill>
    </fill>
    <fill>
      <patternFill patternType="solid">
        <fgColor rgb="FFD5A6BD"/>
        <bgColor rgb="FFD5A6BD"/>
      </patternFill>
    </fill>
    <fill>
      <patternFill patternType="solid">
        <fgColor rgb="FFE06666"/>
        <bgColor rgb="FFE06666"/>
      </patternFill>
    </fill>
    <fill>
      <patternFill patternType="solid">
        <fgColor rgb="FFE6B8AF"/>
        <bgColor rgb="FFE6B8AF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FFF0F6"/>
        <bgColor rgb="FFFFF0F6"/>
      </patternFill>
    </fill>
    <fill>
      <patternFill patternType="solid">
        <fgColor rgb="FFEFEFEF"/>
        <bgColor rgb="FFEFEFEF"/>
      </patternFill>
    </fill>
    <fill>
      <patternFill patternType="solid">
        <fgColor theme="7"/>
        <bgColor theme="7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E4F1F3"/>
        <bgColor rgb="FFE4F1F3"/>
      </patternFill>
    </fill>
  </fills>
  <borders count="19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FFFFFF"/>
      </right>
      <top/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CCCCCC"/>
      </left>
      <right style="thin">
        <color rgb="FFCCCCCC"/>
      </right>
      <top style="medium">
        <color rgb="FF000000"/>
      </top>
      <bottom/>
      <diagonal/>
    </border>
    <border>
      <left style="thin">
        <color rgb="FFCCCCCC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D9D9D9"/>
      </right>
      <top style="medium">
        <color rgb="FF000000"/>
      </top>
      <bottom/>
      <diagonal/>
    </border>
    <border>
      <left style="thin">
        <color rgb="FFD9D9D9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medium">
        <color rgb="FF000000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medium">
        <color rgb="FF000000"/>
      </right>
      <top style="thin">
        <color rgb="FFD9D9D9"/>
      </top>
      <bottom/>
      <diagonal/>
    </border>
    <border>
      <left style="thin">
        <color rgb="FFCCCCCC"/>
      </left>
      <right style="thin">
        <color rgb="FFCCCCCC"/>
      </right>
      <top/>
      <bottom style="medium">
        <color rgb="FF000000"/>
      </bottom>
      <diagonal/>
    </border>
    <border>
      <left style="thin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D9D9D9"/>
      </right>
      <top/>
      <bottom style="medium">
        <color rgb="FF000000"/>
      </bottom>
      <diagonal/>
    </border>
    <border>
      <left style="thin">
        <color rgb="FFD9D9D9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FFFFFF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DD7E6B"/>
      </bottom>
      <diagonal/>
    </border>
    <border>
      <left/>
      <right style="medium">
        <color rgb="FF000000"/>
      </right>
      <top style="medium">
        <color rgb="FF000000"/>
      </top>
      <bottom style="medium">
        <color rgb="FFDD7E6B"/>
      </bottom>
      <diagonal/>
    </border>
    <border>
      <left/>
      <right style="medium">
        <color rgb="FFEFEFEF"/>
      </right>
      <top/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EFEFEF"/>
      </left>
      <right style="medium">
        <color rgb="FFFFFFFF"/>
      </right>
      <top/>
      <bottom style="medium">
        <color rgb="FFEFEFEF"/>
      </bottom>
      <diagonal/>
    </border>
    <border>
      <left style="medium">
        <color rgb="FF000000"/>
      </left>
      <right style="medium">
        <color rgb="FFEFEFEF"/>
      </right>
      <top style="medium">
        <color rgb="FF000000"/>
      </top>
      <bottom style="medium">
        <color rgb="FFEFEFEF"/>
      </bottom>
      <diagonal/>
    </border>
    <border>
      <left style="medium">
        <color rgb="FFEFEFEF"/>
      </left>
      <right style="medium">
        <color rgb="FF000000"/>
      </right>
      <top style="medium">
        <color rgb="FF000000"/>
      </top>
      <bottom style="medium">
        <color rgb="FFEFEFEF"/>
      </bottom>
      <diagonal/>
    </border>
    <border>
      <left style="medium">
        <color rgb="FF000000"/>
      </left>
      <right/>
      <top/>
      <bottom style="medium">
        <color rgb="FFEA9999"/>
      </bottom>
      <diagonal/>
    </border>
    <border>
      <left/>
      <right style="medium">
        <color rgb="FF000000"/>
      </right>
      <top/>
      <bottom style="medium">
        <color rgb="FFEA9999"/>
      </bottom>
      <diagonal/>
    </border>
    <border>
      <left/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 style="medium">
        <color rgb="FFEFEFEF"/>
      </left>
      <right/>
      <top style="medium">
        <color rgb="FFEFEFEF"/>
      </top>
      <bottom style="medium">
        <color rgb="FFEFEFEF"/>
      </bottom>
      <diagonal/>
    </border>
    <border>
      <left style="medium">
        <color rgb="FF000000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 style="medium">
        <color rgb="FFEFEFEF"/>
      </left>
      <right style="medium">
        <color rgb="FF000000"/>
      </right>
      <top style="medium">
        <color rgb="FFEFEFEF"/>
      </top>
      <bottom style="medium">
        <color rgb="FFEFEFEF"/>
      </bottom>
      <diagonal/>
    </border>
    <border>
      <left style="medium">
        <color rgb="FF000000"/>
      </left>
      <right/>
      <top/>
      <bottom style="medium">
        <color rgb="FFF9CB9C"/>
      </bottom>
      <diagonal/>
    </border>
    <border>
      <left/>
      <right style="medium">
        <color rgb="FF000000"/>
      </right>
      <top/>
      <bottom style="medium">
        <color rgb="FFF9CB9C"/>
      </bottom>
      <diagonal/>
    </border>
    <border>
      <left style="medium">
        <color rgb="FF000000"/>
      </left>
      <right/>
      <top/>
      <bottom style="medium">
        <color rgb="FFF6B26B"/>
      </bottom>
      <diagonal/>
    </border>
    <border>
      <left/>
      <right style="medium">
        <color rgb="FF000000"/>
      </right>
      <top/>
      <bottom style="medium">
        <color rgb="FFF6B26B"/>
      </bottom>
      <diagonal/>
    </border>
    <border>
      <left style="medium">
        <color rgb="FF000000"/>
      </left>
      <right/>
      <top/>
      <bottom style="medium">
        <color rgb="FFF4CCCC"/>
      </bottom>
      <diagonal/>
    </border>
    <border>
      <left/>
      <right style="medium">
        <color rgb="FF000000"/>
      </right>
      <top/>
      <bottom style="medium">
        <color rgb="FFF4CCCC"/>
      </bottom>
      <diagonal/>
    </border>
    <border>
      <left style="medium">
        <color rgb="FF000000"/>
      </left>
      <right/>
      <top/>
      <bottom style="medium">
        <color rgb="FFFFF2CC"/>
      </bottom>
      <diagonal/>
    </border>
    <border>
      <left/>
      <right style="medium">
        <color rgb="FF000000"/>
      </right>
      <top/>
      <bottom style="medium">
        <color rgb="FFFFF2CC"/>
      </bottom>
      <diagonal/>
    </border>
    <border>
      <left style="medium">
        <color rgb="FF000000"/>
      </left>
      <right/>
      <top/>
      <bottom style="medium">
        <color rgb="FFD9EAD3"/>
      </bottom>
      <diagonal/>
    </border>
    <border>
      <left/>
      <right style="medium">
        <color rgb="FF000000"/>
      </right>
      <top/>
      <bottom style="medium">
        <color rgb="FFD9EAD3"/>
      </bottom>
      <diagonal/>
    </border>
    <border>
      <left style="medium">
        <color rgb="FF000000"/>
      </left>
      <right/>
      <top/>
      <bottom style="medium">
        <color rgb="FFB6D7A8"/>
      </bottom>
      <diagonal/>
    </border>
    <border>
      <left/>
      <right style="medium">
        <color rgb="FF000000"/>
      </right>
      <top/>
      <bottom style="medium">
        <color rgb="FFB6D7A8"/>
      </bottom>
      <diagonal/>
    </border>
    <border>
      <left style="medium">
        <color rgb="FF000000"/>
      </left>
      <right/>
      <top/>
      <bottom style="medium">
        <color rgb="FFA4C2F4"/>
      </bottom>
      <diagonal/>
    </border>
    <border>
      <left/>
      <right style="medium">
        <color rgb="FF000000"/>
      </right>
      <top/>
      <bottom style="medium">
        <color rgb="FFA4C2F4"/>
      </bottom>
      <diagonal/>
    </border>
    <border>
      <left style="medium">
        <color rgb="FF000000"/>
      </left>
      <right/>
      <top/>
      <bottom style="medium">
        <color rgb="FFC9DAF8"/>
      </bottom>
      <diagonal/>
    </border>
    <border>
      <left/>
      <right style="medium">
        <color rgb="FF000000"/>
      </right>
      <top/>
      <bottom style="medium">
        <color rgb="FFC9DAF8"/>
      </bottom>
      <diagonal/>
    </border>
    <border>
      <left style="medium">
        <color rgb="FF000000"/>
      </left>
      <right/>
      <top/>
      <bottom style="medium">
        <color rgb="FFEAD1DC"/>
      </bottom>
      <diagonal/>
    </border>
    <border>
      <left/>
      <right style="medium">
        <color rgb="FF000000"/>
      </right>
      <top/>
      <bottom style="medium">
        <color rgb="FFEAD1DC"/>
      </bottom>
      <diagonal/>
    </border>
    <border>
      <left style="medium">
        <color rgb="FF000000"/>
      </left>
      <right/>
      <top/>
      <bottom style="medium">
        <color rgb="FFC27BA0"/>
      </bottom>
      <diagonal/>
    </border>
    <border>
      <left/>
      <right style="medium">
        <color rgb="FF000000"/>
      </right>
      <top/>
      <bottom style="medium">
        <color rgb="FFC27BA0"/>
      </bottom>
      <diagonal/>
    </border>
    <border>
      <left style="medium">
        <color rgb="FF000000"/>
      </left>
      <right/>
      <top/>
      <bottom style="medium">
        <color rgb="FFCFE2F3"/>
      </bottom>
      <diagonal/>
    </border>
    <border>
      <left/>
      <right style="medium">
        <color rgb="FF000000"/>
      </right>
      <top/>
      <bottom style="medium">
        <color rgb="FFCFE2F3"/>
      </bottom>
      <diagonal/>
    </border>
    <border>
      <left style="medium">
        <color rgb="FF000000"/>
      </left>
      <right/>
      <top/>
      <bottom style="medium">
        <color rgb="FF6FA8DC"/>
      </bottom>
      <diagonal/>
    </border>
    <border>
      <left/>
      <right style="medium">
        <color rgb="FF000000"/>
      </right>
      <top/>
      <bottom style="medium">
        <color rgb="FF6FA8DC"/>
      </bottom>
      <diagonal/>
    </border>
    <border>
      <left style="medium">
        <color rgb="FFEFEFEF"/>
      </left>
      <right style="medium">
        <color rgb="FFFFFFFF"/>
      </right>
      <top style="medium">
        <color rgb="FFEFEFEF"/>
      </top>
      <bottom style="medium">
        <color rgb="FFEFEFEF"/>
      </bottom>
      <diagonal/>
    </border>
    <border>
      <left style="medium">
        <color rgb="FF000000"/>
      </left>
      <right/>
      <top/>
      <bottom style="medium">
        <color rgb="FF8E7CC3"/>
      </bottom>
      <diagonal/>
    </border>
    <border>
      <left/>
      <right style="medium">
        <color rgb="FF000000"/>
      </right>
      <top/>
      <bottom style="medium">
        <color rgb="FF8E7CC3"/>
      </bottom>
      <diagonal/>
    </border>
    <border>
      <left style="medium">
        <color rgb="FF000000"/>
      </left>
      <right/>
      <top/>
      <bottom style="medium">
        <color rgb="FFD5A6BD"/>
      </bottom>
      <diagonal/>
    </border>
    <border>
      <left/>
      <right style="medium">
        <color rgb="FF000000"/>
      </right>
      <top/>
      <bottom style="medium">
        <color rgb="FFD5A6BD"/>
      </bottom>
      <diagonal/>
    </border>
    <border>
      <left style="medium">
        <color rgb="FF000000"/>
      </left>
      <right/>
      <top/>
      <bottom style="medium">
        <color rgb="FFE06666"/>
      </bottom>
      <diagonal/>
    </border>
    <border>
      <left/>
      <right style="medium">
        <color rgb="FF000000"/>
      </right>
      <top/>
      <bottom style="medium">
        <color rgb="FFE06666"/>
      </bottom>
      <diagonal/>
    </border>
    <border>
      <left style="medium">
        <color rgb="FF000000"/>
      </left>
      <right/>
      <top/>
      <bottom style="medium">
        <color rgb="FFE6B8AF"/>
      </bottom>
      <diagonal/>
    </border>
    <border>
      <left/>
      <right style="medium">
        <color rgb="FF000000"/>
      </right>
      <top/>
      <bottom style="medium">
        <color rgb="FFE6B8AF"/>
      </bottom>
      <diagonal/>
    </border>
    <border>
      <left style="medium">
        <color rgb="FF000000"/>
      </left>
      <right/>
      <top/>
      <bottom style="medium">
        <color rgb="FFFFD966"/>
      </bottom>
      <diagonal/>
    </border>
    <border>
      <left/>
      <right style="medium">
        <color rgb="FF000000"/>
      </right>
      <top/>
      <bottom style="medium">
        <color rgb="FFFFD966"/>
      </bottom>
      <diagonal/>
    </border>
    <border>
      <left style="medium">
        <color rgb="FF000000"/>
      </left>
      <right/>
      <top/>
      <bottom style="medium">
        <color rgb="FF93C47D"/>
      </bottom>
      <diagonal/>
    </border>
    <border>
      <left/>
      <right style="medium">
        <color rgb="FF000000"/>
      </right>
      <top/>
      <bottom style="medium">
        <color rgb="FF93C47D"/>
      </bottom>
      <diagonal/>
    </border>
    <border>
      <left style="medium">
        <color rgb="FF000000"/>
      </left>
      <right/>
      <top/>
      <bottom style="medium">
        <color rgb="FF6D9EEB"/>
      </bottom>
      <diagonal/>
    </border>
    <border>
      <left/>
      <right style="medium">
        <color rgb="FF000000"/>
      </right>
      <top/>
      <bottom style="medium">
        <color rgb="FF6D9EEB"/>
      </bottom>
      <diagonal/>
    </border>
    <border>
      <left/>
      <right style="medium">
        <color rgb="FFEFEFEF"/>
      </right>
      <top style="medium">
        <color rgb="FFEFEFEF"/>
      </top>
      <bottom style="medium">
        <color rgb="FF000000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000000"/>
      </bottom>
      <diagonal/>
    </border>
    <border>
      <left style="medium">
        <color rgb="FFEFEFEF"/>
      </left>
      <right style="medium">
        <color rgb="FFFFFFFF"/>
      </right>
      <top style="medium">
        <color rgb="FFEFEFEF"/>
      </top>
      <bottom style="medium">
        <color rgb="FF000000"/>
      </bottom>
      <diagonal/>
    </border>
    <border>
      <left style="medium">
        <color rgb="FF000000"/>
      </left>
      <right style="medium">
        <color rgb="FFEFEFEF"/>
      </right>
      <top style="medium">
        <color rgb="FFEFEFEF"/>
      </top>
      <bottom style="medium">
        <color rgb="FF000000"/>
      </bottom>
      <diagonal/>
    </border>
    <border>
      <left style="medium">
        <color rgb="FFEFEFEF"/>
      </left>
      <right style="medium">
        <color rgb="FF000000"/>
      </right>
      <top style="medium">
        <color rgb="FFEFEFEF"/>
      </top>
      <bottom style="medium">
        <color rgb="FF000000"/>
      </bottom>
      <diagonal/>
    </border>
    <border>
      <left style="medium">
        <color rgb="FF000000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000000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FFFFFF"/>
      </top>
      <bottom style="medium">
        <color rgb="FF000000"/>
      </bottom>
      <diagonal/>
    </border>
    <border>
      <left/>
      <right style="medium">
        <color rgb="FFFFFFFF"/>
      </right>
      <top style="medium">
        <color rgb="FFFFFFFF"/>
      </top>
      <bottom style="medium">
        <color rgb="FF000000"/>
      </bottom>
      <diagonal/>
    </border>
    <border>
      <left style="medium">
        <color rgb="FFFFFFFF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000000"/>
      </left>
      <right/>
      <top style="medium">
        <color rgb="FFFFFFFF"/>
      </top>
      <bottom style="medium">
        <color rgb="FF000000"/>
      </bottom>
      <diagonal/>
    </border>
    <border>
      <left/>
      <right style="medium">
        <color rgb="FF000000"/>
      </right>
      <top style="medium">
        <color rgb="FFFFFFFF"/>
      </top>
      <bottom style="medium">
        <color rgb="FF000000"/>
      </bottom>
      <diagonal/>
    </border>
    <border>
      <left/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 style="medium">
        <color rgb="FF000000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000000"/>
      </bottom>
      <diagonal/>
    </border>
    <border>
      <left/>
      <right style="medium">
        <color rgb="FFF9CB9C"/>
      </right>
      <top/>
      <bottom/>
      <diagonal/>
    </border>
    <border>
      <left style="medium">
        <color rgb="FFF9CB9C"/>
      </left>
      <right/>
      <top/>
      <bottom/>
      <diagonal/>
    </border>
    <border>
      <left/>
      <right style="medium">
        <color rgb="FFC9DAF8"/>
      </right>
      <top style="medium">
        <color rgb="FF000000"/>
      </top>
      <bottom style="medium">
        <color rgb="FF000000"/>
      </bottom>
      <diagonal/>
    </border>
    <border>
      <left style="medium">
        <color rgb="FFC9DAF8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D5A6BD"/>
      </top>
      <bottom style="medium">
        <color rgb="FFD5A6BD"/>
      </bottom>
      <diagonal/>
    </border>
    <border>
      <left/>
      <right style="medium">
        <color rgb="FFD5A6BD"/>
      </right>
      <top style="medium">
        <color rgb="FFD5A6BD"/>
      </top>
      <bottom style="medium">
        <color rgb="FFD5A6BD"/>
      </bottom>
      <diagonal/>
    </border>
    <border>
      <left style="medium">
        <color rgb="FFD5A6BD"/>
      </left>
      <right/>
      <top style="medium">
        <color rgb="FFD5A6BD"/>
      </top>
      <bottom style="medium">
        <color rgb="FFD5A6BD"/>
      </bottom>
      <diagonal/>
    </border>
    <border>
      <left/>
      <right style="medium">
        <color rgb="FFFFFFFF"/>
      </right>
      <top style="medium">
        <color rgb="FFD5A6BD"/>
      </top>
      <bottom style="medium">
        <color rgb="FFD5A6BD"/>
      </bottom>
      <diagonal/>
    </border>
    <border>
      <left style="medium">
        <color rgb="FF000000"/>
      </left>
      <right/>
      <top/>
      <bottom style="medium">
        <color rgb="FFFFFFFF"/>
      </bottom>
      <diagonal/>
    </border>
    <border>
      <left style="medium">
        <color rgb="FFFFFFFF"/>
      </left>
      <right style="medium">
        <color rgb="FF000000"/>
      </right>
      <top/>
      <bottom style="medium">
        <color rgb="FFFFFFFF"/>
      </bottom>
      <diagonal/>
    </border>
    <border>
      <left/>
      <right style="medium">
        <color rgb="FFFFF0F6"/>
      </right>
      <top style="medium">
        <color rgb="FFFFFFFF"/>
      </top>
      <bottom style="medium">
        <color rgb="FFFFFFFF"/>
      </bottom>
      <diagonal/>
    </border>
    <border>
      <left style="medium">
        <color rgb="FFFFF0F6"/>
      </left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 style="medium">
        <color rgb="FF6D9EEB"/>
      </bottom>
      <diagonal/>
    </border>
    <border>
      <left/>
      <right style="medium">
        <color rgb="FFC9DAF8"/>
      </right>
      <top/>
      <bottom style="medium">
        <color rgb="FF6D9EEB"/>
      </bottom>
      <diagonal/>
    </border>
    <border>
      <left style="medium">
        <color rgb="FFC9DAF8"/>
      </left>
      <right/>
      <top/>
      <bottom style="medium">
        <color rgb="FF6D9EEB"/>
      </bottom>
      <diagonal/>
    </border>
    <border>
      <left/>
      <right style="medium">
        <color rgb="FFFFFFFF"/>
      </right>
      <top/>
      <bottom style="medium">
        <color rgb="FF6D9EEB"/>
      </bottom>
      <diagonal/>
    </border>
    <border>
      <left/>
      <right style="medium">
        <color rgb="FFEFEFEF"/>
      </right>
      <top style="medium">
        <color rgb="FF000000"/>
      </top>
      <bottom style="medium">
        <color rgb="FF000000"/>
      </bottom>
      <diagonal/>
    </border>
    <border>
      <left style="medium">
        <color rgb="FFEFEFEF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FFF2CC"/>
      </right>
      <top style="medium">
        <color rgb="FFFFFFFF"/>
      </top>
      <bottom style="medium">
        <color rgb="FFFFFFFF"/>
      </bottom>
      <diagonal/>
    </border>
    <border>
      <left style="medium">
        <color rgb="FFFFF2CC"/>
      </left>
      <right style="medium">
        <color rgb="FFFFF2CC"/>
      </right>
      <top style="medium">
        <color rgb="FFFFFFFF"/>
      </top>
      <bottom style="medium">
        <color rgb="FFFFFFFF"/>
      </bottom>
      <diagonal/>
    </border>
    <border>
      <left style="medium">
        <color rgb="FFFFF2CC"/>
      </left>
      <right style="medium">
        <color rgb="FF000000"/>
      </right>
      <top style="medium">
        <color rgb="FFFFFFFF"/>
      </top>
      <bottom style="medium">
        <color rgb="FFFFFFFF"/>
      </bottom>
      <diagonal/>
    </border>
    <border>
      <left/>
      <right style="medium">
        <color rgb="FF6D9EEB"/>
      </right>
      <top/>
      <bottom/>
      <diagonal/>
    </border>
    <border>
      <left style="medium">
        <color rgb="FF6D9EEB"/>
      </left>
      <right/>
      <top/>
      <bottom/>
      <diagonal/>
    </border>
    <border>
      <left style="medium">
        <color rgb="FF000000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000000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 style="medium">
        <color rgb="FFFFFFFF"/>
      </bottom>
      <diagonal/>
    </border>
    <border>
      <left style="medium">
        <color rgb="FFFFFFFF"/>
      </left>
      <right/>
      <top style="medium">
        <color rgb="FF000000"/>
      </top>
      <bottom style="medium">
        <color rgb="FFFFFFFF"/>
      </bottom>
      <diagonal/>
    </border>
    <border>
      <left/>
      <right style="medium">
        <color rgb="FFFFFFFF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 style="medium">
        <color rgb="FFFFF2CC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rgb="FFD9EAD3"/>
      </right>
      <top style="medium">
        <color rgb="FFFFFFFF"/>
      </top>
      <bottom style="medium">
        <color rgb="FFFFFFFF"/>
      </bottom>
      <diagonal/>
    </border>
    <border>
      <left style="medium">
        <color rgb="FFD9EAD3"/>
      </left>
      <right style="medium">
        <color rgb="FFD9EAD3"/>
      </right>
      <top style="medium">
        <color rgb="FFFFFFFF"/>
      </top>
      <bottom style="medium">
        <color rgb="FFFFFFFF"/>
      </bottom>
      <diagonal/>
    </border>
    <border>
      <left style="medium">
        <color rgb="FFD9EAD3"/>
      </left>
      <right style="medium">
        <color rgb="FF000000"/>
      </right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/>
      <top style="medium">
        <color rgb="FFFFFFFF"/>
      </top>
      <bottom/>
      <diagonal/>
    </border>
    <border>
      <left/>
      <right style="medium">
        <color rgb="FFD9EAD3"/>
      </right>
      <top style="medium">
        <color rgb="FFFFFFFF"/>
      </top>
      <bottom/>
      <diagonal/>
    </border>
    <border>
      <left style="medium">
        <color rgb="FFD9EAD3"/>
      </left>
      <right style="medium">
        <color rgb="FFD9EAD3"/>
      </right>
      <top style="medium">
        <color rgb="FFFFFFFF"/>
      </top>
      <bottom/>
      <diagonal/>
    </border>
    <border>
      <left style="medium">
        <color rgb="FFD9EAD3"/>
      </left>
      <right style="medium">
        <color rgb="FF000000"/>
      </right>
      <top style="medium">
        <color rgb="FFFFFFFF"/>
      </top>
      <bottom/>
      <diagonal/>
    </border>
    <border>
      <left/>
      <right style="medium">
        <color rgb="FFFCE5CD"/>
      </right>
      <top/>
      <bottom/>
      <diagonal/>
    </border>
    <border>
      <left style="medium">
        <color rgb="FFFCE5CD"/>
      </left>
      <right/>
      <top/>
      <bottom/>
      <diagonal/>
    </border>
    <border>
      <left/>
      <right style="medium">
        <color rgb="FFD9D2E9"/>
      </right>
      <top style="medium">
        <color rgb="FF000000"/>
      </top>
      <bottom style="medium">
        <color rgb="FF000000"/>
      </bottom>
      <diagonal/>
    </border>
    <border>
      <left style="medium">
        <color rgb="FFD9D2E9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D9D2E9"/>
      </right>
      <top/>
      <bottom style="medium">
        <color rgb="FF000000"/>
      </bottom>
      <diagonal/>
    </border>
    <border>
      <left style="medium">
        <color rgb="FFD9D2E9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FCE5CD"/>
      </bottom>
      <diagonal/>
    </border>
    <border>
      <left/>
      <right style="medium">
        <color rgb="FFFCE5CD"/>
      </right>
      <top/>
      <bottom style="medium">
        <color rgb="FFFCE5CD"/>
      </bottom>
      <diagonal/>
    </border>
    <border>
      <left style="medium">
        <color rgb="FFFCE5CD"/>
      </left>
      <right/>
      <top/>
      <bottom style="medium">
        <color rgb="FFFCE5CD"/>
      </bottom>
      <diagonal/>
    </border>
    <border>
      <left/>
      <right style="medium">
        <color rgb="FF000000"/>
      </right>
      <top/>
      <bottom style="medium">
        <color rgb="FFFCE5CD"/>
      </bottom>
      <diagonal/>
    </border>
    <border>
      <left style="medium">
        <color rgb="FF000000"/>
      </left>
      <right/>
      <top style="medium">
        <color rgb="FFFCE5CD"/>
      </top>
      <bottom style="medium">
        <color rgb="FFFFFFFF"/>
      </bottom>
      <diagonal/>
    </border>
    <border>
      <left/>
      <right style="medium">
        <color rgb="FFFCE5CD"/>
      </right>
      <top style="medium">
        <color rgb="FFFCE5CD"/>
      </top>
      <bottom style="medium">
        <color rgb="FFFFFFFF"/>
      </bottom>
      <diagonal/>
    </border>
    <border>
      <left style="medium">
        <color rgb="FFFCE5CD"/>
      </left>
      <right/>
      <top style="medium">
        <color rgb="FFFCE5CD"/>
      </top>
      <bottom/>
      <diagonal/>
    </border>
    <border>
      <left/>
      <right style="medium">
        <color rgb="FF000000"/>
      </right>
      <top style="medium">
        <color rgb="FFFCE5CD"/>
      </top>
      <bottom/>
      <diagonal/>
    </border>
    <border>
      <left style="medium">
        <color rgb="FFFFF0F6"/>
      </left>
      <right style="medium">
        <color rgb="FF000000"/>
      </right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 style="medium">
        <color rgb="FFFFD966"/>
      </right>
      <top style="medium">
        <color rgb="FF000000"/>
      </top>
      <bottom style="medium">
        <color rgb="FF000000"/>
      </bottom>
      <diagonal/>
    </border>
    <border>
      <left style="medium">
        <color rgb="FFFFD966"/>
      </left>
      <right style="medium">
        <color rgb="FFFFD966"/>
      </right>
      <top style="medium">
        <color rgb="FF000000"/>
      </top>
      <bottom style="medium">
        <color rgb="FF000000"/>
      </bottom>
      <diagonal/>
    </border>
    <border>
      <left style="medium">
        <color rgb="FFFFD96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D5A6BD"/>
      </right>
      <top style="medium">
        <color rgb="FF000000"/>
      </top>
      <bottom style="medium">
        <color rgb="FF000000"/>
      </bottom>
      <diagonal/>
    </border>
    <border>
      <left style="medium">
        <color rgb="FFD5A6BD"/>
      </left>
      <right/>
      <top style="medium">
        <color rgb="FF000000"/>
      </top>
      <bottom style="medium">
        <color rgb="FF000000"/>
      </bottom>
      <diagonal/>
    </border>
    <border>
      <left style="medium">
        <color rgb="FFD9D2E9"/>
      </left>
      <right style="medium">
        <color rgb="FFD9D2E9"/>
      </right>
      <top style="medium">
        <color rgb="FF000000"/>
      </top>
      <bottom style="medium">
        <color rgb="FF000000"/>
      </bottom>
      <diagonal/>
    </border>
    <border>
      <left/>
      <right style="medium">
        <color rgb="FFD0E0E3"/>
      </right>
      <top style="medium">
        <color rgb="FF000000"/>
      </top>
      <bottom style="medium">
        <color rgb="FF000000"/>
      </bottom>
      <diagonal/>
    </border>
    <border>
      <left style="medium">
        <color rgb="FFD0E0E3"/>
      </left>
      <right style="medium">
        <color rgb="FFD0E0E3"/>
      </right>
      <top style="medium">
        <color rgb="FF000000"/>
      </top>
      <bottom style="medium">
        <color rgb="FF000000"/>
      </bottom>
      <diagonal/>
    </border>
    <border>
      <left style="medium">
        <color rgb="FFD0E0E3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FFFFFF"/>
      </bottom>
      <diagonal/>
    </border>
    <border>
      <left/>
      <right/>
      <top style="medium">
        <color rgb="FF000000"/>
      </top>
      <bottom style="medium">
        <color rgb="FFFFFFFF"/>
      </bottom>
      <diagonal/>
    </border>
    <border>
      <left style="medium">
        <color rgb="FFFFFFFF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/>
      <right style="medium">
        <color rgb="FFE4F1F3"/>
      </right>
      <top style="medium">
        <color rgb="FFFFFFFF"/>
      </top>
      <bottom style="medium">
        <color rgb="FFFFFFFF"/>
      </bottom>
      <diagonal/>
    </border>
    <border>
      <left style="medium">
        <color rgb="FFE4F1F3"/>
      </left>
      <right style="medium">
        <color rgb="FFE4F1F3"/>
      </right>
      <top style="medium">
        <color rgb="FFFFFFFF"/>
      </top>
      <bottom style="medium">
        <color rgb="FFFFFFFF"/>
      </bottom>
      <diagonal/>
    </border>
    <border>
      <left style="medium">
        <color rgb="FFE4F1F3"/>
      </left>
      <right style="medium">
        <color rgb="FF000000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000000"/>
      </right>
      <top style="medium">
        <color rgb="FFFFFFFF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FFFFFF"/>
      </bottom>
      <diagonal/>
    </border>
    <border>
      <left/>
      <right style="medium">
        <color rgb="FFFFF0F6"/>
      </right>
      <top/>
      <bottom style="medium">
        <color rgb="FFFFFFFF"/>
      </bottom>
      <diagonal/>
    </border>
    <border>
      <left style="medium">
        <color rgb="FFFFF0F6"/>
      </left>
      <right style="medium">
        <color rgb="FFFFF0F6"/>
      </right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 style="medium">
        <color rgb="FFFFFFFF"/>
      </top>
      <bottom/>
      <diagonal/>
    </border>
    <border>
      <left/>
      <right style="medium">
        <color rgb="FF000000"/>
      </right>
      <top style="medium">
        <color rgb="FFFFFFFF"/>
      </top>
      <bottom/>
      <diagonal/>
    </border>
    <border>
      <left style="medium">
        <color rgb="FFD5A6BD"/>
      </left>
      <right style="medium">
        <color rgb="FFD5A6BD"/>
      </right>
      <top style="medium">
        <color rgb="FF000000"/>
      </top>
      <bottom style="medium">
        <color rgb="FF000000"/>
      </bottom>
      <diagonal/>
    </border>
    <border>
      <left style="medium">
        <color rgb="FFD5A6BD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348">
    <xf numFmtId="0" fontId="0" fillId="0" borderId="0" xfId="0"/>
    <xf numFmtId="0" fontId="1" fillId="0" borderId="3" xfId="0" applyFont="1" applyBorder="1"/>
    <xf numFmtId="0" fontId="1" fillId="0" borderId="4" xfId="0" applyFont="1" applyBorder="1"/>
    <xf numFmtId="0" fontId="1" fillId="0" borderId="4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5" fillId="3" borderId="17" xfId="0" applyFont="1" applyFill="1" applyBorder="1" applyAlignment="1">
      <alignment horizontal="center" wrapText="1"/>
    </xf>
    <xf numFmtId="0" fontId="5" fillId="3" borderId="18" xfId="0" applyFont="1" applyFill="1" applyBorder="1" applyAlignment="1">
      <alignment horizontal="center" wrapText="1"/>
    </xf>
    <xf numFmtId="0" fontId="5" fillId="4" borderId="17" xfId="0" applyFont="1" applyFill="1" applyBorder="1" applyAlignment="1">
      <alignment horizontal="center" wrapText="1"/>
    </xf>
    <xf numFmtId="0" fontId="1" fillId="0" borderId="19" xfId="0" applyFont="1" applyBorder="1" applyAlignment="1">
      <alignment wrapText="1"/>
    </xf>
    <xf numFmtId="0" fontId="1" fillId="0" borderId="20" xfId="0" applyFont="1" applyBorder="1"/>
    <xf numFmtId="0" fontId="1" fillId="6" borderId="43" xfId="0" applyFont="1" applyFill="1" applyBorder="1" applyAlignment="1">
      <alignment horizontal="center" vertical="center" wrapText="1"/>
    </xf>
    <xf numFmtId="0" fontId="1" fillId="6" borderId="44" xfId="0" applyFont="1" applyFill="1" applyBorder="1" applyAlignment="1">
      <alignment horizontal="center" vertical="center" wrapText="1"/>
    </xf>
    <xf numFmtId="0" fontId="1" fillId="6" borderId="45" xfId="0" applyFont="1" applyFill="1" applyBorder="1" applyAlignment="1">
      <alignment horizontal="center" vertical="center" wrapText="1"/>
    </xf>
    <xf numFmtId="0" fontId="1" fillId="3" borderId="46" xfId="0" applyFont="1" applyFill="1" applyBorder="1" applyAlignment="1">
      <alignment horizontal="center" vertical="center" wrapText="1"/>
    </xf>
    <xf numFmtId="0" fontId="1" fillId="3" borderId="47" xfId="0" applyFont="1" applyFill="1" applyBorder="1" applyAlignment="1">
      <alignment horizontal="center" vertical="center" wrapText="1"/>
    </xf>
    <xf numFmtId="0" fontId="1" fillId="6" borderId="50" xfId="0" applyFont="1" applyFill="1" applyBorder="1" applyAlignment="1">
      <alignment horizontal="center" vertical="center" wrapText="1"/>
    </xf>
    <xf numFmtId="0" fontId="1" fillId="6" borderId="51" xfId="0" applyFont="1" applyFill="1" applyBorder="1" applyAlignment="1">
      <alignment horizontal="center" vertical="center" wrapText="1"/>
    </xf>
    <xf numFmtId="0" fontId="1" fillId="6" borderId="52" xfId="0" applyFont="1" applyFill="1" applyBorder="1" applyAlignment="1">
      <alignment horizontal="center" vertical="center" wrapText="1"/>
    </xf>
    <xf numFmtId="0" fontId="1" fillId="3" borderId="53" xfId="0" applyFont="1" applyFill="1" applyBorder="1" applyAlignment="1">
      <alignment horizontal="center" vertical="center" wrapText="1"/>
    </xf>
    <xf numFmtId="0" fontId="1" fillId="3" borderId="54" xfId="0" applyFont="1" applyFill="1" applyBorder="1" applyAlignment="1">
      <alignment horizontal="center" vertical="center" wrapText="1"/>
    </xf>
    <xf numFmtId="0" fontId="1" fillId="6" borderId="79" xfId="0" applyFont="1" applyFill="1" applyBorder="1" applyAlignment="1">
      <alignment horizontal="center" vertical="center" wrapText="1"/>
    </xf>
    <xf numFmtId="0" fontId="1" fillId="6" borderId="94" xfId="0" applyFont="1" applyFill="1" applyBorder="1" applyAlignment="1">
      <alignment horizontal="center" vertical="center" wrapText="1"/>
    </xf>
    <xf numFmtId="0" fontId="1" fillId="6" borderId="95" xfId="0" applyFont="1" applyFill="1" applyBorder="1" applyAlignment="1">
      <alignment horizontal="center" vertical="center" wrapText="1"/>
    </xf>
    <xf numFmtId="0" fontId="1" fillId="6" borderId="96" xfId="0" applyFont="1" applyFill="1" applyBorder="1" applyAlignment="1">
      <alignment horizontal="center" vertical="center" wrapText="1"/>
    </xf>
    <xf numFmtId="0" fontId="1" fillId="3" borderId="97" xfId="0" applyFont="1" applyFill="1" applyBorder="1" applyAlignment="1">
      <alignment horizontal="center" vertical="center" wrapText="1"/>
    </xf>
    <xf numFmtId="0" fontId="1" fillId="3" borderId="98" xfId="0" applyFont="1" applyFill="1" applyBorder="1" applyAlignment="1">
      <alignment horizontal="center" vertical="center" wrapText="1"/>
    </xf>
    <xf numFmtId="0" fontId="1" fillId="0" borderId="16" xfId="0" applyFont="1" applyBorder="1"/>
    <xf numFmtId="0" fontId="1" fillId="0" borderId="100" xfId="0" applyFont="1" applyBorder="1"/>
    <xf numFmtId="0" fontId="1" fillId="0" borderId="19" xfId="0" applyFont="1" applyBorder="1"/>
    <xf numFmtId="0" fontId="5" fillId="3" borderId="3" xfId="0" applyFont="1" applyFill="1" applyBorder="1" applyAlignment="1">
      <alignment horizontal="center" wrapText="1"/>
    </xf>
    <xf numFmtId="0" fontId="1" fillId="0" borderId="100" xfId="0" applyFont="1" applyBorder="1" applyAlignment="1">
      <alignment wrapText="1"/>
    </xf>
    <xf numFmtId="0" fontId="5" fillId="3" borderId="3" xfId="0" applyFont="1" applyFill="1" applyBorder="1"/>
    <xf numFmtId="0" fontId="5" fillId="0" borderId="108" xfId="0" applyFont="1" applyBorder="1" applyAlignment="1">
      <alignment horizontal="center" wrapText="1"/>
    </xf>
    <xf numFmtId="0" fontId="1" fillId="0" borderId="13" xfId="0" applyFont="1" applyBorder="1"/>
    <xf numFmtId="0" fontId="1" fillId="0" borderId="109" xfId="0" applyFont="1" applyBorder="1"/>
    <xf numFmtId="0" fontId="1" fillId="28" borderId="109" xfId="0" applyFont="1" applyFill="1" applyBorder="1" applyAlignment="1">
      <alignment wrapText="1"/>
    </xf>
    <xf numFmtId="0" fontId="1" fillId="28" borderId="20" xfId="0" applyFont="1" applyFill="1" applyBorder="1" applyAlignment="1">
      <alignment wrapText="1"/>
    </xf>
    <xf numFmtId="0" fontId="5" fillId="3" borderId="17" xfId="0" applyFont="1" applyFill="1" applyBorder="1" applyAlignment="1">
      <alignment horizontal="center"/>
    </xf>
    <xf numFmtId="0" fontId="1" fillId="28" borderId="100" xfId="0" applyFont="1" applyFill="1" applyBorder="1" applyAlignment="1">
      <alignment wrapText="1"/>
    </xf>
    <xf numFmtId="164" fontId="1" fillId="0" borderId="113" xfId="0" applyNumberFormat="1" applyFont="1" applyBorder="1"/>
    <xf numFmtId="0" fontId="5" fillId="3" borderId="1" xfId="0" applyFont="1" applyFill="1" applyBorder="1"/>
    <xf numFmtId="0" fontId="5" fillId="0" borderId="115" xfId="0" applyFont="1" applyBorder="1" applyAlignment="1">
      <alignment horizontal="center"/>
    </xf>
    <xf numFmtId="0" fontId="5" fillId="0" borderId="116" xfId="0" applyFont="1" applyBorder="1" applyAlignment="1">
      <alignment horizontal="center"/>
    </xf>
    <xf numFmtId="0" fontId="5" fillId="28" borderId="116" xfId="0" applyFont="1" applyFill="1" applyBorder="1" applyAlignment="1">
      <alignment horizontal="center" wrapText="1"/>
    </xf>
    <xf numFmtId="0" fontId="5" fillId="28" borderId="113" xfId="0" applyFont="1" applyFill="1" applyBorder="1" applyAlignment="1">
      <alignment horizontal="center" wrapText="1"/>
    </xf>
    <xf numFmtId="0" fontId="1" fillId="0" borderId="117" xfId="0" applyFont="1" applyBorder="1"/>
    <xf numFmtId="0" fontId="1" fillId="28" borderId="13" xfId="0" applyFont="1" applyFill="1" applyBorder="1" applyAlignment="1">
      <alignment wrapText="1"/>
    </xf>
    <xf numFmtId="0" fontId="1" fillId="28" borderId="4" xfId="0" applyFont="1" applyFill="1" applyBorder="1" applyAlignment="1">
      <alignment wrapText="1"/>
    </xf>
    <xf numFmtId="0" fontId="1" fillId="28" borderId="16" xfId="0" applyFont="1" applyFill="1" applyBorder="1" applyAlignment="1">
      <alignment wrapText="1"/>
    </xf>
    <xf numFmtId="0" fontId="9" fillId="16" borderId="12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21" borderId="3" xfId="0" applyFont="1" applyFill="1" applyBorder="1" applyAlignment="1">
      <alignment horizontal="center" vertical="center" wrapText="1"/>
    </xf>
    <xf numFmtId="0" fontId="1" fillId="0" borderId="113" xfId="0" applyFont="1" applyBorder="1"/>
    <xf numFmtId="165" fontId="1" fillId="0" borderId="13" xfId="0" applyNumberFormat="1" applyFont="1" applyBorder="1" applyAlignment="1">
      <alignment wrapText="1"/>
    </xf>
    <xf numFmtId="0" fontId="1" fillId="0" borderId="127" xfId="0" applyFont="1" applyBorder="1" applyAlignment="1">
      <alignment wrapText="1"/>
    </xf>
    <xf numFmtId="10" fontId="1" fillId="29" borderId="127" xfId="0" applyNumberFormat="1" applyFont="1" applyFill="1" applyBorder="1" applyAlignment="1">
      <alignment horizontal="center"/>
    </xf>
    <xf numFmtId="0" fontId="1" fillId="30" borderId="135" xfId="0" applyFont="1" applyFill="1" applyBorder="1"/>
    <xf numFmtId="0" fontId="1" fillId="3" borderId="137" xfId="0" applyFont="1" applyFill="1" applyBorder="1" applyAlignment="1">
      <alignment wrapText="1"/>
    </xf>
    <xf numFmtId="165" fontId="1" fillId="3" borderId="137" xfId="0" applyNumberFormat="1" applyFont="1" applyFill="1" applyBorder="1" applyAlignment="1">
      <alignment wrapText="1"/>
    </xf>
    <xf numFmtId="0" fontId="1" fillId="3" borderId="138" xfId="0" applyFont="1" applyFill="1" applyBorder="1" applyAlignment="1">
      <alignment wrapText="1"/>
    </xf>
    <xf numFmtId="10" fontId="1" fillId="28" borderId="127" xfId="0" applyNumberFormat="1" applyFont="1" applyFill="1" applyBorder="1" applyAlignment="1">
      <alignment horizontal="center"/>
    </xf>
    <xf numFmtId="0" fontId="1" fillId="0" borderId="141" xfId="0" applyFont="1" applyBorder="1" applyAlignment="1">
      <alignment wrapText="1"/>
    </xf>
    <xf numFmtId="0" fontId="1" fillId="0" borderId="142" xfId="0" applyFont="1" applyBorder="1" applyAlignment="1">
      <alignment wrapText="1"/>
    </xf>
    <xf numFmtId="0" fontId="5" fillId="0" borderId="143" xfId="0" applyFont="1" applyBorder="1"/>
    <xf numFmtId="0" fontId="1" fillId="3" borderId="146" xfId="0" applyFont="1" applyFill="1" applyBorder="1" applyAlignment="1">
      <alignment wrapText="1"/>
    </xf>
    <xf numFmtId="0" fontId="1" fillId="0" borderId="7" xfId="0" applyFont="1" applyBorder="1"/>
    <xf numFmtId="0" fontId="5" fillId="5" borderId="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" fillId="28" borderId="13" xfId="0" applyFont="1" applyFill="1" applyBorder="1" applyAlignment="1">
      <alignment horizontal="center" vertical="center"/>
    </xf>
    <xf numFmtId="0" fontId="1" fillId="28" borderId="127" xfId="0" applyFont="1" applyFill="1" applyBorder="1" applyAlignment="1">
      <alignment horizontal="center" vertical="center"/>
    </xf>
    <xf numFmtId="0" fontId="1" fillId="15" borderId="149" xfId="0" applyFont="1" applyFill="1" applyBorder="1" applyAlignment="1">
      <alignment horizontal="center" vertical="center"/>
    </xf>
    <xf numFmtId="0" fontId="1" fillId="15" borderId="150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10" fontId="1" fillId="0" borderId="108" xfId="0" applyNumberFormat="1" applyFont="1" applyBorder="1" applyAlignment="1">
      <alignment horizontal="center"/>
    </xf>
    <xf numFmtId="0" fontId="1" fillId="28" borderId="4" xfId="0" applyFont="1" applyFill="1" applyBorder="1" applyAlignment="1">
      <alignment horizontal="center" vertical="center"/>
    </xf>
    <xf numFmtId="0" fontId="1" fillId="28" borderId="142" xfId="0" applyFont="1" applyFill="1" applyBorder="1" applyAlignment="1">
      <alignment horizontal="center" vertical="center"/>
    </xf>
    <xf numFmtId="0" fontId="1" fillId="0" borderId="141" xfId="0" applyFont="1" applyBorder="1" applyAlignment="1">
      <alignment vertical="center"/>
    </xf>
    <xf numFmtId="0" fontId="1" fillId="28" borderId="4" xfId="0" applyFont="1" applyFill="1" applyBorder="1" applyAlignment="1">
      <alignment vertical="center"/>
    </xf>
    <xf numFmtId="0" fontId="1" fillId="0" borderId="112" xfId="0" applyFont="1" applyBorder="1" applyAlignment="1">
      <alignment horizontal="center"/>
    </xf>
    <xf numFmtId="0" fontId="11" fillId="3" borderId="146" xfId="0" applyFont="1" applyFill="1" applyBorder="1"/>
    <xf numFmtId="0" fontId="11" fillId="3" borderId="137" xfId="0" applyFont="1" applyFill="1" applyBorder="1"/>
    <xf numFmtId="0" fontId="11" fillId="3" borderId="138" xfId="0" applyFont="1" applyFill="1" applyBorder="1" applyAlignment="1">
      <alignment horizontal="center" wrapText="1"/>
    </xf>
    <xf numFmtId="0" fontId="11" fillId="0" borderId="141" xfId="0" applyFont="1" applyBorder="1"/>
    <xf numFmtId="0" fontId="11" fillId="0" borderId="4" xfId="0" applyFont="1" applyBorder="1"/>
    <xf numFmtId="0" fontId="11" fillId="0" borderId="142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/>
    </xf>
    <xf numFmtId="0" fontId="1" fillId="0" borderId="142" xfId="0" applyFont="1" applyBorder="1" applyAlignment="1">
      <alignment horizontal="center" vertical="center"/>
    </xf>
    <xf numFmtId="0" fontId="1" fillId="15" borderId="153" xfId="0" applyFont="1" applyFill="1" applyBorder="1" applyAlignment="1">
      <alignment horizontal="center" vertical="center"/>
    </xf>
    <xf numFmtId="0" fontId="1" fillId="15" borderId="154" xfId="0" applyFont="1" applyFill="1" applyBorder="1" applyAlignment="1">
      <alignment horizontal="center" vertical="center"/>
    </xf>
    <xf numFmtId="0" fontId="5" fillId="5" borderId="158" xfId="0" applyFont="1" applyFill="1" applyBorder="1"/>
    <xf numFmtId="0" fontId="5" fillId="5" borderId="160" xfId="0" applyFont="1" applyFill="1" applyBorder="1"/>
    <xf numFmtId="0" fontId="1" fillId="0" borderId="141" xfId="0" applyFont="1" applyBorder="1"/>
    <xf numFmtId="0" fontId="1" fillId="0" borderId="142" xfId="0" applyFont="1" applyBorder="1"/>
    <xf numFmtId="0" fontId="1" fillId="29" borderId="169" xfId="0" applyFont="1" applyFill="1" applyBorder="1"/>
    <xf numFmtId="0" fontId="5" fillId="24" borderId="170" xfId="0" applyFont="1" applyFill="1" applyBorder="1" applyAlignment="1">
      <alignment wrapText="1"/>
    </xf>
    <xf numFmtId="0" fontId="5" fillId="24" borderId="171" xfId="0" applyFont="1" applyFill="1" applyBorder="1" applyAlignment="1">
      <alignment wrapText="1"/>
    </xf>
    <xf numFmtId="0" fontId="5" fillId="24" borderId="172" xfId="0" applyFont="1" applyFill="1" applyBorder="1" applyAlignment="1">
      <alignment wrapText="1"/>
    </xf>
    <xf numFmtId="0" fontId="1" fillId="0" borderId="109" xfId="0" applyFont="1" applyBorder="1" applyAlignment="1">
      <alignment wrapText="1"/>
    </xf>
    <xf numFmtId="0" fontId="5" fillId="34" borderId="175" xfId="0" applyFont="1" applyFill="1" applyBorder="1" applyAlignment="1">
      <alignment horizontal="center" wrapText="1"/>
    </xf>
    <xf numFmtId="0" fontId="10" fillId="35" borderId="177" xfId="0" applyFont="1" applyFill="1" applyBorder="1" applyAlignment="1">
      <alignment horizontal="center" vertical="center"/>
    </xf>
    <xf numFmtId="0" fontId="10" fillId="35" borderId="178" xfId="0" applyFont="1" applyFill="1" applyBorder="1" applyAlignment="1">
      <alignment horizontal="center" vertical="center"/>
    </xf>
    <xf numFmtId="0" fontId="1" fillId="0" borderId="143" xfId="0" applyFont="1" applyBorder="1"/>
    <xf numFmtId="0" fontId="1" fillId="0" borderId="181" xfId="0" applyFont="1" applyBorder="1"/>
    <xf numFmtId="0" fontId="1" fillId="36" borderId="183" xfId="0" applyFont="1" applyFill="1" applyBorder="1"/>
    <xf numFmtId="0" fontId="1" fillId="36" borderId="184" xfId="0" applyFont="1" applyFill="1" applyBorder="1"/>
    <xf numFmtId="0" fontId="1" fillId="0" borderId="185" xfId="0" applyFont="1" applyBorder="1"/>
    <xf numFmtId="0" fontId="5" fillId="35" borderId="178" xfId="0" applyFont="1" applyFill="1" applyBorder="1"/>
    <xf numFmtId="0" fontId="5" fillId="21" borderId="3" xfId="0" applyFont="1" applyFill="1" applyBorder="1" applyAlignment="1">
      <alignment horizontal="center" wrapText="1"/>
    </xf>
    <xf numFmtId="165" fontId="1" fillId="29" borderId="188" xfId="0" applyNumberFormat="1" applyFont="1" applyFill="1" applyBorder="1" applyAlignment="1">
      <alignment wrapText="1"/>
    </xf>
    <xf numFmtId="0" fontId="1" fillId="29" borderId="188" xfId="0" applyFont="1" applyFill="1" applyBorder="1" applyAlignment="1">
      <alignment wrapText="1"/>
    </xf>
    <xf numFmtId="0" fontId="1" fillId="0" borderId="189" xfId="0" applyFont="1" applyBorder="1"/>
    <xf numFmtId="0" fontId="1" fillId="21" borderId="191" xfId="0" applyFont="1" applyFill="1" applyBorder="1"/>
    <xf numFmtId="0" fontId="1" fillId="21" borderId="192" xfId="0" applyFont="1" applyFill="1" applyBorder="1"/>
    <xf numFmtId="0" fontId="1" fillId="0" borderId="0" xfId="0" applyFont="1" applyAlignment="1">
      <alignment wrapText="1"/>
    </xf>
    <xf numFmtId="166" fontId="1" fillId="0" borderId="113" xfId="0" applyNumberFormat="1" applyFont="1" applyBorder="1"/>
    <xf numFmtId="0" fontId="1" fillId="0" borderId="193" xfId="0" applyFont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6" borderId="22" xfId="0" applyFont="1" applyFill="1" applyBorder="1" applyAlignment="1">
      <alignment horizontal="center" vertical="center" wrapText="1"/>
    </xf>
    <xf numFmtId="0" fontId="2" fillId="0" borderId="28" xfId="0" applyFont="1" applyBorder="1"/>
    <xf numFmtId="0" fontId="1" fillId="6" borderId="23" xfId="0" applyFont="1" applyFill="1" applyBorder="1" applyAlignment="1">
      <alignment horizontal="center" vertical="center" wrapText="1"/>
    </xf>
    <xf numFmtId="0" fontId="2" fillId="0" borderId="29" xfId="0" applyFont="1" applyBorder="1"/>
    <xf numFmtId="0" fontId="1" fillId="3" borderId="32" xfId="0" applyFont="1" applyFill="1" applyBorder="1" applyAlignment="1">
      <alignment horizontal="center" vertical="center" wrapText="1"/>
    </xf>
    <xf numFmtId="0" fontId="2" fillId="0" borderId="30" xfId="0" applyFont="1" applyBorder="1"/>
    <xf numFmtId="0" fontId="1" fillId="3" borderId="33" xfId="0" applyFont="1" applyFill="1" applyBorder="1" applyAlignment="1">
      <alignment horizontal="center" vertical="center" wrapText="1"/>
    </xf>
    <xf numFmtId="0" fontId="2" fillId="0" borderId="31" xfId="0" applyFont="1" applyBorder="1"/>
    <xf numFmtId="0" fontId="5" fillId="7" borderId="18" xfId="0" applyFont="1" applyFill="1" applyBorder="1" applyAlignment="1">
      <alignment horizontal="center" vertical="center" wrapText="1"/>
    </xf>
    <xf numFmtId="0" fontId="2" fillId="0" borderId="21" xfId="0" applyFont="1" applyBorder="1"/>
    <xf numFmtId="0" fontId="2" fillId="0" borderId="26" xfId="0" applyFont="1" applyBorder="1"/>
    <xf numFmtId="0" fontId="2" fillId="0" borderId="27" xfId="0" applyFont="1" applyBorder="1"/>
    <xf numFmtId="0" fontId="5" fillId="8" borderId="18" xfId="0" applyFont="1" applyFill="1" applyBorder="1" applyAlignment="1">
      <alignment horizontal="center" vertical="center" wrapText="1"/>
    </xf>
    <xf numFmtId="0" fontId="5" fillId="9" borderId="18" xfId="0" applyFont="1" applyFill="1" applyBorder="1" applyAlignment="1">
      <alignment horizontal="center" vertical="center" wrapText="1"/>
    </xf>
    <xf numFmtId="0" fontId="2" fillId="0" borderId="34" xfId="0" applyFont="1" applyBorder="1"/>
    <xf numFmtId="0" fontId="2" fillId="0" borderId="35" xfId="0" applyFont="1" applyBorder="1"/>
    <xf numFmtId="0" fontId="2" fillId="0" borderId="36" xfId="0" applyFont="1" applyBorder="1"/>
    <xf numFmtId="0" fontId="2" fillId="0" borderId="37" xfId="0" applyFont="1" applyBorder="1"/>
    <xf numFmtId="0" fontId="5" fillId="10" borderId="18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2" fillId="0" borderId="40" xfId="0" applyFont="1" applyBorder="1"/>
    <xf numFmtId="0" fontId="1" fillId="0" borderId="7" xfId="0" applyFont="1" applyBorder="1" applyAlignment="1">
      <alignment wrapText="1"/>
    </xf>
    <xf numFmtId="0" fontId="2" fillId="0" borderId="15" xfId="0" applyFont="1" applyBorder="1"/>
    <xf numFmtId="0" fontId="1" fillId="0" borderId="16" xfId="0" applyFont="1" applyBorder="1" applyAlignment="1">
      <alignment wrapText="1"/>
    </xf>
    <xf numFmtId="0" fontId="2" fillId="0" borderId="13" xfId="0" applyFont="1" applyBorder="1"/>
    <xf numFmtId="0" fontId="5" fillId="3" borderId="17" xfId="0" applyFont="1" applyFill="1" applyBorder="1" applyAlignment="1">
      <alignment horizontal="center" vertical="center" wrapText="1"/>
    </xf>
    <xf numFmtId="0" fontId="2" fillId="0" borderId="39" xfId="0" applyFont="1" applyBorder="1"/>
    <xf numFmtId="0" fontId="5" fillId="3" borderId="18" xfId="0" applyFont="1" applyFill="1" applyBorder="1" applyAlignment="1">
      <alignment horizontal="center" vertical="center" wrapText="1"/>
    </xf>
    <xf numFmtId="0" fontId="5" fillId="11" borderId="41" xfId="0" applyFont="1" applyFill="1" applyBorder="1" applyAlignment="1">
      <alignment horizontal="center" wrapText="1"/>
    </xf>
    <xf numFmtId="0" fontId="2" fillId="0" borderId="42" xfId="0" applyFont="1" applyBorder="1"/>
    <xf numFmtId="0" fontId="6" fillId="12" borderId="48" xfId="0" applyFont="1" applyFill="1" applyBorder="1" applyAlignment="1">
      <alignment horizontal="center" wrapText="1"/>
    </xf>
    <xf numFmtId="0" fontId="2" fillId="0" borderId="49" xfId="0" applyFont="1" applyBorder="1"/>
    <xf numFmtId="0" fontId="6" fillId="13" borderId="55" xfId="0" applyFont="1" applyFill="1" applyBorder="1" applyAlignment="1">
      <alignment horizontal="center" wrapText="1"/>
    </xf>
    <xf numFmtId="0" fontId="2" fillId="0" borderId="56" xfId="0" applyFont="1" applyBorder="1"/>
    <xf numFmtId="0" fontId="6" fillId="14" borderId="57" xfId="0" applyFont="1" applyFill="1" applyBorder="1" applyAlignment="1">
      <alignment horizontal="center" wrapText="1"/>
    </xf>
    <xf numFmtId="0" fontId="2" fillId="0" borderId="58" xfId="0" applyFont="1" applyBorder="1"/>
    <xf numFmtId="0" fontId="6" fillId="8" borderId="59" xfId="0" applyFont="1" applyFill="1" applyBorder="1" applyAlignment="1">
      <alignment horizontal="center" wrapText="1"/>
    </xf>
    <xf numFmtId="0" fontId="2" fillId="0" borderId="60" xfId="0" applyFont="1" applyBorder="1"/>
    <xf numFmtId="0" fontId="6" fillId="3" borderId="61" xfId="0" applyFont="1" applyFill="1" applyBorder="1" applyAlignment="1">
      <alignment horizontal="center" wrapText="1"/>
    </xf>
    <xf numFmtId="0" fontId="2" fillId="0" borderId="62" xfId="0" applyFont="1" applyBorder="1"/>
    <xf numFmtId="0" fontId="6" fillId="15" borderId="63" xfId="0" applyFont="1" applyFill="1" applyBorder="1" applyAlignment="1">
      <alignment horizontal="center" wrapText="1"/>
    </xf>
    <xf numFmtId="0" fontId="2" fillId="0" borderId="64" xfId="0" applyFont="1" applyBorder="1"/>
    <xf numFmtId="0" fontId="6" fillId="5" borderId="65" xfId="0" applyFont="1" applyFill="1" applyBorder="1" applyAlignment="1">
      <alignment horizontal="center" wrapText="1"/>
    </xf>
    <xf numFmtId="0" fontId="2" fillId="0" borderId="66" xfId="0" applyFont="1" applyBorder="1"/>
    <xf numFmtId="0" fontId="6" fillId="10" borderId="67" xfId="0" applyFont="1" applyFill="1" applyBorder="1" applyAlignment="1">
      <alignment horizontal="center" wrapText="1"/>
    </xf>
    <xf numFmtId="0" fontId="2" fillId="0" borderId="68" xfId="0" applyFont="1" applyBorder="1"/>
    <xf numFmtId="0" fontId="6" fillId="16" borderId="69" xfId="0" applyFont="1" applyFill="1" applyBorder="1" applyAlignment="1">
      <alignment horizontal="center" wrapText="1"/>
    </xf>
    <xf numFmtId="0" fontId="2" fillId="0" borderId="70" xfId="0" applyFont="1" applyBorder="1"/>
    <xf numFmtId="0" fontId="6" fillId="17" borderId="71" xfId="0" applyFont="1" applyFill="1" applyBorder="1" applyAlignment="1">
      <alignment horizontal="center" wrapText="1"/>
    </xf>
    <xf numFmtId="0" fontId="2" fillId="0" borderId="72" xfId="0" applyFont="1" applyBorder="1"/>
    <xf numFmtId="0" fontId="6" fillId="7" borderId="73" xfId="0" applyFont="1" applyFill="1" applyBorder="1" applyAlignment="1">
      <alignment horizontal="center" wrapText="1"/>
    </xf>
    <xf numFmtId="0" fontId="2" fillId="0" borderId="74" xfId="0" applyFont="1" applyBorder="1"/>
    <xf numFmtId="0" fontId="6" fillId="18" borderId="75" xfId="0" applyFont="1" applyFill="1" applyBorder="1" applyAlignment="1">
      <alignment horizontal="center" wrapText="1"/>
    </xf>
    <xf numFmtId="0" fontId="2" fillId="0" borderId="76" xfId="0" applyFont="1" applyBorder="1"/>
    <xf numFmtId="0" fontId="6" fillId="19" borderId="77" xfId="0" applyFont="1" applyFill="1" applyBorder="1" applyAlignment="1">
      <alignment horizontal="center" wrapText="1"/>
    </xf>
    <xf numFmtId="0" fontId="2" fillId="0" borderId="78" xfId="0" applyFont="1" applyBorder="1"/>
    <xf numFmtId="0" fontId="6" fillId="26" borderId="92" xfId="0" applyFont="1" applyFill="1" applyBorder="1" applyAlignment="1">
      <alignment horizontal="center" wrapText="1"/>
    </xf>
    <xf numFmtId="0" fontId="2" fillId="0" borderId="93" xfId="0" applyFont="1" applyBorder="1"/>
    <xf numFmtId="0" fontId="6" fillId="27" borderId="26" xfId="0" applyFont="1" applyFill="1" applyBorder="1" applyAlignment="1">
      <alignment horizontal="center" wrapText="1"/>
    </xf>
    <xf numFmtId="0" fontId="6" fillId="20" borderId="80" xfId="0" applyFont="1" applyFill="1" applyBorder="1" applyAlignment="1">
      <alignment horizontal="center" wrapText="1"/>
    </xf>
    <xf numFmtId="0" fontId="2" fillId="0" borderId="81" xfId="0" applyFont="1" applyBorder="1"/>
    <xf numFmtId="0" fontId="6" fillId="21" borderId="82" xfId="0" applyFont="1" applyFill="1" applyBorder="1" applyAlignment="1">
      <alignment horizontal="center" wrapText="1"/>
    </xf>
    <xf numFmtId="0" fontId="2" fillId="0" borderId="83" xfId="0" applyFont="1" applyBorder="1"/>
    <xf numFmtId="0" fontId="6" fillId="22" borderId="84" xfId="0" applyFont="1" applyFill="1" applyBorder="1" applyAlignment="1">
      <alignment horizontal="center" wrapText="1"/>
    </xf>
    <xf numFmtId="0" fontId="2" fillId="0" borderId="85" xfId="0" applyFont="1" applyBorder="1"/>
    <xf numFmtId="0" fontId="6" fillId="23" borderId="86" xfId="0" applyFont="1" applyFill="1" applyBorder="1" applyAlignment="1">
      <alignment horizontal="center" wrapText="1"/>
    </xf>
    <xf numFmtId="0" fontId="2" fillId="0" borderId="87" xfId="0" applyFont="1" applyBorder="1"/>
    <xf numFmtId="0" fontId="6" fillId="24" borderId="88" xfId="0" applyFont="1" applyFill="1" applyBorder="1" applyAlignment="1">
      <alignment horizontal="center" wrapText="1"/>
    </xf>
    <xf numFmtId="0" fontId="2" fillId="0" borderId="89" xfId="0" applyFont="1" applyBorder="1"/>
    <xf numFmtId="0" fontId="6" fillId="25" borderId="90" xfId="0" applyFont="1" applyFill="1" applyBorder="1" applyAlignment="1">
      <alignment horizontal="center" wrapText="1"/>
    </xf>
    <xf numFmtId="0" fontId="2" fillId="0" borderId="91" xfId="0" applyFont="1" applyBorder="1"/>
    <xf numFmtId="0" fontId="1" fillId="3" borderId="24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0" fillId="0" borderId="0" xfId="0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4" fillId="0" borderId="8" xfId="0" applyFont="1" applyBorder="1" applyAlignment="1">
      <alignment horizontal="center" vertical="top" wrapText="1"/>
    </xf>
    <xf numFmtId="0" fontId="2" fillId="0" borderId="14" xfId="0" applyFont="1" applyBorder="1"/>
    <xf numFmtId="0" fontId="5" fillId="5" borderId="18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2" fillId="0" borderId="38" xfId="0" applyFont="1" applyBorder="1"/>
    <xf numFmtId="0" fontId="9" fillId="7" borderId="18" xfId="0" applyFont="1" applyFill="1" applyBorder="1" applyAlignment="1">
      <alignment horizontal="center" vertical="center"/>
    </xf>
    <xf numFmtId="0" fontId="2" fillId="0" borderId="102" xfId="0" applyFont="1" applyBorder="1"/>
    <xf numFmtId="0" fontId="5" fillId="21" borderId="1" xfId="0" applyFont="1" applyFill="1" applyBorder="1" applyAlignment="1">
      <alignment horizontal="center" vertical="center" wrapText="1"/>
    </xf>
    <xf numFmtId="0" fontId="5" fillId="16" borderId="130" xfId="0" applyFont="1" applyFill="1" applyBorder="1" applyAlignment="1">
      <alignment vertical="center"/>
    </xf>
    <xf numFmtId="0" fontId="2" fillId="0" borderId="131" xfId="0" applyFont="1" applyBorder="1"/>
    <xf numFmtId="0" fontId="5" fillId="16" borderId="132" xfId="0" applyFont="1" applyFill="1" applyBorder="1" applyAlignment="1">
      <alignment horizontal="center" vertical="center"/>
    </xf>
    <xf numFmtId="0" fontId="2" fillId="0" borderId="133" xfId="0" applyFont="1" applyBorder="1"/>
    <xf numFmtId="0" fontId="9" fillId="10" borderId="18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 wrapText="1"/>
    </xf>
    <xf numFmtId="0" fontId="9" fillId="0" borderId="114" xfId="0" applyFont="1" applyBorder="1" applyAlignment="1">
      <alignment horizontal="center"/>
    </xf>
    <xf numFmtId="0" fontId="2" fillId="0" borderId="106" xfId="0" applyFont="1" applyBorder="1"/>
    <xf numFmtId="0" fontId="2" fillId="0" borderId="107" xfId="0" applyFont="1" applyBorder="1"/>
    <xf numFmtId="0" fontId="5" fillId="13" borderId="8" xfId="0" applyFont="1" applyFill="1" applyBorder="1" applyAlignment="1">
      <alignment vertical="center"/>
    </xf>
    <xf numFmtId="0" fontId="2" fillId="0" borderId="118" xfId="0" applyFont="1" applyBorder="1"/>
    <xf numFmtId="0" fontId="5" fillId="13" borderId="119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2" fillId="0" borderId="103" xfId="0" applyFont="1" applyBorder="1"/>
    <xf numFmtId="0" fontId="2" fillId="0" borderId="120" xfId="0" applyFont="1" applyBorder="1"/>
    <xf numFmtId="0" fontId="1" fillId="0" borderId="1" xfId="0" applyFont="1" applyBorder="1"/>
    <xf numFmtId="0" fontId="2" fillId="0" borderId="112" xfId="0" applyFont="1" applyBorder="1"/>
    <xf numFmtId="0" fontId="5" fillId="26" borderId="140" xfId="0" applyFont="1" applyFill="1" applyBorder="1" applyAlignment="1">
      <alignment horizontal="center" vertical="center"/>
    </xf>
    <xf numFmtId="0" fontId="5" fillId="0" borderId="144" xfId="0" applyFont="1" applyBorder="1" applyAlignment="1">
      <alignment horizontal="center"/>
    </xf>
    <xf numFmtId="0" fontId="2" fillId="0" borderId="145" xfId="0" applyFont="1" applyBorder="1"/>
    <xf numFmtId="0" fontId="1" fillId="29" borderId="99" xfId="0" applyFont="1" applyFill="1" applyBorder="1" applyAlignment="1">
      <alignment vertical="center"/>
    </xf>
    <xf numFmtId="0" fontId="2" fillId="0" borderId="128" xfId="0" applyFont="1" applyBorder="1"/>
    <xf numFmtId="0" fontId="1" fillId="29" borderId="129" xfId="0" applyFont="1" applyFill="1" applyBorder="1" applyAlignment="1">
      <alignment horizontal="center"/>
    </xf>
    <xf numFmtId="0" fontId="1" fillId="28" borderId="126" xfId="0" applyFont="1" applyFill="1" applyBorder="1" applyAlignment="1">
      <alignment vertical="center"/>
    </xf>
    <xf numFmtId="0" fontId="1" fillId="28" borderId="20" xfId="0" applyFont="1" applyFill="1" applyBorder="1" applyAlignment="1">
      <alignment horizontal="center"/>
    </xf>
    <xf numFmtId="0" fontId="2" fillId="0" borderId="19" xfId="0" applyFont="1" applyBorder="1"/>
    <xf numFmtId="0" fontId="5" fillId="26" borderId="8" xfId="0" applyFont="1" applyFill="1" applyBorder="1" applyAlignment="1">
      <alignment vertical="center"/>
    </xf>
    <xf numFmtId="0" fontId="2" fillId="0" borderId="139" xfId="0" applyFont="1" applyBorder="1"/>
    <xf numFmtId="0" fontId="1" fillId="28" borderId="99" xfId="0" applyFont="1" applyFill="1" applyBorder="1" applyAlignment="1">
      <alignment vertical="center"/>
    </xf>
    <xf numFmtId="0" fontId="1" fillId="30" borderId="1" xfId="0" applyFont="1" applyFill="1" applyBorder="1"/>
    <xf numFmtId="0" fontId="2" fillId="0" borderId="134" xfId="0" applyFont="1" applyBorder="1"/>
    <xf numFmtId="0" fontId="9" fillId="31" borderId="18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wrapText="1"/>
    </xf>
    <xf numFmtId="0" fontId="5" fillId="3" borderId="99" xfId="0" applyFont="1" applyFill="1" applyBorder="1" applyAlignment="1">
      <alignment horizontal="center"/>
    </xf>
    <xf numFmtId="0" fontId="2" fillId="0" borderId="100" xfId="0" applyFont="1" applyBorder="1"/>
    <xf numFmtId="0" fontId="2" fillId="0" borderId="101" xfId="0" applyFont="1" applyBorder="1"/>
    <xf numFmtId="0" fontId="1" fillId="0" borderId="14" xfId="0" applyFont="1" applyBorder="1"/>
    <xf numFmtId="0" fontId="8" fillId="0" borderId="110" xfId="0" applyFont="1" applyBorder="1" applyAlignment="1">
      <alignment horizontal="center" vertical="center" wrapText="1"/>
    </xf>
    <xf numFmtId="0" fontId="2" fillId="0" borderId="111" xfId="0" applyFont="1" applyBorder="1"/>
    <xf numFmtId="0" fontId="1" fillId="28" borderId="1" xfId="0" applyFont="1" applyFill="1" applyBorder="1" applyAlignment="1">
      <alignment wrapText="1"/>
    </xf>
    <xf numFmtId="0" fontId="5" fillId="15" borderId="114" xfId="0" applyFont="1" applyFill="1" applyBorder="1" applyAlignment="1">
      <alignment horizontal="center"/>
    </xf>
    <xf numFmtId="0" fontId="5" fillId="8" borderId="114" xfId="0" applyFont="1" applyFill="1" applyBorder="1" applyAlignment="1">
      <alignment horizontal="center"/>
    </xf>
    <xf numFmtId="0" fontId="5" fillId="16" borderId="114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9" fontId="7" fillId="0" borderId="20" xfId="0" applyNumberFormat="1" applyFont="1" applyBorder="1" applyAlignment="1">
      <alignment horizontal="center"/>
    </xf>
    <xf numFmtId="0" fontId="3" fillId="0" borderId="18" xfId="0" applyFont="1" applyBorder="1" applyAlignment="1">
      <alignment horizontal="center" vertical="center"/>
    </xf>
    <xf numFmtId="0" fontId="2" fillId="0" borderId="104" xfId="0" applyFont="1" applyBorder="1"/>
    <xf numFmtId="0" fontId="2" fillId="0" borderId="105" xfId="0" applyFont="1" applyBorder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5" fillId="0" borderId="106" xfId="0" applyFont="1" applyBorder="1" applyAlignment="1">
      <alignment horizontal="center"/>
    </xf>
    <xf numFmtId="0" fontId="5" fillId="21" borderId="122" xfId="0" applyFont="1" applyFill="1" applyBorder="1" applyAlignment="1">
      <alignment vertical="center"/>
    </xf>
    <xf numFmtId="0" fontId="2" fillId="0" borderId="123" xfId="0" applyFont="1" applyBorder="1"/>
    <xf numFmtId="0" fontId="5" fillId="21" borderId="124" xfId="0" applyFont="1" applyFill="1" applyBorder="1" applyAlignment="1">
      <alignment horizontal="center" vertical="center"/>
    </xf>
    <xf numFmtId="0" fontId="2" fillId="0" borderId="125" xfId="0" applyFont="1" applyBorder="1"/>
    <xf numFmtId="0" fontId="5" fillId="3" borderId="1" xfId="0" applyFont="1" applyFill="1" applyBorder="1" applyAlignment="1">
      <alignment horizontal="center" vertical="center" wrapText="1"/>
    </xf>
    <xf numFmtId="0" fontId="1" fillId="0" borderId="126" xfId="0" applyFont="1" applyBorder="1" applyAlignment="1">
      <alignment wrapText="1"/>
    </xf>
    <xf numFmtId="0" fontId="1" fillId="3" borderId="99" xfId="0" applyFont="1" applyFill="1" applyBorder="1" applyAlignment="1">
      <alignment wrapText="1"/>
    </xf>
    <xf numFmtId="0" fontId="2" fillId="0" borderId="136" xfId="0" applyFont="1" applyBorder="1"/>
    <xf numFmtId="0" fontId="5" fillId="15" borderId="1" xfId="0" applyFont="1" applyFill="1" applyBorder="1"/>
    <xf numFmtId="0" fontId="1" fillId="29" borderId="99" xfId="0" applyFont="1" applyFill="1" applyBorder="1"/>
    <xf numFmtId="0" fontId="5" fillId="21" borderId="1" xfId="0" applyFont="1" applyFill="1" applyBorder="1"/>
    <xf numFmtId="0" fontId="2" fillId="0" borderId="173" xfId="0" applyFont="1" applyBorder="1"/>
    <xf numFmtId="0" fontId="1" fillId="29" borderId="129" xfId="0" applyFont="1" applyFill="1" applyBorder="1"/>
    <xf numFmtId="0" fontId="5" fillId="5" borderId="1" xfId="0" applyFont="1" applyFill="1" applyBorder="1" applyAlignment="1">
      <alignment horizontal="center" vertical="center" wrapText="1"/>
    </xf>
    <xf numFmtId="0" fontId="1" fillId="28" borderId="126" xfId="0" applyFont="1" applyFill="1" applyBorder="1" applyAlignment="1">
      <alignment horizontal="left" vertical="center"/>
    </xf>
    <xf numFmtId="0" fontId="2" fillId="0" borderId="147" xfId="0" applyFont="1" applyBorder="1"/>
    <xf numFmtId="0" fontId="5" fillId="3" borderId="1" xfId="0" applyFont="1" applyFill="1" applyBorder="1" applyAlignment="1">
      <alignment horizontal="center" vertical="center"/>
    </xf>
    <xf numFmtId="0" fontId="1" fillId="15" borderId="99" xfId="0" applyFont="1" applyFill="1" applyBorder="1" applyAlignment="1">
      <alignment horizontal="left" vertical="center"/>
    </xf>
    <xf numFmtId="0" fontId="2" fillId="0" borderId="148" xfId="0" applyFont="1" applyBorder="1"/>
    <xf numFmtId="0" fontId="5" fillId="16" borderId="1" xfId="0" applyFont="1" applyFill="1" applyBorder="1"/>
    <xf numFmtId="0" fontId="5" fillId="6" borderId="1" xfId="0" applyFont="1" applyFill="1" applyBorder="1"/>
    <xf numFmtId="0" fontId="5" fillId="12" borderId="1" xfId="0" applyFont="1" applyFill="1" applyBorder="1"/>
    <xf numFmtId="0" fontId="9" fillId="32" borderId="18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/>
    </xf>
    <xf numFmtId="0" fontId="1" fillId="28" borderId="99" xfId="0" applyFont="1" applyFill="1" applyBorder="1" applyAlignment="1">
      <alignment horizontal="left" vertical="center"/>
    </xf>
    <xf numFmtId="0" fontId="1" fillId="0" borderId="99" xfId="0" applyFont="1" applyBorder="1" applyAlignment="1">
      <alignment horizontal="left" vertical="center"/>
    </xf>
    <xf numFmtId="0" fontId="1" fillId="33" borderId="167" xfId="0" applyFont="1" applyFill="1" applyBorder="1" applyAlignment="1">
      <alignment horizontal="center"/>
    </xf>
    <xf numFmtId="0" fontId="2" fillId="0" borderId="168" xfId="0" applyFont="1" applyBorder="1"/>
    <xf numFmtId="0" fontId="5" fillId="13" borderId="1" xfId="0" applyFont="1" applyFill="1" applyBorder="1" applyAlignment="1">
      <alignment horizontal="center" vertical="center"/>
    </xf>
    <xf numFmtId="0" fontId="5" fillId="21" borderId="174" xfId="0" applyFont="1" applyFill="1" applyBorder="1" applyAlignment="1">
      <alignment horizontal="center"/>
    </xf>
    <xf numFmtId="0" fontId="5" fillId="34" borderId="1" xfId="0" applyFont="1" applyFill="1" applyBorder="1" applyAlignment="1">
      <alignment horizontal="center" wrapText="1"/>
    </xf>
    <xf numFmtId="0" fontId="5" fillId="34" borderId="103" xfId="0" applyFont="1" applyFill="1" applyBorder="1" applyAlignment="1">
      <alignment horizontal="center" wrapText="1"/>
    </xf>
    <xf numFmtId="0" fontId="1" fillId="33" borderId="104" xfId="0" applyFont="1" applyFill="1" applyBorder="1"/>
    <xf numFmtId="0" fontId="2" fillId="0" borderId="155" xfId="0" applyFont="1" applyBorder="1"/>
    <xf numFmtId="0" fontId="1" fillId="33" borderId="156" xfId="0" applyFont="1" applyFill="1" applyBorder="1" applyAlignment="1">
      <alignment horizontal="center"/>
    </xf>
    <xf numFmtId="0" fontId="11" fillId="33" borderId="161" xfId="0" applyFont="1" applyFill="1" applyBorder="1"/>
    <xf numFmtId="0" fontId="2" fillId="0" borderId="162" xfId="0" applyFont="1" applyBorder="1"/>
    <xf numFmtId="0" fontId="1" fillId="33" borderId="163" xfId="0" applyFont="1" applyFill="1" applyBorder="1" applyAlignment="1">
      <alignment horizontal="center"/>
    </xf>
    <xf numFmtId="0" fontId="2" fillId="0" borderId="164" xfId="0" applyFont="1" applyBorder="1"/>
    <xf numFmtId="0" fontId="11" fillId="33" borderId="165" xfId="0" applyFont="1" applyFill="1" applyBorder="1"/>
    <xf numFmtId="0" fontId="2" fillId="0" borderId="166" xfId="0" applyFont="1" applyBorder="1"/>
    <xf numFmtId="0" fontId="5" fillId="13" borderId="18" xfId="0" applyFont="1" applyFill="1" applyBorder="1" applyAlignment="1">
      <alignment horizontal="center" vertical="center"/>
    </xf>
    <xf numFmtId="0" fontId="1" fillId="15" borderId="151" xfId="0" applyFont="1" applyFill="1" applyBorder="1" applyAlignment="1">
      <alignment horizontal="left" vertical="center"/>
    </xf>
    <xf numFmtId="0" fontId="2" fillId="0" borderId="152" xfId="0" applyFont="1" applyBorder="1"/>
    <xf numFmtId="0" fontId="5" fillId="5" borderId="18" xfId="0" applyFont="1" applyFill="1" applyBorder="1" applyAlignment="1">
      <alignment horizontal="center" vertical="center"/>
    </xf>
    <xf numFmtId="0" fontId="5" fillId="5" borderId="1" xfId="0" applyFont="1" applyFill="1" applyBorder="1"/>
    <xf numFmtId="0" fontId="2" fillId="0" borderId="157" xfId="0" applyFont="1" applyBorder="1"/>
    <xf numFmtId="0" fontId="5" fillId="5" borderId="11" xfId="0" applyFont="1" applyFill="1" applyBorder="1"/>
    <xf numFmtId="0" fontId="2" fillId="0" borderId="159" xfId="0" applyFont="1" applyBorder="1"/>
    <xf numFmtId="0" fontId="12" fillId="5" borderId="18" xfId="0" applyFont="1" applyFill="1" applyBorder="1" applyAlignment="1">
      <alignment horizontal="center" vertical="center"/>
    </xf>
    <xf numFmtId="0" fontId="9" fillId="28" borderId="18" xfId="0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/>
    </xf>
    <xf numFmtId="0" fontId="1" fillId="0" borderId="14" xfId="0" applyFont="1" applyBorder="1" applyAlignment="1">
      <alignment wrapText="1"/>
    </xf>
    <xf numFmtId="0" fontId="1" fillId="0" borderId="14" xfId="0" applyFont="1" applyBorder="1" applyAlignment="1">
      <alignment horizontal="center" wrapText="1"/>
    </xf>
    <xf numFmtId="0" fontId="1" fillId="29" borderId="129" xfId="0" applyFont="1" applyFill="1" applyBorder="1" applyAlignment="1">
      <alignment wrapText="1"/>
    </xf>
    <xf numFmtId="0" fontId="1" fillId="29" borderId="129" xfId="0" applyFont="1" applyFill="1" applyBorder="1" applyAlignment="1">
      <alignment horizontal="center" wrapText="1"/>
    </xf>
    <xf numFmtId="0" fontId="1" fillId="0" borderId="20" xfId="0" applyFont="1" applyBorder="1"/>
    <xf numFmtId="0" fontId="5" fillId="21" borderId="1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0" fontId="13" fillId="29" borderId="129" xfId="0" applyFont="1" applyFill="1" applyBorder="1" applyAlignment="1">
      <alignment horizontal="center" wrapText="1"/>
    </xf>
    <xf numFmtId="0" fontId="1" fillId="0" borderId="5" xfId="0" applyFont="1" applyBorder="1"/>
    <xf numFmtId="0" fontId="2" fillId="0" borderId="190" xfId="0" applyFont="1" applyBorder="1"/>
    <xf numFmtId="0" fontId="10" fillId="35" borderId="1" xfId="0" applyFont="1" applyFill="1" applyBorder="1" applyAlignment="1">
      <alignment horizontal="center" vertical="center"/>
    </xf>
    <xf numFmtId="0" fontId="2" fillId="0" borderId="176" xfId="0" applyFont="1" applyBorder="1"/>
    <xf numFmtId="0" fontId="1" fillId="0" borderId="179" xfId="0" applyFont="1" applyBorder="1"/>
    <xf numFmtId="0" fontId="2" fillId="0" borderId="180" xfId="0" applyFont="1" applyBorder="1"/>
    <xf numFmtId="0" fontId="1" fillId="36" borderId="99" xfId="0" applyFont="1" applyFill="1" applyBorder="1"/>
    <xf numFmtId="0" fontId="2" fillId="0" borderId="182" xfId="0" applyFont="1" applyBorder="1"/>
    <xf numFmtId="0" fontId="1" fillId="0" borderId="99" xfId="0" applyFont="1" applyBorder="1"/>
    <xf numFmtId="0" fontId="1" fillId="0" borderId="110" xfId="0" applyFont="1" applyBorder="1"/>
    <xf numFmtId="0" fontId="5" fillId="35" borderId="1" xfId="0" applyFont="1" applyFill="1" applyBorder="1" applyAlignment="1">
      <alignment horizontal="center"/>
    </xf>
    <xf numFmtId="0" fontId="2" fillId="0" borderId="126" xfId="0" applyFont="1" applyBorder="1"/>
    <xf numFmtId="0" fontId="2" fillId="0" borderId="186" xfId="0" applyFont="1" applyBorder="1"/>
    <xf numFmtId="0" fontId="5" fillId="21" borderId="1" xfId="0" applyFont="1" applyFill="1" applyBorder="1" applyAlignment="1">
      <alignment horizontal="center"/>
    </xf>
    <xf numFmtId="0" fontId="1" fillId="0" borderId="126" xfId="0" applyFont="1" applyBorder="1"/>
    <xf numFmtId="0" fontId="1" fillId="29" borderId="126" xfId="0" applyFont="1" applyFill="1" applyBorder="1"/>
    <xf numFmtId="0" fontId="2" fillId="0" borderId="187" xfId="0" applyFont="1" applyBorder="1"/>
    <xf numFmtId="0" fontId="1" fillId="0" borderId="8" xfId="0" applyFont="1" applyBorder="1" applyAlignment="1">
      <alignment wrapText="1"/>
    </xf>
    <xf numFmtId="0" fontId="5" fillId="21" borderId="174" xfId="0" applyFont="1" applyFill="1" applyBorder="1" applyAlignment="1">
      <alignment horizontal="center" wrapText="1"/>
    </xf>
    <xf numFmtId="0" fontId="1" fillId="0" borderId="113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0" borderId="135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27" xfId="0" applyFont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" borderId="138" xfId="0" applyFont="1" applyFill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42" xfId="0" applyFont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3" borderId="138" xfId="0" applyFont="1" applyFill="1" applyBorder="1" applyAlignment="1">
      <alignment horizont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142" xfId="0" applyFont="1" applyBorder="1" applyAlignment="1">
      <alignment horizontal="center" wrapText="1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48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RESUMEN!$D$10</c:f>
              <c:strCache>
                <c:ptCount val="1"/>
                <c:pt idx="0">
                  <c:v>INGRESOS</c:v>
                </c:pt>
              </c:strCache>
            </c:strRef>
          </c:tx>
          <c:spPr>
            <a:ln cmpd="sng">
              <a:solidFill>
                <a:srgbClr val="B6D7A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RESUMEN!$E$9:$Q$9</c:f>
              <c:strCache>
                <c:ptCount val="13"/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SEPTIEMBRE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RESUMEN!$E$10:$Q$10</c:f>
              <c:numCache>
                <c:formatCode>General</c:formatCode>
                <c:ptCount val="13"/>
                <c:pt idx="1">
                  <c:v>10000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E15-4FD8-8F98-242FE3331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1700004"/>
        <c:axId val="40697760"/>
      </c:lineChart>
      <c:catAx>
        <c:axId val="12417000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UY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40697760"/>
        <c:crosses val="autoZero"/>
        <c:auto val="1"/>
        <c:lblAlgn val="ctr"/>
        <c:lblOffset val="100"/>
        <c:noMultiLvlLbl val="1"/>
      </c:catAx>
      <c:valAx>
        <c:axId val="406977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UY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1241700004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RESUMEN!$D$18</c:f>
              <c:strCache>
                <c:ptCount val="1"/>
                <c:pt idx="0">
                  <c:v>AHORROS</c:v>
                </c:pt>
              </c:strCache>
            </c:strRef>
          </c:tx>
          <c:spPr>
            <a:ln cmpd="sng">
              <a:solidFill>
                <a:srgbClr val="24A4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RESUMEN!$E$9:$Q$9</c:f>
              <c:strCache>
                <c:ptCount val="13"/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SEPTIEMBRE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RESUMEN!$E$18:$Q$18</c:f>
              <c:numCache>
                <c:formatCode>General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34-4254-81DC-1A3948BAC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540575"/>
        <c:axId val="276181825"/>
      </c:lineChart>
      <c:catAx>
        <c:axId val="845405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UY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276181825"/>
        <c:crosses val="autoZero"/>
        <c:auto val="1"/>
        <c:lblAlgn val="ctr"/>
        <c:lblOffset val="100"/>
        <c:noMultiLvlLbl val="1"/>
      </c:catAx>
      <c:valAx>
        <c:axId val="2761818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UY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84540575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RESUMEN!$D$20</c:f>
              <c:strCache>
                <c:ptCount val="1"/>
                <c:pt idx="0">
                  <c:v>INVERSIONES</c:v>
                </c:pt>
              </c:strCache>
            </c:strRef>
          </c:tx>
          <c:spPr>
            <a:ln cmpd="sng">
              <a:solidFill>
                <a:srgbClr val="A4C2F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RESUMEN!$E$9:$Q$9</c:f>
              <c:strCache>
                <c:ptCount val="13"/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SEPTIEMBRE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RESUMEN!$E$20:$Q$20</c:f>
              <c:numCache>
                <c:formatCode>General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7C-4358-9708-FEFBAC041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14447"/>
        <c:axId val="549085341"/>
      </c:lineChart>
      <c:catAx>
        <c:axId val="120144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UY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549085341"/>
        <c:crosses val="autoZero"/>
        <c:auto val="1"/>
        <c:lblAlgn val="ctr"/>
        <c:lblOffset val="100"/>
        <c:noMultiLvlLbl val="1"/>
      </c:catAx>
      <c:valAx>
        <c:axId val="5490853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UY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12014447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RESUMEN!$D$12</c:f>
              <c:strCache>
                <c:ptCount val="1"/>
                <c:pt idx="0">
                  <c:v>GASTOS FIJOS</c:v>
                </c:pt>
              </c:strCache>
            </c:strRef>
          </c:tx>
          <c:spPr>
            <a:ln cmpd="sng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RESUMEN!$E$9:$Q$9</c:f>
              <c:strCache>
                <c:ptCount val="13"/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SEPTIEMBRE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RESUMEN!$E$12:$Q$12</c:f>
              <c:numCache>
                <c:formatCode>General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00A-4BB5-8FF6-B3878CE12479}"/>
            </c:ext>
          </c:extLst>
        </c:ser>
        <c:ser>
          <c:idx val="1"/>
          <c:order val="1"/>
          <c:tx>
            <c:strRef>
              <c:f>RESUMEN!$D$14</c:f>
              <c:strCache>
                <c:ptCount val="1"/>
                <c:pt idx="0">
                  <c:v>GASTOS VARIABLES</c:v>
                </c:pt>
              </c:strCache>
            </c:strRef>
          </c:tx>
          <c:spPr>
            <a:ln cmpd="sng">
              <a:solidFill>
                <a:srgbClr val="C27BA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RESUMEN!$E$9:$Q$9</c:f>
              <c:strCache>
                <c:ptCount val="13"/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SEPTIEMBRE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RESUMEN!$E$14:$Q$14</c:f>
              <c:numCache>
                <c:formatCode>General</c:formatCode>
                <c:ptCount val="13"/>
                <c:pt idx="1">
                  <c:v>3000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00A-4BB5-8FF6-B3878CE12479}"/>
            </c:ext>
          </c:extLst>
        </c:ser>
        <c:ser>
          <c:idx val="2"/>
          <c:order val="2"/>
          <c:tx>
            <c:strRef>
              <c:f>RESUMEN!$D$16</c:f>
              <c:strCache>
                <c:ptCount val="1"/>
                <c:pt idx="0">
                  <c:v>GASTOS TOTALES</c:v>
                </c:pt>
              </c:strCache>
            </c:strRef>
          </c:tx>
          <c:spPr>
            <a:ln cmpd="sng">
              <a:solidFill>
                <a:srgbClr val="F4CCCC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RESUMEN!$E$9:$Q$9</c:f>
              <c:strCache>
                <c:ptCount val="13"/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SEPTIEMBRE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RESUMEN!$E$16:$Q$16</c:f>
              <c:numCache>
                <c:formatCode>General</c:formatCode>
                <c:ptCount val="13"/>
                <c:pt idx="1">
                  <c:v>3000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00A-4BB5-8FF6-B3878CE12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129513"/>
        <c:axId val="1041705601"/>
      </c:lineChart>
      <c:catAx>
        <c:axId val="681295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UY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1041705601"/>
        <c:crosses val="autoZero"/>
        <c:auto val="1"/>
        <c:lblAlgn val="ctr"/>
        <c:lblOffset val="100"/>
        <c:noMultiLvlLbl val="1"/>
      </c:catAx>
      <c:valAx>
        <c:axId val="10417056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UY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68129513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DC24-4F37-BE9F-D6EF4BCEB81B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DC24-4F37-BE9F-D6EF4BCEB81B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DC24-4F37-BE9F-D6EF4BCEB81B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DC24-4F37-BE9F-D6EF4BCEB81B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DC24-4F37-BE9F-D6EF4BCEB81B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DC24-4F37-BE9F-D6EF4BCEB81B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DC24-4F37-BE9F-D6EF4BCEB81B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DC24-4F37-BE9F-D6EF4BCEB81B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DC24-4F37-BE9F-D6EF4BCEB81B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DC24-4F37-BE9F-D6EF4BCEB81B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5-DC24-4F37-BE9F-D6EF4BCEB81B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DC24-4F37-BE9F-D6EF4BCEB81B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DC24-4F37-BE9F-D6EF4BCEB81B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DC24-4F37-BE9F-D6EF4BCEB81B}"/>
              </c:ext>
            </c:extLst>
          </c:dPt>
          <c:dPt>
            <c:idx val="14"/>
            <c:bubble3D val="0"/>
            <c:spPr>
              <a:solidFill>
                <a:srgbClr val="FDE49B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DC24-4F37-BE9F-D6EF4BCEB81B}"/>
              </c:ext>
            </c:extLst>
          </c:dPt>
          <c:dPt>
            <c:idx val="15"/>
            <c:bubble3D val="0"/>
            <c:spPr>
              <a:solidFill>
                <a:srgbClr val="AEDCBA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DC24-4F37-BE9F-D6EF4BCEB81B}"/>
              </c:ext>
            </c:extLst>
          </c:dPt>
          <c:dPt>
            <c:idx val="16"/>
            <c:bubble3D val="0"/>
            <c:spPr>
              <a:solidFill>
                <a:srgbClr val="FFC599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DC24-4F37-BE9F-D6EF4BCEB81B}"/>
              </c:ext>
            </c:extLst>
          </c:dPt>
          <c:dPt>
            <c:idx val="17"/>
            <c:bubble3D val="0"/>
            <c:spPr>
              <a:solidFill>
                <a:srgbClr val="B5E5E8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DC24-4F37-BE9F-D6EF4BCEB81B}"/>
              </c:ext>
            </c:extLst>
          </c:dPt>
          <c:dPt>
            <c:idx val="18"/>
            <c:bubble3D val="0"/>
            <c:spPr>
              <a:solidFill>
                <a:srgbClr val="ECF3FE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5-DC24-4F37-BE9F-D6EF4BCEB81B}"/>
              </c:ext>
            </c:extLst>
          </c:dPt>
          <c:dPt>
            <c:idx val="19"/>
            <c:bubble3D val="0"/>
            <c:spPr>
              <a:solidFill>
                <a:srgbClr val="FDECEB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7-DC24-4F37-BE9F-D6EF4BCEB81B}"/>
              </c:ext>
            </c:extLst>
          </c:dPt>
          <c:dPt>
            <c:idx val="20"/>
            <c:bubble3D val="0"/>
            <c:spPr>
              <a:solidFill>
                <a:srgbClr val="FFF8E6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9-DC24-4F37-BE9F-D6EF4BCEB81B}"/>
              </c:ext>
            </c:extLst>
          </c:dPt>
          <c:dPt>
            <c:idx val="21"/>
            <c:bubble3D val="0"/>
            <c:spPr>
              <a:solidFill>
                <a:srgbClr val="EBF6EE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B-DC24-4F37-BE9F-D6EF4BCEB81B}"/>
              </c:ext>
            </c:extLst>
          </c:dPt>
          <c:dPt>
            <c:idx val="22"/>
            <c:bubble3D val="0"/>
            <c:spPr>
              <a:solidFill>
                <a:srgbClr val="FFF0E6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D-DC24-4F37-BE9F-D6EF4BCEB81B}"/>
              </c:ext>
            </c:extLst>
          </c:dPt>
          <c:cat>
            <c:strRef>
              <c:f>RESUMEN!$D$57:$D$79</c:f>
              <c:strCache>
                <c:ptCount val="23"/>
                <c:pt idx="0">
                  <c:v>Transporte</c:v>
                </c:pt>
                <c:pt idx="1">
                  <c:v>Alimentación</c:v>
                </c:pt>
                <c:pt idx="2">
                  <c:v>Restaurantes</c:v>
                </c:pt>
                <c:pt idx="3">
                  <c:v>Delivery</c:v>
                </c:pt>
                <c:pt idx="4">
                  <c:v>Bares</c:v>
                </c:pt>
                <c:pt idx="5">
                  <c:v>Ropa</c:v>
                </c:pt>
                <c:pt idx="6">
                  <c:v>Belleza</c:v>
                </c:pt>
                <c:pt idx="7">
                  <c:v>Gasolina</c:v>
                </c:pt>
                <c:pt idx="8">
                  <c:v>Hogar</c:v>
                </c:pt>
                <c:pt idx="9">
                  <c:v>Tarjeta de crédito</c:v>
                </c:pt>
                <c:pt idx="10">
                  <c:v>Ocio</c:v>
                </c:pt>
                <c:pt idx="11">
                  <c:v>Pequeñas compras</c:v>
                </c:pt>
                <c:pt idx="12">
                  <c:v>Tasas/Impuestos</c:v>
                </c:pt>
                <c:pt idx="13">
                  <c:v>Viajes/vacaciones</c:v>
                </c:pt>
                <c:pt idx="14">
                  <c:v>Tecnologia</c:v>
                </c:pt>
                <c:pt idx="15">
                  <c:v>Reparaciones</c:v>
                </c:pt>
                <c:pt idx="16">
                  <c:v>Salud</c:v>
                </c:pt>
                <c:pt idx="17">
                  <c:v>Higiene</c:v>
                </c:pt>
                <c:pt idx="18">
                  <c:v>Cursos/Fromación/Trabajo</c:v>
                </c:pt>
                <c:pt idx="19">
                  <c:v>Mascotas</c:v>
                </c:pt>
                <c:pt idx="20">
                  <c:v>Familia</c:v>
                </c:pt>
                <c:pt idx="21">
                  <c:v>Otros</c:v>
                </c:pt>
                <c:pt idx="22">
                  <c:v>Préstamos	</c:v>
                </c:pt>
              </c:strCache>
            </c:strRef>
          </c:cat>
          <c:val>
            <c:numRef>
              <c:f>RESUMEN!$S$57:$S$79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2500</c:v>
                </c:pt>
                <c:pt idx="3">
                  <c:v>0</c:v>
                </c:pt>
                <c:pt idx="4">
                  <c:v>0</c:v>
                </c:pt>
                <c:pt idx="5">
                  <c:v>500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C24-4F37-BE9F-D6EF4BCEB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sz="1600" b="1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doughnutChart>
        <c:varyColors val="1"/>
        <c:ser>
          <c:idx val="0"/>
          <c:order val="0"/>
          <c:spPr>
            <a:ln>
              <a:solidFill>
                <a:srgbClr val="000000"/>
              </a:solidFill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6E30-47C2-9392-6DF8B010D826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6E30-47C2-9392-6DF8B010D826}"/>
              </c:ext>
            </c:extLst>
          </c:dPt>
          <c:val>
            <c:numRef>
              <c:f>CTAS!$B$3:$B$4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30-47C2-9392-6DF8B010D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ENERO!$L$14</c:f>
              <c:strCache>
                <c:ptCount val="1"/>
                <c:pt idx="0">
                  <c:v>GASTO ESPERADO</c:v>
                </c:pt>
              </c:strCache>
            </c:strRef>
          </c:tx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0971-4FA7-99F0-0CFC2A16B0A3}"/>
              </c:ext>
            </c:extLst>
          </c:dPt>
          <c:val>
            <c:numRef>
              <c:f>ENERO!$L$15:$L$39</c:f>
              <c:numCache>
                <c:formatCode>General</c:formatCode>
                <c:ptCount val="25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971-4FA7-99F0-0CFC2A16B0A3}"/>
            </c:ext>
          </c:extLst>
        </c:ser>
        <c:ser>
          <c:idx val="1"/>
          <c:order val="1"/>
          <c:tx>
            <c:strRef>
              <c:f>ENERO!$M$14</c:f>
              <c:strCache>
                <c:ptCount val="1"/>
                <c:pt idx="0">
                  <c:v>GASTO REAL</c:v>
                </c:pt>
              </c:strCache>
            </c:strRef>
          </c:tx>
          <c:invertIfNegative val="0"/>
          <c:val>
            <c:numRef>
              <c:f>ENERO!$M$15:$M$39</c:f>
              <c:numCache>
                <c:formatCode>General</c:formatCode>
                <c:ptCount val="25"/>
              </c:numCache>
            </c:numRef>
          </c:val>
          <c:extLst>
            <c:ext xmlns:c16="http://schemas.microsoft.com/office/drawing/2014/chart" uri="{C3380CC4-5D6E-409C-BE32-E72D297353CC}">
              <c16:uniqueId val="{00000002-0971-4FA7-99F0-0CFC2A16B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6380411"/>
        <c:axId val="1088174100"/>
      </c:barChart>
      <c:catAx>
        <c:axId val="193638041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UY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1088174100"/>
        <c:crosses val="autoZero"/>
        <c:auto val="1"/>
        <c:lblAlgn val="ctr"/>
        <c:lblOffset val="100"/>
        <c:noMultiLvlLbl val="1"/>
      </c:catAx>
      <c:valAx>
        <c:axId val="1088174100"/>
        <c:scaling>
          <c:logBase val="10"/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UY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1936380411"/>
        <c:crosses val="max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gap"/>
    <c:showDLblsOverMax val="1"/>
  </c:chart>
  <c:spPr>
    <a:ln>
      <a:miter lim="800000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ENERO!$G$8</c:f>
              <c:strCache>
                <c:ptCount val="1"/>
                <c:pt idx="0">
                  <c:v>GASTOS</c:v>
                </c:pt>
              </c:strCache>
            </c:strRef>
          </c:tx>
          <c:dPt>
            <c:idx val="0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1-F1F0-4FE4-B447-9EA8CF1CAACE}"/>
              </c:ext>
            </c:extLst>
          </c:dPt>
          <c:cat>
            <c:strRef>
              <c:f>ENERO!$H$7:$I$7</c:f>
              <c:strCache>
                <c:ptCount val="2"/>
                <c:pt idx="0">
                  <c:v>FIJOS</c:v>
                </c:pt>
                <c:pt idx="1">
                  <c:v>VARIABLES</c:v>
                </c:pt>
              </c:strCache>
            </c:strRef>
          </c:cat>
          <c:val>
            <c:numRef>
              <c:f>ENERO!$H$8:$I$8</c:f>
              <c:numCache>
                <c:formatCode>General</c:formatCode>
                <c:ptCount val="2"/>
                <c:pt idx="0">
                  <c:v>0</c:v>
                </c:pt>
                <c:pt idx="1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F0-4FE4-B447-9EA8CF1CA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5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pieChart>
        <c:varyColors val="1"/>
        <c:ser>
          <c:idx val="0"/>
          <c:order val="0"/>
          <c:cat>
            <c:strRef>
              <c:f>ENERO!$X$13:$X$16</c:f>
              <c:strCache>
                <c:ptCount val="4"/>
                <c:pt idx="0">
                  <c:v>Gastos fijos</c:v>
                </c:pt>
                <c:pt idx="1">
                  <c:v>Gastos variables</c:v>
                </c:pt>
                <c:pt idx="2">
                  <c:v>Ahorros</c:v>
                </c:pt>
                <c:pt idx="3">
                  <c:v>Inversión</c:v>
                </c:pt>
              </c:strCache>
            </c:strRef>
          </c:cat>
          <c:val>
            <c:numRef>
              <c:f>ENERO!$Z$13:$Z$16</c:f>
              <c:numCache>
                <c:formatCode>General</c:formatCode>
                <c:ptCount val="4"/>
                <c:pt idx="0">
                  <c:v>0</c:v>
                </c:pt>
                <c:pt idx="1">
                  <c:v>3000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959-46E5-8144-0F40FB03A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 rt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6.6666639746965572E-2"/>
          <c:y val="0.2112992809106887"/>
          <c:w val="0.389743836162392"/>
          <c:h val="0.60113088720897934"/>
        </c:manualLayout>
      </c:layout>
      <c:doughnutChart>
        <c:varyColors val="1"/>
        <c:ser>
          <c:idx val="1"/>
          <c:order val="0"/>
          <c:cat>
            <c:strRef>
              <c:f>(ENERO!$S$7,ENERO!$U$7)</c:f>
              <c:strCache>
                <c:ptCount val="2"/>
                <c:pt idx="0">
                  <c:v>INGRESOS DISPONIBLES</c:v>
                </c:pt>
                <c:pt idx="1">
                  <c:v>GASTOS</c:v>
                </c:pt>
              </c:strCache>
            </c:strRef>
          </c:cat>
          <c:val>
            <c:numRef>
              <c:f>(ENERO!$S$8,ENERO!$U$8)</c:f>
              <c:numCache>
                <c:formatCode>General</c:formatCode>
                <c:ptCount val="2"/>
                <c:pt idx="0">
                  <c:v>10000</c:v>
                </c:pt>
                <c:pt idx="1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26-4C3D-BA53-2A9977673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52844678843255055"/>
          <c:y val="0.1071205572987587"/>
          <c:w val="0.44267214105708014"/>
          <c:h val="0.78575809602747027"/>
        </c:manualLayout>
      </c:layout>
      <c:overlay val="0"/>
      <c:txPr>
        <a:bodyPr/>
        <a:lstStyle/>
        <a:p>
          <a:pPr lvl="0" rtl="0">
            <a:defRPr b="1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>
        <c:manualLayout>
          <c:xMode val="edge"/>
          <c:yMode val="edge"/>
          <c:x val="3.3222835494300919E-2"/>
          <c:y val="0.22133175392263477"/>
          <c:w val="0.93093885060474435"/>
          <c:h val="0.7465822588162187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66ED-44E3-AB8C-62637D545AAE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66ED-44E3-AB8C-62637D545AAE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66ED-44E3-AB8C-62637D545AAE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66ED-44E3-AB8C-62637D545AAE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66ED-44E3-AB8C-62637D545AAE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66ED-44E3-AB8C-62637D545AAE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66ED-44E3-AB8C-62637D545AAE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66ED-44E3-AB8C-62637D545AAE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66ED-44E3-AB8C-62637D545AAE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66ED-44E3-AB8C-62637D545AAE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66ED-44E3-AB8C-62637D545AAE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66ED-44E3-AB8C-62637D545AAE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</c:spPr>
            <c:extLst>
              <c:ext xmlns:c16="http://schemas.microsoft.com/office/drawing/2014/chart" uri="{C3380CC4-5D6E-409C-BE32-E72D297353CC}">
                <c16:uniqueId val="{00000019-66ED-44E3-AB8C-62637D545AAE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</c:spPr>
            <c:extLst>
              <c:ext xmlns:c16="http://schemas.microsoft.com/office/drawing/2014/chart" uri="{C3380CC4-5D6E-409C-BE32-E72D297353CC}">
                <c16:uniqueId val="{0000001B-66ED-44E3-AB8C-62637D545AAE}"/>
              </c:ext>
            </c:extLst>
          </c:dPt>
          <c:dPt>
            <c:idx val="14"/>
            <c:bubble3D val="0"/>
            <c:spPr>
              <a:solidFill>
                <a:srgbClr val="FDE49B"/>
              </a:solidFill>
            </c:spPr>
            <c:extLst>
              <c:ext xmlns:c16="http://schemas.microsoft.com/office/drawing/2014/chart" uri="{C3380CC4-5D6E-409C-BE32-E72D297353CC}">
                <c16:uniqueId val="{0000001D-66ED-44E3-AB8C-62637D545AAE}"/>
              </c:ext>
            </c:extLst>
          </c:dPt>
          <c:dPt>
            <c:idx val="15"/>
            <c:bubble3D val="0"/>
            <c:spPr>
              <a:solidFill>
                <a:srgbClr val="AEDCBA"/>
              </a:solidFill>
            </c:spPr>
            <c:extLst>
              <c:ext xmlns:c16="http://schemas.microsoft.com/office/drawing/2014/chart" uri="{C3380CC4-5D6E-409C-BE32-E72D297353CC}">
                <c16:uniqueId val="{0000001F-66ED-44E3-AB8C-62637D545AAE}"/>
              </c:ext>
            </c:extLst>
          </c:dPt>
          <c:dPt>
            <c:idx val="16"/>
            <c:bubble3D val="0"/>
            <c:spPr>
              <a:solidFill>
                <a:srgbClr val="FFC599"/>
              </a:solidFill>
            </c:spPr>
            <c:extLst>
              <c:ext xmlns:c16="http://schemas.microsoft.com/office/drawing/2014/chart" uri="{C3380CC4-5D6E-409C-BE32-E72D297353CC}">
                <c16:uniqueId val="{00000021-66ED-44E3-AB8C-62637D545AAE}"/>
              </c:ext>
            </c:extLst>
          </c:dPt>
          <c:dPt>
            <c:idx val="17"/>
            <c:bubble3D val="0"/>
            <c:spPr>
              <a:solidFill>
                <a:srgbClr val="B5E5E8"/>
              </a:solidFill>
            </c:spPr>
            <c:extLst>
              <c:ext xmlns:c16="http://schemas.microsoft.com/office/drawing/2014/chart" uri="{C3380CC4-5D6E-409C-BE32-E72D297353CC}">
                <c16:uniqueId val="{00000023-66ED-44E3-AB8C-62637D545AAE}"/>
              </c:ext>
            </c:extLst>
          </c:dPt>
          <c:dPt>
            <c:idx val="18"/>
            <c:bubble3D val="0"/>
            <c:spPr>
              <a:solidFill>
                <a:srgbClr val="ECF3FE"/>
              </a:solidFill>
            </c:spPr>
            <c:extLst>
              <c:ext xmlns:c16="http://schemas.microsoft.com/office/drawing/2014/chart" uri="{C3380CC4-5D6E-409C-BE32-E72D297353CC}">
                <c16:uniqueId val="{00000025-66ED-44E3-AB8C-62637D545AAE}"/>
              </c:ext>
            </c:extLst>
          </c:dPt>
          <c:dPt>
            <c:idx val="19"/>
            <c:bubble3D val="0"/>
            <c:spPr>
              <a:solidFill>
                <a:srgbClr val="FDECEB"/>
              </a:solidFill>
            </c:spPr>
            <c:extLst>
              <c:ext xmlns:c16="http://schemas.microsoft.com/office/drawing/2014/chart" uri="{C3380CC4-5D6E-409C-BE32-E72D297353CC}">
                <c16:uniqueId val="{00000027-66ED-44E3-AB8C-62637D545AAE}"/>
              </c:ext>
            </c:extLst>
          </c:dPt>
          <c:dPt>
            <c:idx val="20"/>
            <c:bubble3D val="0"/>
            <c:spPr>
              <a:solidFill>
                <a:srgbClr val="FFF8E6"/>
              </a:solidFill>
            </c:spPr>
            <c:extLst>
              <c:ext xmlns:c16="http://schemas.microsoft.com/office/drawing/2014/chart" uri="{C3380CC4-5D6E-409C-BE32-E72D297353CC}">
                <c16:uniqueId val="{00000029-66ED-44E3-AB8C-62637D545AAE}"/>
              </c:ext>
            </c:extLst>
          </c:dPt>
          <c:dPt>
            <c:idx val="21"/>
            <c:bubble3D val="0"/>
            <c:spPr>
              <a:solidFill>
                <a:srgbClr val="EBF6EE"/>
              </a:solidFill>
            </c:spPr>
            <c:extLst>
              <c:ext xmlns:c16="http://schemas.microsoft.com/office/drawing/2014/chart" uri="{C3380CC4-5D6E-409C-BE32-E72D297353CC}">
                <c16:uniqueId val="{0000002B-66ED-44E3-AB8C-62637D545AAE}"/>
              </c:ext>
            </c:extLst>
          </c:dPt>
          <c:dPt>
            <c:idx val="22"/>
            <c:bubble3D val="0"/>
            <c:spPr>
              <a:solidFill>
                <a:srgbClr val="FFF0E6"/>
              </a:solidFill>
            </c:spPr>
            <c:extLst>
              <c:ext xmlns:c16="http://schemas.microsoft.com/office/drawing/2014/chart" uri="{C3380CC4-5D6E-409C-BE32-E72D297353CC}">
                <c16:uniqueId val="{0000002D-66ED-44E3-AB8C-62637D545AAE}"/>
              </c:ext>
            </c:extLst>
          </c:dPt>
          <c:cat>
            <c:strRef>
              <c:f>ENERO!$R$15:$R$37</c:f>
              <c:strCache>
                <c:ptCount val="23"/>
                <c:pt idx="0">
                  <c:v>Transporte</c:v>
                </c:pt>
                <c:pt idx="1">
                  <c:v>Alimentación</c:v>
                </c:pt>
                <c:pt idx="2">
                  <c:v>Restaurantes</c:v>
                </c:pt>
                <c:pt idx="3">
                  <c:v>Delivery</c:v>
                </c:pt>
                <c:pt idx="4">
                  <c:v>Bares</c:v>
                </c:pt>
                <c:pt idx="5">
                  <c:v>Ropa</c:v>
                </c:pt>
                <c:pt idx="6">
                  <c:v>Belleza</c:v>
                </c:pt>
                <c:pt idx="7">
                  <c:v>Gasolina</c:v>
                </c:pt>
                <c:pt idx="8">
                  <c:v>Hogar</c:v>
                </c:pt>
                <c:pt idx="9">
                  <c:v>Tarjeta de crédito</c:v>
                </c:pt>
                <c:pt idx="10">
                  <c:v>Ocio</c:v>
                </c:pt>
                <c:pt idx="11">
                  <c:v>Pequeñas compras</c:v>
                </c:pt>
                <c:pt idx="12">
                  <c:v>Tasas/Impuestos</c:v>
                </c:pt>
                <c:pt idx="13">
                  <c:v>Viajes/vacaciones</c:v>
                </c:pt>
                <c:pt idx="14">
                  <c:v>Tecnología</c:v>
                </c:pt>
                <c:pt idx="15">
                  <c:v>Reparaciones</c:v>
                </c:pt>
                <c:pt idx="16">
                  <c:v>Salud</c:v>
                </c:pt>
                <c:pt idx="17">
                  <c:v>Higiene</c:v>
                </c:pt>
                <c:pt idx="18">
                  <c:v>Cursos/Fromación/Trabajo</c:v>
                </c:pt>
                <c:pt idx="19">
                  <c:v>Mascotas</c:v>
                </c:pt>
                <c:pt idx="20">
                  <c:v>Familia</c:v>
                </c:pt>
                <c:pt idx="21">
                  <c:v>Otros</c:v>
                </c:pt>
                <c:pt idx="22">
                  <c:v>Préstamos</c:v>
                </c:pt>
              </c:strCache>
            </c:strRef>
          </c:cat>
          <c:val>
            <c:numRef>
              <c:f>ENERO!$T$15:$T$37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2500</c:v>
                </c:pt>
                <c:pt idx="3">
                  <c:v>0</c:v>
                </c:pt>
                <c:pt idx="4">
                  <c:v>0</c:v>
                </c:pt>
                <c:pt idx="5">
                  <c:v>500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66ED-44E3-AB8C-62637D545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t"/>
      <c:layout>
        <c:manualLayout>
          <c:xMode val="edge"/>
          <c:yMode val="edge"/>
          <c:x val="2.4067073583015238E-2"/>
          <c:y val="1.2718600953895072E-2"/>
          <c:w val="0.95186560696306399"/>
          <c:h val="0.24644142057759469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ENERO!$S$7</c:f>
              <c:strCache>
                <c:ptCount val="1"/>
                <c:pt idx="0">
                  <c:v>INGRESOS DISPONIBLES</c:v>
                </c:pt>
              </c:strCache>
            </c:strRef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DDE0-4F76-8698-D175A37730EB}"/>
              </c:ext>
            </c:extLst>
          </c:dPt>
          <c:val>
            <c:numRef>
              <c:f>ENERO!$S$8</c:f>
              <c:numCache>
                <c:formatCode>General</c:formatCode>
                <c:ptCount val="1"/>
                <c:pt idx="0">
                  <c:v>10000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DE0-4F76-8698-D175A37730EB}"/>
            </c:ext>
          </c:extLst>
        </c:ser>
        <c:ser>
          <c:idx val="2"/>
          <c:order val="1"/>
          <c:tx>
            <c:strRef>
              <c:f>ENERO!$U$7</c:f>
              <c:strCache>
                <c:ptCount val="1"/>
                <c:pt idx="0">
                  <c:v>GASTOS</c:v>
                </c:pt>
              </c:strCache>
            </c:strRef>
          </c:tx>
          <c:spPr>
            <a:solidFill>
              <a:srgbClr val="4A86E8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DDE0-4F76-8698-D175A37730EB}"/>
              </c:ext>
            </c:extLst>
          </c:dPt>
          <c:val>
            <c:numRef>
              <c:f>ENERO!$U$8</c:f>
              <c:numCache>
                <c:formatCode>General</c:formatCode>
                <c:ptCount val="1"/>
                <c:pt idx="0">
                  <c:v>3000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DDE0-4F76-8698-D175A37730EB}"/>
            </c:ext>
          </c:extLst>
        </c:ser>
        <c:ser>
          <c:idx val="4"/>
          <c:order val="2"/>
          <c:tx>
            <c:strRef>
              <c:f>ENERO!$W$7</c:f>
              <c:strCache>
                <c:ptCount val="1"/>
                <c:pt idx="0">
                  <c:v>RESTO</c:v>
                </c:pt>
              </c:strCache>
            </c:strRef>
          </c:tx>
          <c:invertIfNegative val="1"/>
          <c:val>
            <c:numRef>
              <c:f>ENERO!$W$8</c:f>
              <c:numCache>
                <c:formatCode>General</c:formatCode>
                <c:ptCount val="1"/>
                <c:pt idx="0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DE0-4F76-8698-D175A3773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9423675"/>
        <c:axId val="1846445519"/>
      </c:barChart>
      <c:catAx>
        <c:axId val="21394236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UY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1846445519"/>
        <c:crosses val="autoZero"/>
        <c:auto val="1"/>
        <c:lblAlgn val="ctr"/>
        <c:lblOffset val="100"/>
        <c:noMultiLvlLbl val="1"/>
      </c:catAx>
      <c:valAx>
        <c:axId val="18464455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UY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213942367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3784-474B-82D1-848576E22859}"/>
              </c:ext>
            </c:extLst>
          </c:dPt>
          <c:dPt>
            <c:idx val="1"/>
            <c:bubble3D val="0"/>
            <c:spPr>
              <a:solidFill>
                <a:srgbClr val="000000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3784-474B-82D1-848576E22859}"/>
              </c:ext>
            </c:extLst>
          </c:dPt>
          <c:val>
            <c:numRef>
              <c:f>CTAS!$D$3:$D$4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84-474B-82D1-848576E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FEBRERO!$L$14</c:f>
              <c:strCache>
                <c:ptCount val="1"/>
                <c:pt idx="0">
                  <c:v>GASTO ESPERADO</c:v>
                </c:pt>
              </c:strCache>
            </c:strRef>
          </c:tx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FAA5-40D8-B370-629781094D52}"/>
              </c:ext>
            </c:extLst>
          </c:dPt>
          <c:val>
            <c:numRef>
              <c:f>FEBRERO!$M$14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AA5-40D8-B370-629781094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2837268"/>
        <c:axId val="515552819"/>
      </c:barChart>
      <c:catAx>
        <c:axId val="121283726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515552819"/>
        <c:crosses val="autoZero"/>
        <c:auto val="1"/>
        <c:lblAlgn val="ctr"/>
        <c:lblOffset val="100"/>
        <c:noMultiLvlLbl val="1"/>
      </c:catAx>
      <c:valAx>
        <c:axId val="51555281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1212837268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FEBRERO!$G$8</c:f>
              <c:strCache>
                <c:ptCount val="1"/>
                <c:pt idx="0">
                  <c:v>GASTOS</c:v>
                </c:pt>
              </c:strCache>
            </c:strRef>
          </c:tx>
          <c:dPt>
            <c:idx val="0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1-424C-4CB5-AEC6-4F17F8992CE9}"/>
              </c:ext>
            </c:extLst>
          </c:dPt>
          <c:cat>
            <c:strRef>
              <c:f>FEBRERO!$H$7:$I$7</c:f>
              <c:strCache>
                <c:ptCount val="2"/>
                <c:pt idx="0">
                  <c:v>FIJOS</c:v>
                </c:pt>
                <c:pt idx="1">
                  <c:v>VARIABLES</c:v>
                </c:pt>
              </c:strCache>
            </c:strRef>
          </c:cat>
          <c:val>
            <c:numRef>
              <c:f>FEBRERO!$H$8:$I$8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4C-4CB5-AEC6-4F17F8992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5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FEBRERO!$X$13:$X$16</c:f>
              <c:strCache>
                <c:ptCount val="4"/>
                <c:pt idx="0">
                  <c:v>Gastos fijos</c:v>
                </c:pt>
                <c:pt idx="1">
                  <c:v>Gastos variables</c:v>
                </c:pt>
                <c:pt idx="2">
                  <c:v>Ahorros</c:v>
                </c:pt>
                <c:pt idx="3">
                  <c:v>Inversión</c:v>
                </c:pt>
              </c:strCache>
            </c:strRef>
          </c:tx>
          <c:dPt>
            <c:idx val="0"/>
            <c:bubble3D val="0"/>
            <c:spPr>
              <a:solidFill>
                <a:srgbClr val="F9CB9C"/>
              </a:solidFill>
            </c:spPr>
            <c:extLst>
              <c:ext xmlns:c16="http://schemas.microsoft.com/office/drawing/2014/chart" uri="{C3380CC4-5D6E-409C-BE32-E72D297353CC}">
                <c16:uniqueId val="{00000001-D5B5-4C63-A6CB-D7DD9E2CB3E5}"/>
              </c:ext>
            </c:extLst>
          </c:dPt>
          <c:dPt>
            <c:idx val="1"/>
            <c:bubble3D val="0"/>
            <c:spPr>
              <a:solidFill>
                <a:srgbClr val="D5A6BD"/>
              </a:solidFill>
            </c:spPr>
            <c:extLst>
              <c:ext xmlns:c16="http://schemas.microsoft.com/office/drawing/2014/chart" uri="{C3380CC4-5D6E-409C-BE32-E72D297353CC}">
                <c16:uniqueId val="{00000003-D5B5-4C63-A6CB-D7DD9E2CB3E5}"/>
              </c:ext>
            </c:extLst>
          </c:dPt>
          <c:dPt>
            <c:idx val="2"/>
            <c:bubble3D val="0"/>
            <c:spPr>
              <a:solidFill>
                <a:srgbClr val="C9DAF8"/>
              </a:solidFill>
            </c:spPr>
            <c:extLst>
              <c:ext xmlns:c16="http://schemas.microsoft.com/office/drawing/2014/chart" uri="{C3380CC4-5D6E-409C-BE32-E72D297353CC}">
                <c16:uniqueId val="{00000005-D5B5-4C63-A6CB-D7DD9E2CB3E5}"/>
              </c:ext>
            </c:extLst>
          </c:dPt>
          <c:dPt>
            <c:idx val="3"/>
            <c:bubble3D val="0"/>
            <c:spPr>
              <a:solidFill>
                <a:srgbClr val="6D9EEB"/>
              </a:solidFill>
            </c:spPr>
            <c:extLst>
              <c:ext xmlns:c16="http://schemas.microsoft.com/office/drawing/2014/chart" uri="{C3380CC4-5D6E-409C-BE32-E72D297353CC}">
                <c16:uniqueId val="{00000007-D5B5-4C63-A6CB-D7DD9E2CB3E5}"/>
              </c:ext>
            </c:extLst>
          </c:dPt>
          <c:val>
            <c:numRef>
              <c:f>FEBRERO!$Y$13:$Y$16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D5B5-4C63-A6CB-D7DD9E2CB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D9EAD3"/>
              </a:solidFill>
            </c:spPr>
            <c:extLst>
              <c:ext xmlns:c16="http://schemas.microsoft.com/office/drawing/2014/chart" uri="{C3380CC4-5D6E-409C-BE32-E72D297353CC}">
                <c16:uniqueId val="{00000001-6729-4D4A-8EE1-AA37740C43A5}"/>
              </c:ext>
            </c:extLst>
          </c:dPt>
          <c:cat>
            <c:numRef>
              <c:f>FEBRERO!$S$8:$V$8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cat>
          <c:val>
            <c:numRef>
              <c:f>FEBRERO!$S$8:$V$8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29-4D4A-8EE1-AA37740C4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3.3222835494300919E-2"/>
          <c:y val="0.22133175392263477"/>
          <c:w val="0.93093885060474435"/>
          <c:h val="0.7465822588162187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C0EC-4455-9258-E57E6DAB4CC5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C0EC-4455-9258-E57E6DAB4CC5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C0EC-4455-9258-E57E6DAB4CC5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C0EC-4455-9258-E57E6DAB4CC5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C0EC-4455-9258-E57E6DAB4CC5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C0EC-4455-9258-E57E6DAB4CC5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C0EC-4455-9258-E57E6DAB4CC5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C0EC-4455-9258-E57E6DAB4CC5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C0EC-4455-9258-E57E6DAB4CC5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C0EC-4455-9258-E57E6DAB4CC5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C0EC-4455-9258-E57E6DAB4CC5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C0EC-4455-9258-E57E6DAB4CC5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</c:spPr>
            <c:extLst>
              <c:ext xmlns:c16="http://schemas.microsoft.com/office/drawing/2014/chart" uri="{C3380CC4-5D6E-409C-BE32-E72D297353CC}">
                <c16:uniqueId val="{00000019-C0EC-4455-9258-E57E6DAB4CC5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</c:spPr>
            <c:extLst>
              <c:ext xmlns:c16="http://schemas.microsoft.com/office/drawing/2014/chart" uri="{C3380CC4-5D6E-409C-BE32-E72D297353CC}">
                <c16:uniqueId val="{0000001B-C0EC-4455-9258-E57E6DAB4CC5}"/>
              </c:ext>
            </c:extLst>
          </c:dPt>
          <c:dPt>
            <c:idx val="14"/>
            <c:bubble3D val="0"/>
            <c:spPr>
              <a:solidFill>
                <a:srgbClr val="FDE49B"/>
              </a:solidFill>
            </c:spPr>
            <c:extLst>
              <c:ext xmlns:c16="http://schemas.microsoft.com/office/drawing/2014/chart" uri="{C3380CC4-5D6E-409C-BE32-E72D297353CC}">
                <c16:uniqueId val="{0000001D-C0EC-4455-9258-E57E6DAB4CC5}"/>
              </c:ext>
            </c:extLst>
          </c:dPt>
          <c:dPt>
            <c:idx val="15"/>
            <c:bubble3D val="0"/>
            <c:spPr>
              <a:solidFill>
                <a:srgbClr val="AEDCBA"/>
              </a:solidFill>
            </c:spPr>
            <c:extLst>
              <c:ext xmlns:c16="http://schemas.microsoft.com/office/drawing/2014/chart" uri="{C3380CC4-5D6E-409C-BE32-E72D297353CC}">
                <c16:uniqueId val="{0000001F-C0EC-4455-9258-E57E6DAB4CC5}"/>
              </c:ext>
            </c:extLst>
          </c:dPt>
          <c:dPt>
            <c:idx val="16"/>
            <c:bubble3D val="0"/>
            <c:spPr>
              <a:solidFill>
                <a:srgbClr val="FFC599"/>
              </a:solidFill>
            </c:spPr>
            <c:extLst>
              <c:ext xmlns:c16="http://schemas.microsoft.com/office/drawing/2014/chart" uri="{C3380CC4-5D6E-409C-BE32-E72D297353CC}">
                <c16:uniqueId val="{00000021-C0EC-4455-9258-E57E6DAB4CC5}"/>
              </c:ext>
            </c:extLst>
          </c:dPt>
          <c:dPt>
            <c:idx val="17"/>
            <c:bubble3D val="0"/>
            <c:spPr>
              <a:solidFill>
                <a:srgbClr val="B5E5E8"/>
              </a:solidFill>
            </c:spPr>
            <c:extLst>
              <c:ext xmlns:c16="http://schemas.microsoft.com/office/drawing/2014/chart" uri="{C3380CC4-5D6E-409C-BE32-E72D297353CC}">
                <c16:uniqueId val="{00000023-C0EC-4455-9258-E57E6DAB4CC5}"/>
              </c:ext>
            </c:extLst>
          </c:dPt>
          <c:dPt>
            <c:idx val="18"/>
            <c:bubble3D val="0"/>
            <c:spPr>
              <a:solidFill>
                <a:srgbClr val="ECF3FE"/>
              </a:solidFill>
            </c:spPr>
            <c:extLst>
              <c:ext xmlns:c16="http://schemas.microsoft.com/office/drawing/2014/chart" uri="{C3380CC4-5D6E-409C-BE32-E72D297353CC}">
                <c16:uniqueId val="{00000025-C0EC-4455-9258-E57E6DAB4CC5}"/>
              </c:ext>
            </c:extLst>
          </c:dPt>
          <c:dPt>
            <c:idx val="19"/>
            <c:bubble3D val="0"/>
            <c:spPr>
              <a:solidFill>
                <a:srgbClr val="FDECEB"/>
              </a:solidFill>
            </c:spPr>
            <c:extLst>
              <c:ext xmlns:c16="http://schemas.microsoft.com/office/drawing/2014/chart" uri="{C3380CC4-5D6E-409C-BE32-E72D297353CC}">
                <c16:uniqueId val="{00000027-C0EC-4455-9258-E57E6DAB4CC5}"/>
              </c:ext>
            </c:extLst>
          </c:dPt>
          <c:dPt>
            <c:idx val="20"/>
            <c:bubble3D val="0"/>
            <c:spPr>
              <a:solidFill>
                <a:srgbClr val="FFF8E6"/>
              </a:solidFill>
            </c:spPr>
            <c:extLst>
              <c:ext xmlns:c16="http://schemas.microsoft.com/office/drawing/2014/chart" uri="{C3380CC4-5D6E-409C-BE32-E72D297353CC}">
                <c16:uniqueId val="{00000029-C0EC-4455-9258-E57E6DAB4CC5}"/>
              </c:ext>
            </c:extLst>
          </c:dPt>
          <c:dPt>
            <c:idx val="21"/>
            <c:bubble3D val="0"/>
            <c:spPr>
              <a:solidFill>
                <a:srgbClr val="EBF6EE"/>
              </a:solidFill>
            </c:spPr>
            <c:extLst>
              <c:ext xmlns:c16="http://schemas.microsoft.com/office/drawing/2014/chart" uri="{C3380CC4-5D6E-409C-BE32-E72D297353CC}">
                <c16:uniqueId val="{0000002B-C0EC-4455-9258-E57E6DAB4CC5}"/>
              </c:ext>
            </c:extLst>
          </c:dPt>
          <c:dPt>
            <c:idx val="22"/>
            <c:bubble3D val="0"/>
            <c:spPr>
              <a:solidFill>
                <a:srgbClr val="FFF0E6"/>
              </a:solidFill>
            </c:spPr>
            <c:extLst>
              <c:ext xmlns:c16="http://schemas.microsoft.com/office/drawing/2014/chart" uri="{C3380CC4-5D6E-409C-BE32-E72D297353CC}">
                <c16:uniqueId val="{0000002D-C0EC-4455-9258-E57E6DAB4CC5}"/>
              </c:ext>
            </c:extLst>
          </c:dPt>
          <c:cat>
            <c:strRef>
              <c:f>FEBRERO!$R$15:$R$37</c:f>
              <c:strCache>
                <c:ptCount val="23"/>
                <c:pt idx="0">
                  <c:v>Transporte</c:v>
                </c:pt>
                <c:pt idx="1">
                  <c:v>Alimentación</c:v>
                </c:pt>
                <c:pt idx="2">
                  <c:v>Restaurantes</c:v>
                </c:pt>
                <c:pt idx="3">
                  <c:v>Delivery</c:v>
                </c:pt>
                <c:pt idx="4">
                  <c:v>Bares</c:v>
                </c:pt>
                <c:pt idx="5">
                  <c:v>Ropa</c:v>
                </c:pt>
                <c:pt idx="6">
                  <c:v>Belleza</c:v>
                </c:pt>
                <c:pt idx="7">
                  <c:v>Gasolina</c:v>
                </c:pt>
                <c:pt idx="8">
                  <c:v>Hogar</c:v>
                </c:pt>
                <c:pt idx="9">
                  <c:v>Tarjeta de crédito</c:v>
                </c:pt>
                <c:pt idx="10">
                  <c:v>Ocio</c:v>
                </c:pt>
                <c:pt idx="11">
                  <c:v>Pequeñas compras</c:v>
                </c:pt>
                <c:pt idx="12">
                  <c:v>Tasas/Impuestos</c:v>
                </c:pt>
                <c:pt idx="13">
                  <c:v>Viajes/vacaciones</c:v>
                </c:pt>
                <c:pt idx="14">
                  <c:v>Tecnología</c:v>
                </c:pt>
                <c:pt idx="15">
                  <c:v>Reparaciones</c:v>
                </c:pt>
                <c:pt idx="16">
                  <c:v>Salud</c:v>
                </c:pt>
                <c:pt idx="17">
                  <c:v>Higiene</c:v>
                </c:pt>
                <c:pt idx="18">
                  <c:v>Cursos/Fromación/Trabajo</c:v>
                </c:pt>
                <c:pt idx="19">
                  <c:v>Mascotas</c:v>
                </c:pt>
                <c:pt idx="20">
                  <c:v>Familia</c:v>
                </c:pt>
                <c:pt idx="21">
                  <c:v>Otros</c:v>
                </c:pt>
                <c:pt idx="22">
                  <c:v>Préstamos</c:v>
                </c:pt>
              </c:strCache>
            </c:strRef>
          </c:cat>
          <c:val>
            <c:numRef>
              <c:f>FEBRERO!$T$15:$T$37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C0EC-4455-9258-E57E6DAB4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FEBRERO!$S$7</c:f>
              <c:strCache>
                <c:ptCount val="1"/>
                <c:pt idx="0">
                  <c:v>INGRESOS DISPONIBLES</c:v>
                </c:pt>
              </c:strCache>
            </c:strRef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1B5C-4646-BAEB-42CC222415DF}"/>
              </c:ext>
            </c:extLst>
          </c:dPt>
          <c:val>
            <c:numRef>
              <c:f>FEBRERO!$S$8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B5C-4646-BAEB-42CC222415DF}"/>
            </c:ext>
          </c:extLst>
        </c:ser>
        <c:ser>
          <c:idx val="1"/>
          <c:order val="1"/>
          <c:tx>
            <c:strRef>
              <c:f>FEBRERO!$T$7</c:f>
              <c:strCache>
                <c:ptCount val="1"/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1B5C-4646-BAEB-42CC222415DF}"/>
              </c:ext>
            </c:extLst>
          </c:dPt>
          <c:val>
            <c:numRef>
              <c:f>FEBRERO!$T$8</c:f>
              <c:numCache>
                <c:formatCode>General</c:formatCode>
                <c:ptCount val="1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1B5C-4646-BAEB-42CC222415DF}"/>
            </c:ext>
          </c:extLst>
        </c:ser>
        <c:ser>
          <c:idx val="2"/>
          <c:order val="2"/>
          <c:tx>
            <c:strRef>
              <c:f>FEBRERO!$U$7</c:f>
              <c:strCache>
                <c:ptCount val="1"/>
                <c:pt idx="0">
                  <c:v>GASTOS</c:v>
                </c:pt>
              </c:strCache>
            </c:strRef>
          </c:tx>
          <c:spPr>
            <a:solidFill>
              <a:srgbClr val="4A86E8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1B5C-4646-BAEB-42CC222415DF}"/>
              </c:ext>
            </c:extLst>
          </c:dPt>
          <c:val>
            <c:numRef>
              <c:f>FEBRERO!$U$8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1B5C-4646-BAEB-42CC222415DF}"/>
            </c:ext>
          </c:extLst>
        </c:ser>
        <c:ser>
          <c:idx val="3"/>
          <c:order val="3"/>
          <c:tx>
            <c:strRef>
              <c:f>FEBRERO!$V$7</c:f>
              <c:strCache>
                <c:ptCount val="1"/>
              </c:strCache>
            </c:strRef>
          </c:tx>
          <c:invertIfNegative val="1"/>
          <c:val>
            <c:numRef>
              <c:f>FEBRERO!$V$8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6-1B5C-4646-BAEB-42CC222415DF}"/>
            </c:ext>
          </c:extLst>
        </c:ser>
        <c:ser>
          <c:idx val="4"/>
          <c:order val="4"/>
          <c:tx>
            <c:strRef>
              <c:f>FEBRERO!$W$7</c:f>
              <c:strCache>
                <c:ptCount val="1"/>
                <c:pt idx="0">
                  <c:v>RESTO</c:v>
                </c:pt>
              </c:strCache>
            </c:strRef>
          </c:tx>
          <c:invertIfNegative val="1"/>
          <c:val>
            <c:numRef>
              <c:f>FEBRERO!$W$8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B5C-4646-BAEB-42CC222415DF}"/>
            </c:ext>
          </c:extLst>
        </c:ser>
        <c:ser>
          <c:idx val="5"/>
          <c:order val="5"/>
          <c:tx>
            <c:strRef>
              <c:f>FEBRERO!$X$7</c:f>
              <c:strCache>
                <c:ptCount val="1"/>
              </c:strCache>
            </c:strRef>
          </c:tx>
          <c:invertIfNegative val="1"/>
          <c:val>
            <c:numRef>
              <c:f>FEBRERO!$X$8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8-1B5C-4646-BAEB-42CC22241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2801079"/>
        <c:axId val="1633666732"/>
      </c:barChart>
      <c:catAx>
        <c:axId val="1462801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1633666732"/>
        <c:crosses val="autoZero"/>
        <c:auto val="1"/>
        <c:lblAlgn val="ctr"/>
        <c:lblOffset val="100"/>
        <c:noMultiLvlLbl val="1"/>
      </c:catAx>
      <c:valAx>
        <c:axId val="16336667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146280107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DE5F-432A-82C4-E023FCF77E8C}"/>
              </c:ext>
            </c:extLst>
          </c:dPt>
          <c:dPt>
            <c:idx val="1"/>
            <c:bubble3D val="0"/>
            <c:spPr>
              <a:solidFill>
                <a:srgbClr val="000000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DE5F-432A-82C4-E023FCF77E8C}"/>
              </c:ext>
            </c:extLst>
          </c:dPt>
          <c:val>
            <c:numRef>
              <c:f>CTAS!$F$3:$F$4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5F-432A-82C4-E023FCF77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MARZO!$L$14</c:f>
              <c:strCache>
                <c:ptCount val="1"/>
                <c:pt idx="0">
                  <c:v>GASTO ESPERADO</c:v>
                </c:pt>
              </c:strCache>
            </c:strRef>
          </c:tx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22BE-446F-A5D3-D0EE0E29A284}"/>
              </c:ext>
            </c:extLst>
          </c:dPt>
          <c:val>
            <c:numRef>
              <c:f>MARZO!$M$14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2BE-446F-A5D3-D0EE0E29A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6127789"/>
        <c:axId val="691525946"/>
      </c:barChart>
      <c:catAx>
        <c:axId val="110612778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691525946"/>
        <c:crosses val="autoZero"/>
        <c:auto val="1"/>
        <c:lblAlgn val="ctr"/>
        <c:lblOffset val="100"/>
        <c:noMultiLvlLbl val="1"/>
      </c:catAx>
      <c:valAx>
        <c:axId val="6915259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1106127789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MARZO!$G$8</c:f>
              <c:strCache>
                <c:ptCount val="1"/>
                <c:pt idx="0">
                  <c:v>GASTOS</c:v>
                </c:pt>
              </c:strCache>
            </c:strRef>
          </c:tx>
          <c:dPt>
            <c:idx val="0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1-E9F1-4027-872E-F7D572F39B23}"/>
              </c:ext>
            </c:extLst>
          </c:dPt>
          <c:cat>
            <c:strRef>
              <c:f>MARZO!$H$7:$I$7</c:f>
              <c:strCache>
                <c:ptCount val="2"/>
                <c:pt idx="0">
                  <c:v>FIJOS</c:v>
                </c:pt>
                <c:pt idx="1">
                  <c:v>VARIABLES</c:v>
                </c:pt>
              </c:strCache>
            </c:strRef>
          </c:cat>
          <c:val>
            <c:numRef>
              <c:f>MARZO!$H$8:$I$8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F1-4027-872E-F7D572F39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5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MARZO!$X$13:$X$16</c:f>
              <c:strCache>
                <c:ptCount val="4"/>
                <c:pt idx="0">
                  <c:v>Gastos fijos</c:v>
                </c:pt>
                <c:pt idx="1">
                  <c:v>Gastos variables</c:v>
                </c:pt>
                <c:pt idx="2">
                  <c:v>Ahorros</c:v>
                </c:pt>
                <c:pt idx="3">
                  <c:v>Inversión</c:v>
                </c:pt>
              </c:strCache>
            </c:strRef>
          </c:tx>
          <c:dPt>
            <c:idx val="0"/>
            <c:bubble3D val="0"/>
            <c:spPr>
              <a:solidFill>
                <a:srgbClr val="F9CB9C"/>
              </a:solidFill>
            </c:spPr>
            <c:extLst>
              <c:ext xmlns:c16="http://schemas.microsoft.com/office/drawing/2014/chart" uri="{C3380CC4-5D6E-409C-BE32-E72D297353CC}">
                <c16:uniqueId val="{00000001-A7F2-47DD-8E67-2BCA36182312}"/>
              </c:ext>
            </c:extLst>
          </c:dPt>
          <c:dPt>
            <c:idx val="1"/>
            <c:bubble3D val="0"/>
            <c:spPr>
              <a:solidFill>
                <a:srgbClr val="D5A6BD"/>
              </a:solidFill>
            </c:spPr>
            <c:extLst>
              <c:ext xmlns:c16="http://schemas.microsoft.com/office/drawing/2014/chart" uri="{C3380CC4-5D6E-409C-BE32-E72D297353CC}">
                <c16:uniqueId val="{00000003-A7F2-47DD-8E67-2BCA36182312}"/>
              </c:ext>
            </c:extLst>
          </c:dPt>
          <c:dPt>
            <c:idx val="2"/>
            <c:bubble3D val="0"/>
            <c:spPr>
              <a:solidFill>
                <a:srgbClr val="C9DAF8"/>
              </a:solidFill>
            </c:spPr>
            <c:extLst>
              <c:ext xmlns:c16="http://schemas.microsoft.com/office/drawing/2014/chart" uri="{C3380CC4-5D6E-409C-BE32-E72D297353CC}">
                <c16:uniqueId val="{00000005-A7F2-47DD-8E67-2BCA36182312}"/>
              </c:ext>
            </c:extLst>
          </c:dPt>
          <c:dPt>
            <c:idx val="3"/>
            <c:bubble3D val="0"/>
            <c:spPr>
              <a:solidFill>
                <a:srgbClr val="6D9EEB"/>
              </a:solidFill>
            </c:spPr>
            <c:extLst>
              <c:ext xmlns:c16="http://schemas.microsoft.com/office/drawing/2014/chart" uri="{C3380CC4-5D6E-409C-BE32-E72D297353CC}">
                <c16:uniqueId val="{00000007-A7F2-47DD-8E67-2BCA36182312}"/>
              </c:ext>
            </c:extLst>
          </c:dPt>
          <c:val>
            <c:numRef>
              <c:f>MARZO!$Y$13:$Y$16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A7F2-47DD-8E67-2BCA36182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D9EAD3"/>
              </a:solidFill>
            </c:spPr>
            <c:extLst>
              <c:ext xmlns:c16="http://schemas.microsoft.com/office/drawing/2014/chart" uri="{C3380CC4-5D6E-409C-BE32-E72D297353CC}">
                <c16:uniqueId val="{00000001-997C-467E-BBBE-EEAE9FCEB3A2}"/>
              </c:ext>
            </c:extLst>
          </c:dPt>
          <c:cat>
            <c:numRef>
              <c:f>MARZO!$S$8:$V$8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cat>
          <c:val>
            <c:numRef>
              <c:f>MARZO!$S$8:$V$8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7C-467E-BBBE-EEAE9FCEB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3.3222835494300919E-2"/>
          <c:y val="0.22133175392263477"/>
          <c:w val="0.93093885060474435"/>
          <c:h val="0.7465822588162187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B8C8-403F-8680-178CF1C44E68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B8C8-403F-8680-178CF1C44E68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B8C8-403F-8680-178CF1C44E68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B8C8-403F-8680-178CF1C44E68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B8C8-403F-8680-178CF1C44E68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B8C8-403F-8680-178CF1C44E68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B8C8-403F-8680-178CF1C44E68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B8C8-403F-8680-178CF1C44E68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B8C8-403F-8680-178CF1C44E68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B8C8-403F-8680-178CF1C44E68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B8C8-403F-8680-178CF1C44E68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B8C8-403F-8680-178CF1C44E68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</c:spPr>
            <c:extLst>
              <c:ext xmlns:c16="http://schemas.microsoft.com/office/drawing/2014/chart" uri="{C3380CC4-5D6E-409C-BE32-E72D297353CC}">
                <c16:uniqueId val="{00000019-B8C8-403F-8680-178CF1C44E68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</c:spPr>
            <c:extLst>
              <c:ext xmlns:c16="http://schemas.microsoft.com/office/drawing/2014/chart" uri="{C3380CC4-5D6E-409C-BE32-E72D297353CC}">
                <c16:uniqueId val="{0000001B-B8C8-403F-8680-178CF1C44E68}"/>
              </c:ext>
            </c:extLst>
          </c:dPt>
          <c:dPt>
            <c:idx val="14"/>
            <c:bubble3D val="0"/>
            <c:spPr>
              <a:solidFill>
                <a:srgbClr val="FDE49B"/>
              </a:solidFill>
            </c:spPr>
            <c:extLst>
              <c:ext xmlns:c16="http://schemas.microsoft.com/office/drawing/2014/chart" uri="{C3380CC4-5D6E-409C-BE32-E72D297353CC}">
                <c16:uniqueId val="{0000001D-B8C8-403F-8680-178CF1C44E68}"/>
              </c:ext>
            </c:extLst>
          </c:dPt>
          <c:dPt>
            <c:idx val="15"/>
            <c:bubble3D val="0"/>
            <c:spPr>
              <a:solidFill>
                <a:srgbClr val="AEDCBA"/>
              </a:solidFill>
            </c:spPr>
            <c:extLst>
              <c:ext xmlns:c16="http://schemas.microsoft.com/office/drawing/2014/chart" uri="{C3380CC4-5D6E-409C-BE32-E72D297353CC}">
                <c16:uniqueId val="{0000001F-B8C8-403F-8680-178CF1C44E68}"/>
              </c:ext>
            </c:extLst>
          </c:dPt>
          <c:dPt>
            <c:idx val="16"/>
            <c:bubble3D val="0"/>
            <c:spPr>
              <a:solidFill>
                <a:srgbClr val="FFC599"/>
              </a:solidFill>
            </c:spPr>
            <c:extLst>
              <c:ext xmlns:c16="http://schemas.microsoft.com/office/drawing/2014/chart" uri="{C3380CC4-5D6E-409C-BE32-E72D297353CC}">
                <c16:uniqueId val="{00000021-B8C8-403F-8680-178CF1C44E68}"/>
              </c:ext>
            </c:extLst>
          </c:dPt>
          <c:dPt>
            <c:idx val="17"/>
            <c:bubble3D val="0"/>
            <c:spPr>
              <a:solidFill>
                <a:srgbClr val="B5E5E8"/>
              </a:solidFill>
            </c:spPr>
            <c:extLst>
              <c:ext xmlns:c16="http://schemas.microsoft.com/office/drawing/2014/chart" uri="{C3380CC4-5D6E-409C-BE32-E72D297353CC}">
                <c16:uniqueId val="{00000023-B8C8-403F-8680-178CF1C44E68}"/>
              </c:ext>
            </c:extLst>
          </c:dPt>
          <c:dPt>
            <c:idx val="18"/>
            <c:bubble3D val="0"/>
            <c:spPr>
              <a:solidFill>
                <a:srgbClr val="ECF3FE"/>
              </a:solidFill>
            </c:spPr>
            <c:extLst>
              <c:ext xmlns:c16="http://schemas.microsoft.com/office/drawing/2014/chart" uri="{C3380CC4-5D6E-409C-BE32-E72D297353CC}">
                <c16:uniqueId val="{00000025-B8C8-403F-8680-178CF1C44E68}"/>
              </c:ext>
            </c:extLst>
          </c:dPt>
          <c:dPt>
            <c:idx val="19"/>
            <c:bubble3D val="0"/>
            <c:spPr>
              <a:solidFill>
                <a:srgbClr val="FDECEB"/>
              </a:solidFill>
            </c:spPr>
            <c:extLst>
              <c:ext xmlns:c16="http://schemas.microsoft.com/office/drawing/2014/chart" uri="{C3380CC4-5D6E-409C-BE32-E72D297353CC}">
                <c16:uniqueId val="{00000027-B8C8-403F-8680-178CF1C44E68}"/>
              </c:ext>
            </c:extLst>
          </c:dPt>
          <c:dPt>
            <c:idx val="20"/>
            <c:bubble3D val="0"/>
            <c:spPr>
              <a:solidFill>
                <a:srgbClr val="FFF8E6"/>
              </a:solidFill>
            </c:spPr>
            <c:extLst>
              <c:ext xmlns:c16="http://schemas.microsoft.com/office/drawing/2014/chart" uri="{C3380CC4-5D6E-409C-BE32-E72D297353CC}">
                <c16:uniqueId val="{00000029-B8C8-403F-8680-178CF1C44E68}"/>
              </c:ext>
            </c:extLst>
          </c:dPt>
          <c:dPt>
            <c:idx val="21"/>
            <c:bubble3D val="0"/>
            <c:spPr>
              <a:solidFill>
                <a:srgbClr val="EBF6EE"/>
              </a:solidFill>
            </c:spPr>
            <c:extLst>
              <c:ext xmlns:c16="http://schemas.microsoft.com/office/drawing/2014/chart" uri="{C3380CC4-5D6E-409C-BE32-E72D297353CC}">
                <c16:uniqueId val="{0000002B-B8C8-403F-8680-178CF1C44E68}"/>
              </c:ext>
            </c:extLst>
          </c:dPt>
          <c:dPt>
            <c:idx val="22"/>
            <c:bubble3D val="0"/>
            <c:spPr>
              <a:solidFill>
                <a:srgbClr val="FFF0E6"/>
              </a:solidFill>
            </c:spPr>
            <c:extLst>
              <c:ext xmlns:c16="http://schemas.microsoft.com/office/drawing/2014/chart" uri="{C3380CC4-5D6E-409C-BE32-E72D297353CC}">
                <c16:uniqueId val="{0000002D-B8C8-403F-8680-178CF1C44E68}"/>
              </c:ext>
            </c:extLst>
          </c:dPt>
          <c:cat>
            <c:strRef>
              <c:f>MARZO!$R$15:$R$37</c:f>
              <c:strCache>
                <c:ptCount val="23"/>
                <c:pt idx="0">
                  <c:v>Transporte</c:v>
                </c:pt>
                <c:pt idx="1">
                  <c:v>Alimentación</c:v>
                </c:pt>
                <c:pt idx="2">
                  <c:v>Restaurantes</c:v>
                </c:pt>
                <c:pt idx="3">
                  <c:v>Delivery</c:v>
                </c:pt>
                <c:pt idx="4">
                  <c:v>Bares</c:v>
                </c:pt>
                <c:pt idx="5">
                  <c:v>Ropa</c:v>
                </c:pt>
                <c:pt idx="6">
                  <c:v>Belleza</c:v>
                </c:pt>
                <c:pt idx="7">
                  <c:v>Gasolina</c:v>
                </c:pt>
                <c:pt idx="8">
                  <c:v>Hogar</c:v>
                </c:pt>
                <c:pt idx="9">
                  <c:v>Tarjeta de crédito</c:v>
                </c:pt>
                <c:pt idx="10">
                  <c:v>Ocio</c:v>
                </c:pt>
                <c:pt idx="11">
                  <c:v>Pequeñas compras</c:v>
                </c:pt>
                <c:pt idx="12">
                  <c:v>Tasas/Impuestos</c:v>
                </c:pt>
                <c:pt idx="13">
                  <c:v>Viajes/vacaciones</c:v>
                </c:pt>
                <c:pt idx="14">
                  <c:v>Tecnología</c:v>
                </c:pt>
                <c:pt idx="15">
                  <c:v>Reparaciones</c:v>
                </c:pt>
                <c:pt idx="16">
                  <c:v>Salud</c:v>
                </c:pt>
                <c:pt idx="17">
                  <c:v>Higiene</c:v>
                </c:pt>
                <c:pt idx="18">
                  <c:v>Cursos/Fromación/Trabajo</c:v>
                </c:pt>
                <c:pt idx="19">
                  <c:v>Mascotas</c:v>
                </c:pt>
                <c:pt idx="20">
                  <c:v>Familia</c:v>
                </c:pt>
                <c:pt idx="21">
                  <c:v>Otros</c:v>
                </c:pt>
                <c:pt idx="22">
                  <c:v>Préstamos</c:v>
                </c:pt>
              </c:strCache>
            </c:strRef>
          </c:cat>
          <c:val>
            <c:numRef>
              <c:f>MARZO!$T$15:$T$37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B8C8-403F-8680-178CF1C44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MARZO!$S$7</c:f>
              <c:strCache>
                <c:ptCount val="1"/>
                <c:pt idx="0">
                  <c:v>INGRESOS DISPONIBLES</c:v>
                </c:pt>
              </c:strCache>
            </c:strRef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AB1E-46A4-BDF7-6500B11313C5}"/>
              </c:ext>
            </c:extLst>
          </c:dPt>
          <c:val>
            <c:numRef>
              <c:f>MARZO!$S$8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B1E-46A4-BDF7-6500B11313C5}"/>
            </c:ext>
          </c:extLst>
        </c:ser>
        <c:ser>
          <c:idx val="1"/>
          <c:order val="1"/>
          <c:tx>
            <c:strRef>
              <c:f>MARZO!$T$7</c:f>
              <c:strCache>
                <c:ptCount val="1"/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AB1E-46A4-BDF7-6500B11313C5}"/>
              </c:ext>
            </c:extLst>
          </c:dPt>
          <c:val>
            <c:numRef>
              <c:f>MARZO!$T$8</c:f>
              <c:numCache>
                <c:formatCode>General</c:formatCode>
                <c:ptCount val="1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AB1E-46A4-BDF7-6500B11313C5}"/>
            </c:ext>
          </c:extLst>
        </c:ser>
        <c:ser>
          <c:idx val="2"/>
          <c:order val="2"/>
          <c:tx>
            <c:strRef>
              <c:f>MARZO!$U$7</c:f>
              <c:strCache>
                <c:ptCount val="1"/>
                <c:pt idx="0">
                  <c:v>GASTOS</c:v>
                </c:pt>
              </c:strCache>
            </c:strRef>
          </c:tx>
          <c:spPr>
            <a:solidFill>
              <a:srgbClr val="4A86E8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AB1E-46A4-BDF7-6500B11313C5}"/>
              </c:ext>
            </c:extLst>
          </c:dPt>
          <c:val>
            <c:numRef>
              <c:f>MARZO!$U$8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AB1E-46A4-BDF7-6500B11313C5}"/>
            </c:ext>
          </c:extLst>
        </c:ser>
        <c:ser>
          <c:idx val="3"/>
          <c:order val="3"/>
          <c:tx>
            <c:strRef>
              <c:f>MARZO!$V$7</c:f>
              <c:strCache>
                <c:ptCount val="1"/>
              </c:strCache>
            </c:strRef>
          </c:tx>
          <c:invertIfNegative val="1"/>
          <c:val>
            <c:numRef>
              <c:f>MARZO!$V$8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6-AB1E-46A4-BDF7-6500B11313C5}"/>
            </c:ext>
          </c:extLst>
        </c:ser>
        <c:ser>
          <c:idx val="4"/>
          <c:order val="4"/>
          <c:tx>
            <c:strRef>
              <c:f>MARZO!$W$7</c:f>
              <c:strCache>
                <c:ptCount val="1"/>
                <c:pt idx="0">
                  <c:v>RESTO</c:v>
                </c:pt>
              </c:strCache>
            </c:strRef>
          </c:tx>
          <c:invertIfNegative val="1"/>
          <c:val>
            <c:numRef>
              <c:f>MARZO!$W$8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B1E-46A4-BDF7-6500B11313C5}"/>
            </c:ext>
          </c:extLst>
        </c:ser>
        <c:ser>
          <c:idx val="5"/>
          <c:order val="5"/>
          <c:tx>
            <c:strRef>
              <c:f>MARZO!$X$7</c:f>
              <c:strCache>
                <c:ptCount val="1"/>
              </c:strCache>
            </c:strRef>
          </c:tx>
          <c:invertIfNegative val="1"/>
          <c:val>
            <c:numRef>
              <c:f>MARZO!$X$8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8-AB1E-46A4-BDF7-6500B1131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8579833"/>
        <c:axId val="1812975350"/>
      </c:barChart>
      <c:catAx>
        <c:axId val="5585798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1812975350"/>
        <c:crosses val="autoZero"/>
        <c:auto val="1"/>
        <c:lblAlgn val="ctr"/>
        <c:lblOffset val="100"/>
        <c:noMultiLvlLbl val="1"/>
      </c:catAx>
      <c:valAx>
        <c:axId val="18129753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55857983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F66D-4458-8426-45BB4A484F36}"/>
              </c:ext>
            </c:extLst>
          </c:dPt>
          <c:dPt>
            <c:idx val="1"/>
            <c:bubble3D val="0"/>
            <c:spPr>
              <a:solidFill>
                <a:srgbClr val="000000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F66D-4458-8426-45BB4A484F36}"/>
              </c:ext>
            </c:extLst>
          </c:dPt>
          <c:val>
            <c:numRef>
              <c:f>CTAS!$H$3:$H$4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6D-4458-8426-45BB4A484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ABRIL!$L$14</c:f>
              <c:strCache>
                <c:ptCount val="1"/>
                <c:pt idx="0">
                  <c:v>GASTO ESPERADO</c:v>
                </c:pt>
              </c:strCache>
            </c:strRef>
          </c:tx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77BC-42DB-8EE4-124EBF70955F}"/>
              </c:ext>
            </c:extLst>
          </c:dPt>
          <c:val>
            <c:numRef>
              <c:f>ABRIL!$M$14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7BC-42DB-8EE4-124EBF709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8461093"/>
        <c:axId val="1553281163"/>
      </c:barChart>
      <c:catAx>
        <c:axId val="157846109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1553281163"/>
        <c:crosses val="autoZero"/>
        <c:auto val="1"/>
        <c:lblAlgn val="ctr"/>
        <c:lblOffset val="100"/>
        <c:noMultiLvlLbl val="1"/>
      </c:catAx>
      <c:valAx>
        <c:axId val="155328116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1578461093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ABRIL!$G$8</c:f>
              <c:strCache>
                <c:ptCount val="1"/>
                <c:pt idx="0">
                  <c:v>GASTOS</c:v>
                </c:pt>
              </c:strCache>
            </c:strRef>
          </c:tx>
          <c:dPt>
            <c:idx val="0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1-B932-42E5-9616-C2D016D14C14}"/>
              </c:ext>
            </c:extLst>
          </c:dPt>
          <c:cat>
            <c:strRef>
              <c:f>ABRIL!$H$7:$I$7</c:f>
              <c:strCache>
                <c:ptCount val="2"/>
                <c:pt idx="0">
                  <c:v>FIJOS</c:v>
                </c:pt>
                <c:pt idx="1">
                  <c:v>VARIABLES</c:v>
                </c:pt>
              </c:strCache>
            </c:strRef>
          </c:cat>
          <c:val>
            <c:numRef>
              <c:f>ABRIL!$H$8:$I$8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32-42E5-9616-C2D016D14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5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ABRIL!$X$13:$X$16</c:f>
              <c:strCache>
                <c:ptCount val="4"/>
                <c:pt idx="0">
                  <c:v>Gastos fijos</c:v>
                </c:pt>
                <c:pt idx="1">
                  <c:v>Gastos variables</c:v>
                </c:pt>
                <c:pt idx="2">
                  <c:v>Ahorros</c:v>
                </c:pt>
                <c:pt idx="3">
                  <c:v>Inversión</c:v>
                </c:pt>
              </c:strCache>
            </c:strRef>
          </c:tx>
          <c:dPt>
            <c:idx val="0"/>
            <c:bubble3D val="0"/>
            <c:spPr>
              <a:solidFill>
                <a:srgbClr val="F9CB9C"/>
              </a:solidFill>
            </c:spPr>
            <c:extLst>
              <c:ext xmlns:c16="http://schemas.microsoft.com/office/drawing/2014/chart" uri="{C3380CC4-5D6E-409C-BE32-E72D297353CC}">
                <c16:uniqueId val="{00000001-ABF4-4ACB-9AE4-49C7EAA1D303}"/>
              </c:ext>
            </c:extLst>
          </c:dPt>
          <c:dPt>
            <c:idx val="1"/>
            <c:bubble3D val="0"/>
            <c:spPr>
              <a:solidFill>
                <a:srgbClr val="D5A6BD"/>
              </a:solidFill>
            </c:spPr>
            <c:extLst>
              <c:ext xmlns:c16="http://schemas.microsoft.com/office/drawing/2014/chart" uri="{C3380CC4-5D6E-409C-BE32-E72D297353CC}">
                <c16:uniqueId val="{00000003-ABF4-4ACB-9AE4-49C7EAA1D303}"/>
              </c:ext>
            </c:extLst>
          </c:dPt>
          <c:dPt>
            <c:idx val="2"/>
            <c:bubble3D val="0"/>
            <c:spPr>
              <a:solidFill>
                <a:srgbClr val="C9DAF8"/>
              </a:solidFill>
            </c:spPr>
            <c:extLst>
              <c:ext xmlns:c16="http://schemas.microsoft.com/office/drawing/2014/chart" uri="{C3380CC4-5D6E-409C-BE32-E72D297353CC}">
                <c16:uniqueId val="{00000005-ABF4-4ACB-9AE4-49C7EAA1D303}"/>
              </c:ext>
            </c:extLst>
          </c:dPt>
          <c:dPt>
            <c:idx val="3"/>
            <c:bubble3D val="0"/>
            <c:spPr>
              <a:solidFill>
                <a:srgbClr val="6D9EEB"/>
              </a:solidFill>
            </c:spPr>
            <c:extLst>
              <c:ext xmlns:c16="http://schemas.microsoft.com/office/drawing/2014/chart" uri="{C3380CC4-5D6E-409C-BE32-E72D297353CC}">
                <c16:uniqueId val="{00000007-ABF4-4ACB-9AE4-49C7EAA1D303}"/>
              </c:ext>
            </c:extLst>
          </c:dPt>
          <c:val>
            <c:numRef>
              <c:f>ABRIL!$Y$13:$Y$16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ABF4-4ACB-9AE4-49C7EAA1D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D9EAD3"/>
              </a:solidFill>
            </c:spPr>
            <c:extLst>
              <c:ext xmlns:c16="http://schemas.microsoft.com/office/drawing/2014/chart" uri="{C3380CC4-5D6E-409C-BE32-E72D297353CC}">
                <c16:uniqueId val="{00000001-876E-4E8E-9030-ECB4EDFEC2CF}"/>
              </c:ext>
            </c:extLst>
          </c:dPt>
          <c:cat>
            <c:numRef>
              <c:f>ABRIL!$S$8:$V$8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cat>
          <c:val>
            <c:numRef>
              <c:f>ABRIL!$S$8:$V$8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6E-4E8E-9030-ECB4EDFEC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3.3222835494300919E-2"/>
          <c:y val="0.22133175392263477"/>
          <c:w val="0.93093885060474435"/>
          <c:h val="0.7465822588162187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711E-4639-97B5-9817B23AA57C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711E-4639-97B5-9817B23AA57C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711E-4639-97B5-9817B23AA57C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711E-4639-97B5-9817B23AA57C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711E-4639-97B5-9817B23AA57C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711E-4639-97B5-9817B23AA57C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711E-4639-97B5-9817B23AA57C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711E-4639-97B5-9817B23AA57C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711E-4639-97B5-9817B23AA57C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711E-4639-97B5-9817B23AA57C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711E-4639-97B5-9817B23AA57C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711E-4639-97B5-9817B23AA57C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</c:spPr>
            <c:extLst>
              <c:ext xmlns:c16="http://schemas.microsoft.com/office/drawing/2014/chart" uri="{C3380CC4-5D6E-409C-BE32-E72D297353CC}">
                <c16:uniqueId val="{00000019-711E-4639-97B5-9817B23AA57C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</c:spPr>
            <c:extLst>
              <c:ext xmlns:c16="http://schemas.microsoft.com/office/drawing/2014/chart" uri="{C3380CC4-5D6E-409C-BE32-E72D297353CC}">
                <c16:uniqueId val="{0000001B-711E-4639-97B5-9817B23AA57C}"/>
              </c:ext>
            </c:extLst>
          </c:dPt>
          <c:dPt>
            <c:idx val="14"/>
            <c:bubble3D val="0"/>
            <c:spPr>
              <a:solidFill>
                <a:srgbClr val="FDE49B"/>
              </a:solidFill>
            </c:spPr>
            <c:extLst>
              <c:ext xmlns:c16="http://schemas.microsoft.com/office/drawing/2014/chart" uri="{C3380CC4-5D6E-409C-BE32-E72D297353CC}">
                <c16:uniqueId val="{0000001D-711E-4639-97B5-9817B23AA57C}"/>
              </c:ext>
            </c:extLst>
          </c:dPt>
          <c:dPt>
            <c:idx val="15"/>
            <c:bubble3D val="0"/>
            <c:spPr>
              <a:solidFill>
                <a:srgbClr val="AEDCBA"/>
              </a:solidFill>
            </c:spPr>
            <c:extLst>
              <c:ext xmlns:c16="http://schemas.microsoft.com/office/drawing/2014/chart" uri="{C3380CC4-5D6E-409C-BE32-E72D297353CC}">
                <c16:uniqueId val="{0000001F-711E-4639-97B5-9817B23AA57C}"/>
              </c:ext>
            </c:extLst>
          </c:dPt>
          <c:dPt>
            <c:idx val="16"/>
            <c:bubble3D val="0"/>
            <c:spPr>
              <a:solidFill>
                <a:srgbClr val="FFC599"/>
              </a:solidFill>
            </c:spPr>
            <c:extLst>
              <c:ext xmlns:c16="http://schemas.microsoft.com/office/drawing/2014/chart" uri="{C3380CC4-5D6E-409C-BE32-E72D297353CC}">
                <c16:uniqueId val="{00000021-711E-4639-97B5-9817B23AA57C}"/>
              </c:ext>
            </c:extLst>
          </c:dPt>
          <c:dPt>
            <c:idx val="17"/>
            <c:bubble3D val="0"/>
            <c:spPr>
              <a:solidFill>
                <a:srgbClr val="B5E5E8"/>
              </a:solidFill>
            </c:spPr>
            <c:extLst>
              <c:ext xmlns:c16="http://schemas.microsoft.com/office/drawing/2014/chart" uri="{C3380CC4-5D6E-409C-BE32-E72D297353CC}">
                <c16:uniqueId val="{00000023-711E-4639-97B5-9817B23AA57C}"/>
              </c:ext>
            </c:extLst>
          </c:dPt>
          <c:dPt>
            <c:idx val="18"/>
            <c:bubble3D val="0"/>
            <c:spPr>
              <a:solidFill>
                <a:srgbClr val="ECF3FE"/>
              </a:solidFill>
            </c:spPr>
            <c:extLst>
              <c:ext xmlns:c16="http://schemas.microsoft.com/office/drawing/2014/chart" uri="{C3380CC4-5D6E-409C-BE32-E72D297353CC}">
                <c16:uniqueId val="{00000025-711E-4639-97B5-9817B23AA57C}"/>
              </c:ext>
            </c:extLst>
          </c:dPt>
          <c:dPt>
            <c:idx val="19"/>
            <c:bubble3D val="0"/>
            <c:spPr>
              <a:solidFill>
                <a:srgbClr val="FDECEB"/>
              </a:solidFill>
            </c:spPr>
            <c:extLst>
              <c:ext xmlns:c16="http://schemas.microsoft.com/office/drawing/2014/chart" uri="{C3380CC4-5D6E-409C-BE32-E72D297353CC}">
                <c16:uniqueId val="{00000027-711E-4639-97B5-9817B23AA57C}"/>
              </c:ext>
            </c:extLst>
          </c:dPt>
          <c:dPt>
            <c:idx val="20"/>
            <c:bubble3D val="0"/>
            <c:spPr>
              <a:solidFill>
                <a:srgbClr val="FFF8E6"/>
              </a:solidFill>
            </c:spPr>
            <c:extLst>
              <c:ext xmlns:c16="http://schemas.microsoft.com/office/drawing/2014/chart" uri="{C3380CC4-5D6E-409C-BE32-E72D297353CC}">
                <c16:uniqueId val="{00000029-711E-4639-97B5-9817B23AA57C}"/>
              </c:ext>
            </c:extLst>
          </c:dPt>
          <c:dPt>
            <c:idx val="21"/>
            <c:bubble3D val="0"/>
            <c:spPr>
              <a:solidFill>
                <a:srgbClr val="EBF6EE"/>
              </a:solidFill>
            </c:spPr>
            <c:extLst>
              <c:ext xmlns:c16="http://schemas.microsoft.com/office/drawing/2014/chart" uri="{C3380CC4-5D6E-409C-BE32-E72D297353CC}">
                <c16:uniqueId val="{0000002B-711E-4639-97B5-9817B23AA57C}"/>
              </c:ext>
            </c:extLst>
          </c:dPt>
          <c:dPt>
            <c:idx val="22"/>
            <c:bubble3D val="0"/>
            <c:spPr>
              <a:solidFill>
                <a:srgbClr val="FFF0E6"/>
              </a:solidFill>
            </c:spPr>
            <c:extLst>
              <c:ext xmlns:c16="http://schemas.microsoft.com/office/drawing/2014/chart" uri="{C3380CC4-5D6E-409C-BE32-E72D297353CC}">
                <c16:uniqueId val="{0000002D-711E-4639-97B5-9817B23AA57C}"/>
              </c:ext>
            </c:extLst>
          </c:dPt>
          <c:cat>
            <c:strRef>
              <c:f>ABRIL!$R$15:$R$37</c:f>
              <c:strCache>
                <c:ptCount val="23"/>
                <c:pt idx="0">
                  <c:v>Transporte</c:v>
                </c:pt>
                <c:pt idx="1">
                  <c:v>Alimentación</c:v>
                </c:pt>
                <c:pt idx="2">
                  <c:v>Restaurantes</c:v>
                </c:pt>
                <c:pt idx="3">
                  <c:v>Delivery</c:v>
                </c:pt>
                <c:pt idx="4">
                  <c:v>Bares</c:v>
                </c:pt>
                <c:pt idx="5">
                  <c:v>Ropa</c:v>
                </c:pt>
                <c:pt idx="6">
                  <c:v>Belleza</c:v>
                </c:pt>
                <c:pt idx="7">
                  <c:v>Gasolina</c:v>
                </c:pt>
                <c:pt idx="8">
                  <c:v>Hogar</c:v>
                </c:pt>
                <c:pt idx="9">
                  <c:v>Tarjeta de crédito</c:v>
                </c:pt>
                <c:pt idx="10">
                  <c:v>Ocio</c:v>
                </c:pt>
                <c:pt idx="11">
                  <c:v>Pequeñas compras</c:v>
                </c:pt>
                <c:pt idx="12">
                  <c:v>Tasas/Impuestos</c:v>
                </c:pt>
                <c:pt idx="13">
                  <c:v>Viajes/vacaciones</c:v>
                </c:pt>
                <c:pt idx="14">
                  <c:v>Tecnología</c:v>
                </c:pt>
                <c:pt idx="15">
                  <c:v>Reparaciones</c:v>
                </c:pt>
                <c:pt idx="16">
                  <c:v>Salud</c:v>
                </c:pt>
                <c:pt idx="17">
                  <c:v>Higiene</c:v>
                </c:pt>
                <c:pt idx="18">
                  <c:v>Cursos/Fromación/Trabajo</c:v>
                </c:pt>
                <c:pt idx="19">
                  <c:v>Mascotas</c:v>
                </c:pt>
                <c:pt idx="20">
                  <c:v>Familia</c:v>
                </c:pt>
                <c:pt idx="21">
                  <c:v>Otros</c:v>
                </c:pt>
                <c:pt idx="22">
                  <c:v>Préstamos</c:v>
                </c:pt>
              </c:strCache>
            </c:strRef>
          </c:cat>
          <c:val>
            <c:numRef>
              <c:f>ABRIL!$T$15:$T$37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711E-4639-97B5-9817B23AA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ABRIL!$S$7</c:f>
              <c:strCache>
                <c:ptCount val="1"/>
                <c:pt idx="0">
                  <c:v>INGRESOS DISPONIBLES</c:v>
                </c:pt>
              </c:strCache>
            </c:strRef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3A2C-40EC-84FF-5EDC9581D2A2}"/>
              </c:ext>
            </c:extLst>
          </c:dPt>
          <c:val>
            <c:numRef>
              <c:f>ABRIL!$S$8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A2C-40EC-84FF-5EDC9581D2A2}"/>
            </c:ext>
          </c:extLst>
        </c:ser>
        <c:ser>
          <c:idx val="1"/>
          <c:order val="1"/>
          <c:tx>
            <c:strRef>
              <c:f>ABRIL!$T$7</c:f>
              <c:strCache>
                <c:ptCount val="1"/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3A2C-40EC-84FF-5EDC9581D2A2}"/>
              </c:ext>
            </c:extLst>
          </c:dPt>
          <c:val>
            <c:numRef>
              <c:f>ABRIL!$T$8</c:f>
              <c:numCache>
                <c:formatCode>General</c:formatCode>
                <c:ptCount val="1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3A2C-40EC-84FF-5EDC9581D2A2}"/>
            </c:ext>
          </c:extLst>
        </c:ser>
        <c:ser>
          <c:idx val="2"/>
          <c:order val="2"/>
          <c:tx>
            <c:strRef>
              <c:f>ABRIL!$U$7</c:f>
              <c:strCache>
                <c:ptCount val="1"/>
                <c:pt idx="0">
                  <c:v>GASTOS</c:v>
                </c:pt>
              </c:strCache>
            </c:strRef>
          </c:tx>
          <c:spPr>
            <a:solidFill>
              <a:srgbClr val="4A86E8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3A2C-40EC-84FF-5EDC9581D2A2}"/>
              </c:ext>
            </c:extLst>
          </c:dPt>
          <c:val>
            <c:numRef>
              <c:f>ABRIL!$U$8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3A2C-40EC-84FF-5EDC9581D2A2}"/>
            </c:ext>
          </c:extLst>
        </c:ser>
        <c:ser>
          <c:idx val="3"/>
          <c:order val="3"/>
          <c:tx>
            <c:strRef>
              <c:f>ABRIL!$V$7</c:f>
              <c:strCache>
                <c:ptCount val="1"/>
              </c:strCache>
            </c:strRef>
          </c:tx>
          <c:invertIfNegative val="1"/>
          <c:val>
            <c:numRef>
              <c:f>ABRIL!$V$8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6-3A2C-40EC-84FF-5EDC9581D2A2}"/>
            </c:ext>
          </c:extLst>
        </c:ser>
        <c:ser>
          <c:idx val="4"/>
          <c:order val="4"/>
          <c:tx>
            <c:strRef>
              <c:f>ABRIL!$W$7</c:f>
              <c:strCache>
                <c:ptCount val="1"/>
                <c:pt idx="0">
                  <c:v>RESTO</c:v>
                </c:pt>
              </c:strCache>
            </c:strRef>
          </c:tx>
          <c:invertIfNegative val="1"/>
          <c:val>
            <c:numRef>
              <c:f>ABRIL!$W$8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A2C-40EC-84FF-5EDC9581D2A2}"/>
            </c:ext>
          </c:extLst>
        </c:ser>
        <c:ser>
          <c:idx val="5"/>
          <c:order val="5"/>
          <c:tx>
            <c:strRef>
              <c:f>ABRIL!$X$7</c:f>
              <c:strCache>
                <c:ptCount val="1"/>
              </c:strCache>
            </c:strRef>
          </c:tx>
          <c:invertIfNegative val="1"/>
          <c:val>
            <c:numRef>
              <c:f>ABRIL!$X$8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8-3A2C-40EC-84FF-5EDC9581D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5958948"/>
        <c:axId val="907067194"/>
      </c:barChart>
      <c:catAx>
        <c:axId val="13059589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907067194"/>
        <c:crosses val="autoZero"/>
        <c:auto val="1"/>
        <c:lblAlgn val="ctr"/>
        <c:lblOffset val="100"/>
        <c:noMultiLvlLbl val="1"/>
      </c:catAx>
      <c:valAx>
        <c:axId val="9070671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130595894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71E8-4010-99CF-EA0B19821DB1}"/>
              </c:ext>
            </c:extLst>
          </c:dPt>
          <c:dPt>
            <c:idx val="1"/>
            <c:bubble3D val="0"/>
            <c:spPr>
              <a:solidFill>
                <a:srgbClr val="000000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71E8-4010-99CF-EA0B19821DB1}"/>
              </c:ext>
            </c:extLst>
          </c:dPt>
          <c:val>
            <c:numRef>
              <c:f>CTAS!$J$3:$J$4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E8-4010-99CF-EA0B19821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MAYO!$L$14</c:f>
              <c:strCache>
                <c:ptCount val="1"/>
                <c:pt idx="0">
                  <c:v>GASTO ESPERADO</c:v>
                </c:pt>
              </c:strCache>
            </c:strRef>
          </c:tx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FCE6-4442-9904-BA36C4CF662E}"/>
              </c:ext>
            </c:extLst>
          </c:dPt>
          <c:val>
            <c:numRef>
              <c:f>MAYO!$M$14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CE6-4442-9904-BA36C4CF6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7255729"/>
        <c:axId val="1245932206"/>
      </c:barChart>
      <c:catAx>
        <c:axId val="85725572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1245932206"/>
        <c:crosses val="autoZero"/>
        <c:auto val="1"/>
        <c:lblAlgn val="ctr"/>
        <c:lblOffset val="100"/>
        <c:noMultiLvlLbl val="1"/>
      </c:catAx>
      <c:valAx>
        <c:axId val="12459322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857255729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MAYO!$G$8</c:f>
              <c:strCache>
                <c:ptCount val="1"/>
                <c:pt idx="0">
                  <c:v>GASTOS</c:v>
                </c:pt>
              </c:strCache>
            </c:strRef>
          </c:tx>
          <c:dPt>
            <c:idx val="0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1-4D7A-4922-8620-D7C554858845}"/>
              </c:ext>
            </c:extLst>
          </c:dPt>
          <c:cat>
            <c:strRef>
              <c:f>MAYO!$H$7:$I$7</c:f>
              <c:strCache>
                <c:ptCount val="2"/>
                <c:pt idx="0">
                  <c:v>FIJOS</c:v>
                </c:pt>
                <c:pt idx="1">
                  <c:v>VARIABLES</c:v>
                </c:pt>
              </c:strCache>
            </c:strRef>
          </c:cat>
          <c:val>
            <c:numRef>
              <c:f>MAYO!$H$8:$I$8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7A-4922-8620-D7C554858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5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MAYO!$X$13:$X$16</c:f>
              <c:strCache>
                <c:ptCount val="4"/>
                <c:pt idx="0">
                  <c:v>Gastos fijos</c:v>
                </c:pt>
                <c:pt idx="1">
                  <c:v>Gastos variables</c:v>
                </c:pt>
                <c:pt idx="2">
                  <c:v>Ahorros</c:v>
                </c:pt>
                <c:pt idx="3">
                  <c:v>Inversión</c:v>
                </c:pt>
              </c:strCache>
            </c:strRef>
          </c:tx>
          <c:dPt>
            <c:idx val="0"/>
            <c:bubble3D val="0"/>
            <c:spPr>
              <a:solidFill>
                <a:srgbClr val="F9CB9C"/>
              </a:solidFill>
            </c:spPr>
            <c:extLst>
              <c:ext xmlns:c16="http://schemas.microsoft.com/office/drawing/2014/chart" uri="{C3380CC4-5D6E-409C-BE32-E72D297353CC}">
                <c16:uniqueId val="{00000001-50DF-452A-AE3A-D005F053D2CD}"/>
              </c:ext>
            </c:extLst>
          </c:dPt>
          <c:dPt>
            <c:idx val="1"/>
            <c:bubble3D val="0"/>
            <c:spPr>
              <a:solidFill>
                <a:srgbClr val="D5A6BD"/>
              </a:solidFill>
            </c:spPr>
            <c:extLst>
              <c:ext xmlns:c16="http://schemas.microsoft.com/office/drawing/2014/chart" uri="{C3380CC4-5D6E-409C-BE32-E72D297353CC}">
                <c16:uniqueId val="{00000003-50DF-452A-AE3A-D005F053D2CD}"/>
              </c:ext>
            </c:extLst>
          </c:dPt>
          <c:dPt>
            <c:idx val="2"/>
            <c:bubble3D val="0"/>
            <c:spPr>
              <a:solidFill>
                <a:srgbClr val="C9DAF8"/>
              </a:solidFill>
            </c:spPr>
            <c:extLst>
              <c:ext xmlns:c16="http://schemas.microsoft.com/office/drawing/2014/chart" uri="{C3380CC4-5D6E-409C-BE32-E72D297353CC}">
                <c16:uniqueId val="{00000005-50DF-452A-AE3A-D005F053D2CD}"/>
              </c:ext>
            </c:extLst>
          </c:dPt>
          <c:dPt>
            <c:idx val="3"/>
            <c:bubble3D val="0"/>
            <c:spPr>
              <a:solidFill>
                <a:srgbClr val="6D9EEB"/>
              </a:solidFill>
            </c:spPr>
            <c:extLst>
              <c:ext xmlns:c16="http://schemas.microsoft.com/office/drawing/2014/chart" uri="{C3380CC4-5D6E-409C-BE32-E72D297353CC}">
                <c16:uniqueId val="{00000007-50DF-452A-AE3A-D005F053D2CD}"/>
              </c:ext>
            </c:extLst>
          </c:dPt>
          <c:val>
            <c:numRef>
              <c:f>MAYO!$Y$13:$Y$16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50DF-452A-AE3A-D005F053D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D9EAD3"/>
              </a:solidFill>
            </c:spPr>
            <c:extLst>
              <c:ext xmlns:c16="http://schemas.microsoft.com/office/drawing/2014/chart" uri="{C3380CC4-5D6E-409C-BE32-E72D297353CC}">
                <c16:uniqueId val="{00000001-1EFB-4C36-A241-177EF1D943CF}"/>
              </c:ext>
            </c:extLst>
          </c:dPt>
          <c:cat>
            <c:numRef>
              <c:f>MAYO!$S$8:$V$8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cat>
          <c:val>
            <c:numRef>
              <c:f>MAYO!$S$8:$V$8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FB-4C36-A241-177EF1D94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3.3222835494300919E-2"/>
          <c:y val="0.22133175392263477"/>
          <c:w val="0.93093885060474435"/>
          <c:h val="0.7465822588162187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37E9-4B1D-8E54-D5A4BAFA68E3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37E9-4B1D-8E54-D5A4BAFA68E3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37E9-4B1D-8E54-D5A4BAFA68E3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37E9-4B1D-8E54-D5A4BAFA68E3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37E9-4B1D-8E54-D5A4BAFA68E3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37E9-4B1D-8E54-D5A4BAFA68E3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37E9-4B1D-8E54-D5A4BAFA68E3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37E9-4B1D-8E54-D5A4BAFA68E3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37E9-4B1D-8E54-D5A4BAFA68E3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37E9-4B1D-8E54-D5A4BAFA68E3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37E9-4B1D-8E54-D5A4BAFA68E3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37E9-4B1D-8E54-D5A4BAFA68E3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</c:spPr>
            <c:extLst>
              <c:ext xmlns:c16="http://schemas.microsoft.com/office/drawing/2014/chart" uri="{C3380CC4-5D6E-409C-BE32-E72D297353CC}">
                <c16:uniqueId val="{00000019-37E9-4B1D-8E54-D5A4BAFA68E3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</c:spPr>
            <c:extLst>
              <c:ext xmlns:c16="http://schemas.microsoft.com/office/drawing/2014/chart" uri="{C3380CC4-5D6E-409C-BE32-E72D297353CC}">
                <c16:uniqueId val="{0000001B-37E9-4B1D-8E54-D5A4BAFA68E3}"/>
              </c:ext>
            </c:extLst>
          </c:dPt>
          <c:dPt>
            <c:idx val="14"/>
            <c:bubble3D val="0"/>
            <c:spPr>
              <a:solidFill>
                <a:srgbClr val="FDE49B"/>
              </a:solidFill>
            </c:spPr>
            <c:extLst>
              <c:ext xmlns:c16="http://schemas.microsoft.com/office/drawing/2014/chart" uri="{C3380CC4-5D6E-409C-BE32-E72D297353CC}">
                <c16:uniqueId val="{0000001D-37E9-4B1D-8E54-D5A4BAFA68E3}"/>
              </c:ext>
            </c:extLst>
          </c:dPt>
          <c:dPt>
            <c:idx val="15"/>
            <c:bubble3D val="0"/>
            <c:spPr>
              <a:solidFill>
                <a:srgbClr val="AEDCBA"/>
              </a:solidFill>
            </c:spPr>
            <c:extLst>
              <c:ext xmlns:c16="http://schemas.microsoft.com/office/drawing/2014/chart" uri="{C3380CC4-5D6E-409C-BE32-E72D297353CC}">
                <c16:uniqueId val="{0000001F-37E9-4B1D-8E54-D5A4BAFA68E3}"/>
              </c:ext>
            </c:extLst>
          </c:dPt>
          <c:dPt>
            <c:idx val="16"/>
            <c:bubble3D val="0"/>
            <c:spPr>
              <a:solidFill>
                <a:srgbClr val="FFC599"/>
              </a:solidFill>
            </c:spPr>
            <c:extLst>
              <c:ext xmlns:c16="http://schemas.microsoft.com/office/drawing/2014/chart" uri="{C3380CC4-5D6E-409C-BE32-E72D297353CC}">
                <c16:uniqueId val="{00000021-37E9-4B1D-8E54-D5A4BAFA68E3}"/>
              </c:ext>
            </c:extLst>
          </c:dPt>
          <c:dPt>
            <c:idx val="17"/>
            <c:bubble3D val="0"/>
            <c:spPr>
              <a:solidFill>
                <a:srgbClr val="B5E5E8"/>
              </a:solidFill>
            </c:spPr>
            <c:extLst>
              <c:ext xmlns:c16="http://schemas.microsoft.com/office/drawing/2014/chart" uri="{C3380CC4-5D6E-409C-BE32-E72D297353CC}">
                <c16:uniqueId val="{00000023-37E9-4B1D-8E54-D5A4BAFA68E3}"/>
              </c:ext>
            </c:extLst>
          </c:dPt>
          <c:dPt>
            <c:idx val="18"/>
            <c:bubble3D val="0"/>
            <c:spPr>
              <a:solidFill>
                <a:srgbClr val="ECF3FE"/>
              </a:solidFill>
            </c:spPr>
            <c:extLst>
              <c:ext xmlns:c16="http://schemas.microsoft.com/office/drawing/2014/chart" uri="{C3380CC4-5D6E-409C-BE32-E72D297353CC}">
                <c16:uniqueId val="{00000025-37E9-4B1D-8E54-D5A4BAFA68E3}"/>
              </c:ext>
            </c:extLst>
          </c:dPt>
          <c:dPt>
            <c:idx val="19"/>
            <c:bubble3D val="0"/>
            <c:spPr>
              <a:solidFill>
                <a:srgbClr val="FDECEB"/>
              </a:solidFill>
            </c:spPr>
            <c:extLst>
              <c:ext xmlns:c16="http://schemas.microsoft.com/office/drawing/2014/chart" uri="{C3380CC4-5D6E-409C-BE32-E72D297353CC}">
                <c16:uniqueId val="{00000027-37E9-4B1D-8E54-D5A4BAFA68E3}"/>
              </c:ext>
            </c:extLst>
          </c:dPt>
          <c:dPt>
            <c:idx val="20"/>
            <c:bubble3D val="0"/>
            <c:spPr>
              <a:solidFill>
                <a:srgbClr val="FFF8E6"/>
              </a:solidFill>
            </c:spPr>
            <c:extLst>
              <c:ext xmlns:c16="http://schemas.microsoft.com/office/drawing/2014/chart" uri="{C3380CC4-5D6E-409C-BE32-E72D297353CC}">
                <c16:uniqueId val="{00000029-37E9-4B1D-8E54-D5A4BAFA68E3}"/>
              </c:ext>
            </c:extLst>
          </c:dPt>
          <c:dPt>
            <c:idx val="21"/>
            <c:bubble3D val="0"/>
            <c:spPr>
              <a:solidFill>
                <a:srgbClr val="EBF6EE"/>
              </a:solidFill>
            </c:spPr>
            <c:extLst>
              <c:ext xmlns:c16="http://schemas.microsoft.com/office/drawing/2014/chart" uri="{C3380CC4-5D6E-409C-BE32-E72D297353CC}">
                <c16:uniqueId val="{0000002B-37E9-4B1D-8E54-D5A4BAFA68E3}"/>
              </c:ext>
            </c:extLst>
          </c:dPt>
          <c:dPt>
            <c:idx val="22"/>
            <c:bubble3D val="0"/>
            <c:spPr>
              <a:solidFill>
                <a:srgbClr val="FFF0E6"/>
              </a:solidFill>
            </c:spPr>
            <c:extLst>
              <c:ext xmlns:c16="http://schemas.microsoft.com/office/drawing/2014/chart" uri="{C3380CC4-5D6E-409C-BE32-E72D297353CC}">
                <c16:uniqueId val="{0000002D-37E9-4B1D-8E54-D5A4BAFA68E3}"/>
              </c:ext>
            </c:extLst>
          </c:dPt>
          <c:cat>
            <c:strRef>
              <c:f>MAYO!$R$15:$R$37</c:f>
              <c:strCache>
                <c:ptCount val="23"/>
                <c:pt idx="0">
                  <c:v>Transporte</c:v>
                </c:pt>
                <c:pt idx="1">
                  <c:v>Alimentación</c:v>
                </c:pt>
                <c:pt idx="2">
                  <c:v>Restaurantes</c:v>
                </c:pt>
                <c:pt idx="3">
                  <c:v>Delivery</c:v>
                </c:pt>
                <c:pt idx="4">
                  <c:v>Bares</c:v>
                </c:pt>
                <c:pt idx="5">
                  <c:v>Ropa</c:v>
                </c:pt>
                <c:pt idx="6">
                  <c:v>Belleza</c:v>
                </c:pt>
                <c:pt idx="7">
                  <c:v>Gasolina</c:v>
                </c:pt>
                <c:pt idx="8">
                  <c:v>Hogar</c:v>
                </c:pt>
                <c:pt idx="9">
                  <c:v>Tarjeta de crédito</c:v>
                </c:pt>
                <c:pt idx="10">
                  <c:v>Ocio</c:v>
                </c:pt>
                <c:pt idx="11">
                  <c:v>Pequeñas compras</c:v>
                </c:pt>
                <c:pt idx="12">
                  <c:v>Tasas/Impuestos</c:v>
                </c:pt>
                <c:pt idx="13">
                  <c:v>Viajes/vacaciones</c:v>
                </c:pt>
                <c:pt idx="14">
                  <c:v>Tecnología</c:v>
                </c:pt>
                <c:pt idx="15">
                  <c:v>Reparaciones</c:v>
                </c:pt>
                <c:pt idx="16">
                  <c:v>Salud</c:v>
                </c:pt>
                <c:pt idx="17">
                  <c:v>Higiene</c:v>
                </c:pt>
                <c:pt idx="18">
                  <c:v>Cursos/Fromación/Trabajo</c:v>
                </c:pt>
                <c:pt idx="19">
                  <c:v>Mascotas</c:v>
                </c:pt>
                <c:pt idx="20">
                  <c:v>Familia</c:v>
                </c:pt>
                <c:pt idx="21">
                  <c:v>Otros</c:v>
                </c:pt>
                <c:pt idx="22">
                  <c:v>Préstamos</c:v>
                </c:pt>
              </c:strCache>
            </c:strRef>
          </c:cat>
          <c:val>
            <c:numRef>
              <c:f>MAYO!$T$15:$T$37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37E9-4B1D-8E54-D5A4BAFA6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MAYO!$S$7</c:f>
              <c:strCache>
                <c:ptCount val="1"/>
                <c:pt idx="0">
                  <c:v>INGRESOS DISPONIBLES</c:v>
                </c:pt>
              </c:strCache>
            </c:strRef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26D3-44F4-9A6E-268DC25EDD82}"/>
              </c:ext>
            </c:extLst>
          </c:dPt>
          <c:val>
            <c:numRef>
              <c:f>MAYO!$S$8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6D3-44F4-9A6E-268DC25EDD82}"/>
            </c:ext>
          </c:extLst>
        </c:ser>
        <c:ser>
          <c:idx val="1"/>
          <c:order val="1"/>
          <c:tx>
            <c:strRef>
              <c:f>MAYO!$T$7</c:f>
              <c:strCache>
                <c:ptCount val="1"/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26D3-44F4-9A6E-268DC25EDD82}"/>
              </c:ext>
            </c:extLst>
          </c:dPt>
          <c:val>
            <c:numRef>
              <c:f>MAYO!$T$8</c:f>
              <c:numCache>
                <c:formatCode>General</c:formatCode>
                <c:ptCount val="1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6D3-44F4-9A6E-268DC25EDD82}"/>
            </c:ext>
          </c:extLst>
        </c:ser>
        <c:ser>
          <c:idx val="2"/>
          <c:order val="2"/>
          <c:tx>
            <c:strRef>
              <c:f>MAYO!$U$7</c:f>
              <c:strCache>
                <c:ptCount val="1"/>
                <c:pt idx="0">
                  <c:v>GASTOS</c:v>
                </c:pt>
              </c:strCache>
            </c:strRef>
          </c:tx>
          <c:spPr>
            <a:solidFill>
              <a:srgbClr val="4A86E8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26D3-44F4-9A6E-268DC25EDD82}"/>
              </c:ext>
            </c:extLst>
          </c:dPt>
          <c:val>
            <c:numRef>
              <c:f>MAYO!$U$8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26D3-44F4-9A6E-268DC25EDD82}"/>
            </c:ext>
          </c:extLst>
        </c:ser>
        <c:ser>
          <c:idx val="3"/>
          <c:order val="3"/>
          <c:tx>
            <c:strRef>
              <c:f>MAYO!$V$7</c:f>
              <c:strCache>
                <c:ptCount val="1"/>
              </c:strCache>
            </c:strRef>
          </c:tx>
          <c:invertIfNegative val="1"/>
          <c:val>
            <c:numRef>
              <c:f>MAYO!$V$8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6-26D3-44F4-9A6E-268DC25EDD82}"/>
            </c:ext>
          </c:extLst>
        </c:ser>
        <c:ser>
          <c:idx val="4"/>
          <c:order val="4"/>
          <c:tx>
            <c:strRef>
              <c:f>MAYO!$W$7</c:f>
              <c:strCache>
                <c:ptCount val="1"/>
                <c:pt idx="0">
                  <c:v>RESTO</c:v>
                </c:pt>
              </c:strCache>
            </c:strRef>
          </c:tx>
          <c:invertIfNegative val="1"/>
          <c:val>
            <c:numRef>
              <c:f>MAYO!$W$8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6D3-44F4-9A6E-268DC25EDD82}"/>
            </c:ext>
          </c:extLst>
        </c:ser>
        <c:ser>
          <c:idx val="5"/>
          <c:order val="5"/>
          <c:tx>
            <c:strRef>
              <c:f>MAYO!$X$7</c:f>
              <c:strCache>
                <c:ptCount val="1"/>
              </c:strCache>
            </c:strRef>
          </c:tx>
          <c:invertIfNegative val="1"/>
          <c:val>
            <c:numRef>
              <c:f>MAYO!$X$8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8-26D3-44F4-9A6E-268DC25ED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8389892"/>
        <c:axId val="1603848874"/>
      </c:barChart>
      <c:catAx>
        <c:axId val="17083898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1603848874"/>
        <c:crosses val="autoZero"/>
        <c:auto val="1"/>
        <c:lblAlgn val="ctr"/>
        <c:lblOffset val="100"/>
        <c:noMultiLvlLbl val="1"/>
      </c:catAx>
      <c:valAx>
        <c:axId val="16038488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170838989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2BD0-424B-AAC9-1D3696EA7A4D}"/>
              </c:ext>
            </c:extLst>
          </c:dPt>
          <c:dPt>
            <c:idx val="1"/>
            <c:bubble3D val="0"/>
            <c:spPr>
              <a:solidFill>
                <a:srgbClr val="000000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2BD0-424B-AAC9-1D3696EA7A4D}"/>
              </c:ext>
            </c:extLst>
          </c:dPt>
          <c:val>
            <c:numRef>
              <c:f>CTAS!$L$3:$L$4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D0-424B-AAC9-1D3696EA7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JUNIO!$L$14</c:f>
              <c:strCache>
                <c:ptCount val="1"/>
                <c:pt idx="0">
                  <c:v>GASTO ESPERADO</c:v>
                </c:pt>
              </c:strCache>
            </c:strRef>
          </c:tx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73D1-427B-B656-45D07CD00B42}"/>
              </c:ext>
            </c:extLst>
          </c:dPt>
          <c:val>
            <c:numRef>
              <c:f>JUNIO!$M$14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3D1-427B-B656-45D07CD00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4227263"/>
        <c:axId val="1090113458"/>
      </c:barChart>
      <c:catAx>
        <c:axId val="39422726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1090113458"/>
        <c:crosses val="autoZero"/>
        <c:auto val="1"/>
        <c:lblAlgn val="ctr"/>
        <c:lblOffset val="100"/>
        <c:noMultiLvlLbl val="1"/>
      </c:catAx>
      <c:valAx>
        <c:axId val="109011345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394227263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JUNIO!$G$8</c:f>
              <c:strCache>
                <c:ptCount val="1"/>
                <c:pt idx="0">
                  <c:v>GASTOS</c:v>
                </c:pt>
              </c:strCache>
            </c:strRef>
          </c:tx>
          <c:dPt>
            <c:idx val="0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1-4745-42B0-92E8-8FDA21D11C16}"/>
              </c:ext>
            </c:extLst>
          </c:dPt>
          <c:cat>
            <c:strRef>
              <c:f>JUNIO!$H$7:$I$7</c:f>
              <c:strCache>
                <c:ptCount val="2"/>
                <c:pt idx="0">
                  <c:v>FIJOS</c:v>
                </c:pt>
                <c:pt idx="1">
                  <c:v>VARIABLES</c:v>
                </c:pt>
              </c:strCache>
            </c:strRef>
          </c:cat>
          <c:val>
            <c:numRef>
              <c:f>JUNIO!$H$8:$I$8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45-42B0-92E8-8FDA21D11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5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JUNIO!$X$13:$X$16</c:f>
              <c:strCache>
                <c:ptCount val="4"/>
                <c:pt idx="0">
                  <c:v>Gastos fijos</c:v>
                </c:pt>
                <c:pt idx="1">
                  <c:v>Gastos variables</c:v>
                </c:pt>
                <c:pt idx="2">
                  <c:v>Ahorros</c:v>
                </c:pt>
                <c:pt idx="3">
                  <c:v>Inversión</c:v>
                </c:pt>
              </c:strCache>
            </c:strRef>
          </c:tx>
          <c:dPt>
            <c:idx val="0"/>
            <c:bubble3D val="0"/>
            <c:spPr>
              <a:solidFill>
                <a:srgbClr val="F9CB9C"/>
              </a:solidFill>
            </c:spPr>
            <c:extLst>
              <c:ext xmlns:c16="http://schemas.microsoft.com/office/drawing/2014/chart" uri="{C3380CC4-5D6E-409C-BE32-E72D297353CC}">
                <c16:uniqueId val="{00000001-9CA5-4B0D-B1B4-449CDAC5D8CE}"/>
              </c:ext>
            </c:extLst>
          </c:dPt>
          <c:dPt>
            <c:idx val="1"/>
            <c:bubble3D val="0"/>
            <c:spPr>
              <a:solidFill>
                <a:srgbClr val="D5A6BD"/>
              </a:solidFill>
            </c:spPr>
            <c:extLst>
              <c:ext xmlns:c16="http://schemas.microsoft.com/office/drawing/2014/chart" uri="{C3380CC4-5D6E-409C-BE32-E72D297353CC}">
                <c16:uniqueId val="{00000003-9CA5-4B0D-B1B4-449CDAC5D8CE}"/>
              </c:ext>
            </c:extLst>
          </c:dPt>
          <c:dPt>
            <c:idx val="2"/>
            <c:bubble3D val="0"/>
            <c:spPr>
              <a:solidFill>
                <a:srgbClr val="C9DAF8"/>
              </a:solidFill>
            </c:spPr>
            <c:extLst>
              <c:ext xmlns:c16="http://schemas.microsoft.com/office/drawing/2014/chart" uri="{C3380CC4-5D6E-409C-BE32-E72D297353CC}">
                <c16:uniqueId val="{00000005-9CA5-4B0D-B1B4-449CDAC5D8CE}"/>
              </c:ext>
            </c:extLst>
          </c:dPt>
          <c:dPt>
            <c:idx val="3"/>
            <c:bubble3D val="0"/>
            <c:spPr>
              <a:solidFill>
                <a:srgbClr val="6D9EEB"/>
              </a:solidFill>
            </c:spPr>
            <c:extLst>
              <c:ext xmlns:c16="http://schemas.microsoft.com/office/drawing/2014/chart" uri="{C3380CC4-5D6E-409C-BE32-E72D297353CC}">
                <c16:uniqueId val="{00000007-9CA5-4B0D-B1B4-449CDAC5D8CE}"/>
              </c:ext>
            </c:extLst>
          </c:dPt>
          <c:val>
            <c:numRef>
              <c:f>JUNIO!$Y$13:$Y$16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9CA5-4B0D-B1B4-449CDAC5D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D9EAD3"/>
              </a:solidFill>
            </c:spPr>
            <c:extLst>
              <c:ext xmlns:c16="http://schemas.microsoft.com/office/drawing/2014/chart" uri="{C3380CC4-5D6E-409C-BE32-E72D297353CC}">
                <c16:uniqueId val="{00000001-EFBE-4DCB-9040-4B522C14F0C8}"/>
              </c:ext>
            </c:extLst>
          </c:dPt>
          <c:cat>
            <c:numRef>
              <c:f>JUNIO!$S$8:$V$8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cat>
          <c:val>
            <c:numRef>
              <c:f>JUNIO!$S$8:$V$8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BE-4DCB-9040-4B522C14F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3.3222835494300919E-2"/>
          <c:y val="0.22133175392263477"/>
          <c:w val="0.93093885060474435"/>
          <c:h val="0.7465822588162187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EAB8-4D3A-ADA1-04AF0FC57652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EAB8-4D3A-ADA1-04AF0FC57652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EAB8-4D3A-ADA1-04AF0FC57652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EAB8-4D3A-ADA1-04AF0FC57652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EAB8-4D3A-ADA1-04AF0FC57652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EAB8-4D3A-ADA1-04AF0FC57652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EAB8-4D3A-ADA1-04AF0FC57652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EAB8-4D3A-ADA1-04AF0FC57652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EAB8-4D3A-ADA1-04AF0FC57652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EAB8-4D3A-ADA1-04AF0FC57652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EAB8-4D3A-ADA1-04AF0FC57652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EAB8-4D3A-ADA1-04AF0FC57652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</c:spPr>
            <c:extLst>
              <c:ext xmlns:c16="http://schemas.microsoft.com/office/drawing/2014/chart" uri="{C3380CC4-5D6E-409C-BE32-E72D297353CC}">
                <c16:uniqueId val="{00000019-EAB8-4D3A-ADA1-04AF0FC57652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</c:spPr>
            <c:extLst>
              <c:ext xmlns:c16="http://schemas.microsoft.com/office/drawing/2014/chart" uri="{C3380CC4-5D6E-409C-BE32-E72D297353CC}">
                <c16:uniqueId val="{0000001B-EAB8-4D3A-ADA1-04AF0FC57652}"/>
              </c:ext>
            </c:extLst>
          </c:dPt>
          <c:dPt>
            <c:idx val="14"/>
            <c:bubble3D val="0"/>
            <c:spPr>
              <a:solidFill>
                <a:srgbClr val="FDE49B"/>
              </a:solidFill>
            </c:spPr>
            <c:extLst>
              <c:ext xmlns:c16="http://schemas.microsoft.com/office/drawing/2014/chart" uri="{C3380CC4-5D6E-409C-BE32-E72D297353CC}">
                <c16:uniqueId val="{0000001D-EAB8-4D3A-ADA1-04AF0FC57652}"/>
              </c:ext>
            </c:extLst>
          </c:dPt>
          <c:dPt>
            <c:idx val="15"/>
            <c:bubble3D val="0"/>
            <c:spPr>
              <a:solidFill>
                <a:srgbClr val="AEDCBA"/>
              </a:solidFill>
            </c:spPr>
            <c:extLst>
              <c:ext xmlns:c16="http://schemas.microsoft.com/office/drawing/2014/chart" uri="{C3380CC4-5D6E-409C-BE32-E72D297353CC}">
                <c16:uniqueId val="{0000001F-EAB8-4D3A-ADA1-04AF0FC57652}"/>
              </c:ext>
            </c:extLst>
          </c:dPt>
          <c:dPt>
            <c:idx val="16"/>
            <c:bubble3D val="0"/>
            <c:spPr>
              <a:solidFill>
                <a:srgbClr val="FFC599"/>
              </a:solidFill>
            </c:spPr>
            <c:extLst>
              <c:ext xmlns:c16="http://schemas.microsoft.com/office/drawing/2014/chart" uri="{C3380CC4-5D6E-409C-BE32-E72D297353CC}">
                <c16:uniqueId val="{00000021-EAB8-4D3A-ADA1-04AF0FC57652}"/>
              </c:ext>
            </c:extLst>
          </c:dPt>
          <c:dPt>
            <c:idx val="17"/>
            <c:bubble3D val="0"/>
            <c:spPr>
              <a:solidFill>
                <a:srgbClr val="B5E5E8"/>
              </a:solidFill>
            </c:spPr>
            <c:extLst>
              <c:ext xmlns:c16="http://schemas.microsoft.com/office/drawing/2014/chart" uri="{C3380CC4-5D6E-409C-BE32-E72D297353CC}">
                <c16:uniqueId val="{00000023-EAB8-4D3A-ADA1-04AF0FC57652}"/>
              </c:ext>
            </c:extLst>
          </c:dPt>
          <c:dPt>
            <c:idx val="18"/>
            <c:bubble3D val="0"/>
            <c:spPr>
              <a:solidFill>
                <a:srgbClr val="ECF3FE"/>
              </a:solidFill>
            </c:spPr>
            <c:extLst>
              <c:ext xmlns:c16="http://schemas.microsoft.com/office/drawing/2014/chart" uri="{C3380CC4-5D6E-409C-BE32-E72D297353CC}">
                <c16:uniqueId val="{00000025-EAB8-4D3A-ADA1-04AF0FC57652}"/>
              </c:ext>
            </c:extLst>
          </c:dPt>
          <c:dPt>
            <c:idx val="19"/>
            <c:bubble3D val="0"/>
            <c:spPr>
              <a:solidFill>
                <a:srgbClr val="FDECEB"/>
              </a:solidFill>
            </c:spPr>
            <c:extLst>
              <c:ext xmlns:c16="http://schemas.microsoft.com/office/drawing/2014/chart" uri="{C3380CC4-5D6E-409C-BE32-E72D297353CC}">
                <c16:uniqueId val="{00000027-EAB8-4D3A-ADA1-04AF0FC57652}"/>
              </c:ext>
            </c:extLst>
          </c:dPt>
          <c:dPt>
            <c:idx val="20"/>
            <c:bubble3D val="0"/>
            <c:spPr>
              <a:solidFill>
                <a:srgbClr val="FFF8E6"/>
              </a:solidFill>
            </c:spPr>
            <c:extLst>
              <c:ext xmlns:c16="http://schemas.microsoft.com/office/drawing/2014/chart" uri="{C3380CC4-5D6E-409C-BE32-E72D297353CC}">
                <c16:uniqueId val="{00000029-EAB8-4D3A-ADA1-04AF0FC57652}"/>
              </c:ext>
            </c:extLst>
          </c:dPt>
          <c:dPt>
            <c:idx val="21"/>
            <c:bubble3D val="0"/>
            <c:spPr>
              <a:solidFill>
                <a:srgbClr val="EBF6EE"/>
              </a:solidFill>
            </c:spPr>
            <c:extLst>
              <c:ext xmlns:c16="http://schemas.microsoft.com/office/drawing/2014/chart" uri="{C3380CC4-5D6E-409C-BE32-E72D297353CC}">
                <c16:uniqueId val="{0000002B-EAB8-4D3A-ADA1-04AF0FC57652}"/>
              </c:ext>
            </c:extLst>
          </c:dPt>
          <c:dPt>
            <c:idx val="22"/>
            <c:bubble3D val="0"/>
            <c:spPr>
              <a:solidFill>
                <a:srgbClr val="FFF0E6"/>
              </a:solidFill>
            </c:spPr>
            <c:extLst>
              <c:ext xmlns:c16="http://schemas.microsoft.com/office/drawing/2014/chart" uri="{C3380CC4-5D6E-409C-BE32-E72D297353CC}">
                <c16:uniqueId val="{0000002D-EAB8-4D3A-ADA1-04AF0FC57652}"/>
              </c:ext>
            </c:extLst>
          </c:dPt>
          <c:cat>
            <c:strRef>
              <c:f>JUNIO!$R$15:$R$37</c:f>
              <c:strCache>
                <c:ptCount val="23"/>
                <c:pt idx="0">
                  <c:v>Transporte</c:v>
                </c:pt>
                <c:pt idx="1">
                  <c:v>Alimentación</c:v>
                </c:pt>
                <c:pt idx="2">
                  <c:v>Restaurantes</c:v>
                </c:pt>
                <c:pt idx="3">
                  <c:v>Delivery</c:v>
                </c:pt>
                <c:pt idx="4">
                  <c:v>Bares</c:v>
                </c:pt>
                <c:pt idx="5">
                  <c:v>Ropa</c:v>
                </c:pt>
                <c:pt idx="6">
                  <c:v>Belleza</c:v>
                </c:pt>
                <c:pt idx="7">
                  <c:v>Gasolina</c:v>
                </c:pt>
                <c:pt idx="8">
                  <c:v>Hogar</c:v>
                </c:pt>
                <c:pt idx="9">
                  <c:v>Tarjeta de crédito</c:v>
                </c:pt>
                <c:pt idx="10">
                  <c:v>Ocio</c:v>
                </c:pt>
                <c:pt idx="11">
                  <c:v>Pequeñas compras</c:v>
                </c:pt>
                <c:pt idx="12">
                  <c:v>Tasas/Impuestos</c:v>
                </c:pt>
                <c:pt idx="13">
                  <c:v>Viajes/vacaciones</c:v>
                </c:pt>
                <c:pt idx="14">
                  <c:v>Tecnología</c:v>
                </c:pt>
                <c:pt idx="15">
                  <c:v>Reparaciones</c:v>
                </c:pt>
                <c:pt idx="16">
                  <c:v>Salud</c:v>
                </c:pt>
                <c:pt idx="17">
                  <c:v>Higiene</c:v>
                </c:pt>
                <c:pt idx="18">
                  <c:v>Cursos/Fromación/Trabajo</c:v>
                </c:pt>
                <c:pt idx="19">
                  <c:v>Mascotas</c:v>
                </c:pt>
                <c:pt idx="20">
                  <c:v>Familia</c:v>
                </c:pt>
                <c:pt idx="21">
                  <c:v>Otros</c:v>
                </c:pt>
                <c:pt idx="22">
                  <c:v>Préstamos</c:v>
                </c:pt>
              </c:strCache>
            </c:strRef>
          </c:cat>
          <c:val>
            <c:numRef>
              <c:f>JUNIO!$T$15:$T$37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EAB8-4D3A-ADA1-04AF0FC57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JUNIO!$S$7</c:f>
              <c:strCache>
                <c:ptCount val="1"/>
                <c:pt idx="0">
                  <c:v>INGRESOS DISPONIBLES</c:v>
                </c:pt>
              </c:strCache>
            </c:strRef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997E-44C2-AC22-A40AD0B2CF43}"/>
              </c:ext>
            </c:extLst>
          </c:dPt>
          <c:val>
            <c:numRef>
              <c:f>JUNIO!$S$8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97E-44C2-AC22-A40AD0B2CF43}"/>
            </c:ext>
          </c:extLst>
        </c:ser>
        <c:ser>
          <c:idx val="1"/>
          <c:order val="1"/>
          <c:tx>
            <c:strRef>
              <c:f>JUNIO!$T$7</c:f>
              <c:strCache>
                <c:ptCount val="1"/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997E-44C2-AC22-A40AD0B2CF43}"/>
              </c:ext>
            </c:extLst>
          </c:dPt>
          <c:val>
            <c:numRef>
              <c:f>JUNIO!$T$8</c:f>
              <c:numCache>
                <c:formatCode>General</c:formatCode>
                <c:ptCount val="1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997E-44C2-AC22-A40AD0B2CF43}"/>
            </c:ext>
          </c:extLst>
        </c:ser>
        <c:ser>
          <c:idx val="2"/>
          <c:order val="2"/>
          <c:tx>
            <c:strRef>
              <c:f>JUNIO!$U$7</c:f>
              <c:strCache>
                <c:ptCount val="1"/>
                <c:pt idx="0">
                  <c:v>GASTOS</c:v>
                </c:pt>
              </c:strCache>
            </c:strRef>
          </c:tx>
          <c:spPr>
            <a:solidFill>
              <a:srgbClr val="4A86E8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997E-44C2-AC22-A40AD0B2CF43}"/>
              </c:ext>
            </c:extLst>
          </c:dPt>
          <c:val>
            <c:numRef>
              <c:f>JUNIO!$U$8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997E-44C2-AC22-A40AD0B2CF43}"/>
            </c:ext>
          </c:extLst>
        </c:ser>
        <c:ser>
          <c:idx val="3"/>
          <c:order val="3"/>
          <c:tx>
            <c:strRef>
              <c:f>JUNIO!$V$7</c:f>
              <c:strCache>
                <c:ptCount val="1"/>
              </c:strCache>
            </c:strRef>
          </c:tx>
          <c:invertIfNegative val="1"/>
          <c:val>
            <c:numRef>
              <c:f>JUNIO!$V$8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6-997E-44C2-AC22-A40AD0B2CF43}"/>
            </c:ext>
          </c:extLst>
        </c:ser>
        <c:ser>
          <c:idx val="4"/>
          <c:order val="4"/>
          <c:tx>
            <c:strRef>
              <c:f>JUNIO!$W$7</c:f>
              <c:strCache>
                <c:ptCount val="1"/>
                <c:pt idx="0">
                  <c:v>RESTO</c:v>
                </c:pt>
              </c:strCache>
            </c:strRef>
          </c:tx>
          <c:invertIfNegative val="1"/>
          <c:val>
            <c:numRef>
              <c:f>JUNIO!$W$8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97E-44C2-AC22-A40AD0B2CF43}"/>
            </c:ext>
          </c:extLst>
        </c:ser>
        <c:ser>
          <c:idx val="5"/>
          <c:order val="5"/>
          <c:tx>
            <c:strRef>
              <c:f>JUNIO!$X$7</c:f>
              <c:strCache>
                <c:ptCount val="1"/>
              </c:strCache>
            </c:strRef>
          </c:tx>
          <c:invertIfNegative val="1"/>
          <c:val>
            <c:numRef>
              <c:f>JUNIO!$X$8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8-997E-44C2-AC22-A40AD0B2C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661159"/>
        <c:axId val="993086045"/>
      </c:barChart>
      <c:catAx>
        <c:axId val="206661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993086045"/>
        <c:crosses val="autoZero"/>
        <c:auto val="1"/>
        <c:lblAlgn val="ctr"/>
        <c:lblOffset val="100"/>
        <c:noMultiLvlLbl val="1"/>
      </c:catAx>
      <c:valAx>
        <c:axId val="9930860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20666115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0FC4-4BAC-877A-F1F2448715CD}"/>
              </c:ext>
            </c:extLst>
          </c:dPt>
          <c:dPt>
            <c:idx val="1"/>
            <c:bubble3D val="0"/>
            <c:spPr>
              <a:solidFill>
                <a:srgbClr val="000000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0FC4-4BAC-877A-F1F2448715CD}"/>
              </c:ext>
            </c:extLst>
          </c:dPt>
          <c:val>
            <c:numRef>
              <c:f>CTAS!$B$8:$B$9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C4-4BAC-877A-F1F244871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JULIO!$L$14</c:f>
              <c:strCache>
                <c:ptCount val="1"/>
                <c:pt idx="0">
                  <c:v>GASTO ESPERADO</c:v>
                </c:pt>
              </c:strCache>
            </c:strRef>
          </c:tx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20AB-4AD2-A34A-2DFE6755611C}"/>
              </c:ext>
            </c:extLst>
          </c:dPt>
          <c:val>
            <c:numRef>
              <c:f>JULIO!$M$14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0AB-4AD2-A34A-2DFE67556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6949886"/>
        <c:axId val="892069466"/>
      </c:barChart>
      <c:catAx>
        <c:axId val="44694988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892069466"/>
        <c:crosses val="autoZero"/>
        <c:auto val="1"/>
        <c:lblAlgn val="ctr"/>
        <c:lblOffset val="100"/>
        <c:noMultiLvlLbl val="1"/>
      </c:catAx>
      <c:valAx>
        <c:axId val="89206946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446949886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JULIO!$G$8</c:f>
              <c:strCache>
                <c:ptCount val="1"/>
                <c:pt idx="0">
                  <c:v>GASTOS</c:v>
                </c:pt>
              </c:strCache>
            </c:strRef>
          </c:tx>
          <c:dPt>
            <c:idx val="0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1-5D32-4929-8159-E92A07454F7C}"/>
              </c:ext>
            </c:extLst>
          </c:dPt>
          <c:cat>
            <c:strRef>
              <c:f>JULIO!$H$7:$I$7</c:f>
              <c:strCache>
                <c:ptCount val="2"/>
                <c:pt idx="0">
                  <c:v>FIJOS</c:v>
                </c:pt>
                <c:pt idx="1">
                  <c:v>VARIABLES</c:v>
                </c:pt>
              </c:strCache>
            </c:strRef>
          </c:cat>
          <c:val>
            <c:numRef>
              <c:f>JULIO!$H$8:$I$8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32-4929-8159-E92A07454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5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JULIO!$X$13:$X$16</c:f>
              <c:strCache>
                <c:ptCount val="4"/>
                <c:pt idx="0">
                  <c:v>Gastos fijos</c:v>
                </c:pt>
                <c:pt idx="1">
                  <c:v>Gastos variables</c:v>
                </c:pt>
                <c:pt idx="2">
                  <c:v>Ahorros</c:v>
                </c:pt>
                <c:pt idx="3">
                  <c:v>Inversión</c:v>
                </c:pt>
              </c:strCache>
            </c:strRef>
          </c:tx>
          <c:dPt>
            <c:idx val="0"/>
            <c:bubble3D val="0"/>
            <c:spPr>
              <a:solidFill>
                <a:srgbClr val="F9CB9C"/>
              </a:solidFill>
            </c:spPr>
            <c:extLst>
              <c:ext xmlns:c16="http://schemas.microsoft.com/office/drawing/2014/chart" uri="{C3380CC4-5D6E-409C-BE32-E72D297353CC}">
                <c16:uniqueId val="{00000001-650F-417E-8148-6FA79F06523F}"/>
              </c:ext>
            </c:extLst>
          </c:dPt>
          <c:dPt>
            <c:idx val="1"/>
            <c:bubble3D val="0"/>
            <c:spPr>
              <a:solidFill>
                <a:srgbClr val="D5A6BD"/>
              </a:solidFill>
            </c:spPr>
            <c:extLst>
              <c:ext xmlns:c16="http://schemas.microsoft.com/office/drawing/2014/chart" uri="{C3380CC4-5D6E-409C-BE32-E72D297353CC}">
                <c16:uniqueId val="{00000003-650F-417E-8148-6FA79F06523F}"/>
              </c:ext>
            </c:extLst>
          </c:dPt>
          <c:dPt>
            <c:idx val="2"/>
            <c:bubble3D val="0"/>
            <c:spPr>
              <a:solidFill>
                <a:srgbClr val="C9DAF8"/>
              </a:solidFill>
            </c:spPr>
            <c:extLst>
              <c:ext xmlns:c16="http://schemas.microsoft.com/office/drawing/2014/chart" uri="{C3380CC4-5D6E-409C-BE32-E72D297353CC}">
                <c16:uniqueId val="{00000005-650F-417E-8148-6FA79F06523F}"/>
              </c:ext>
            </c:extLst>
          </c:dPt>
          <c:dPt>
            <c:idx val="3"/>
            <c:bubble3D val="0"/>
            <c:spPr>
              <a:solidFill>
                <a:srgbClr val="6D9EEB"/>
              </a:solidFill>
            </c:spPr>
            <c:extLst>
              <c:ext xmlns:c16="http://schemas.microsoft.com/office/drawing/2014/chart" uri="{C3380CC4-5D6E-409C-BE32-E72D297353CC}">
                <c16:uniqueId val="{00000007-650F-417E-8148-6FA79F06523F}"/>
              </c:ext>
            </c:extLst>
          </c:dPt>
          <c:val>
            <c:numRef>
              <c:f>JULIO!$Y$13:$Y$16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650F-417E-8148-6FA79F065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D9EAD3"/>
              </a:solidFill>
            </c:spPr>
            <c:extLst>
              <c:ext xmlns:c16="http://schemas.microsoft.com/office/drawing/2014/chart" uri="{C3380CC4-5D6E-409C-BE32-E72D297353CC}">
                <c16:uniqueId val="{00000001-0E41-4321-9D52-19041B7766EB}"/>
              </c:ext>
            </c:extLst>
          </c:dPt>
          <c:cat>
            <c:numRef>
              <c:f>JULIO!$S$8:$V$8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cat>
          <c:val>
            <c:numRef>
              <c:f>JULIO!$S$8:$V$8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41-4321-9D52-19041B776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3.3222835494300919E-2"/>
          <c:y val="0.22133175392263477"/>
          <c:w val="0.93093885060474435"/>
          <c:h val="0.7465822588162187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F60E-409B-90CC-FBD919D3552A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F60E-409B-90CC-FBD919D3552A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F60E-409B-90CC-FBD919D3552A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F60E-409B-90CC-FBD919D3552A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F60E-409B-90CC-FBD919D3552A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F60E-409B-90CC-FBD919D3552A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F60E-409B-90CC-FBD919D3552A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F60E-409B-90CC-FBD919D3552A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F60E-409B-90CC-FBD919D3552A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F60E-409B-90CC-FBD919D3552A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F60E-409B-90CC-FBD919D3552A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F60E-409B-90CC-FBD919D3552A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</c:spPr>
            <c:extLst>
              <c:ext xmlns:c16="http://schemas.microsoft.com/office/drawing/2014/chart" uri="{C3380CC4-5D6E-409C-BE32-E72D297353CC}">
                <c16:uniqueId val="{00000019-F60E-409B-90CC-FBD919D3552A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</c:spPr>
            <c:extLst>
              <c:ext xmlns:c16="http://schemas.microsoft.com/office/drawing/2014/chart" uri="{C3380CC4-5D6E-409C-BE32-E72D297353CC}">
                <c16:uniqueId val="{0000001B-F60E-409B-90CC-FBD919D3552A}"/>
              </c:ext>
            </c:extLst>
          </c:dPt>
          <c:dPt>
            <c:idx val="14"/>
            <c:bubble3D val="0"/>
            <c:spPr>
              <a:solidFill>
                <a:srgbClr val="FDE49B"/>
              </a:solidFill>
            </c:spPr>
            <c:extLst>
              <c:ext xmlns:c16="http://schemas.microsoft.com/office/drawing/2014/chart" uri="{C3380CC4-5D6E-409C-BE32-E72D297353CC}">
                <c16:uniqueId val="{0000001D-F60E-409B-90CC-FBD919D3552A}"/>
              </c:ext>
            </c:extLst>
          </c:dPt>
          <c:dPt>
            <c:idx val="15"/>
            <c:bubble3D val="0"/>
            <c:spPr>
              <a:solidFill>
                <a:srgbClr val="AEDCBA"/>
              </a:solidFill>
            </c:spPr>
            <c:extLst>
              <c:ext xmlns:c16="http://schemas.microsoft.com/office/drawing/2014/chart" uri="{C3380CC4-5D6E-409C-BE32-E72D297353CC}">
                <c16:uniqueId val="{0000001F-F60E-409B-90CC-FBD919D3552A}"/>
              </c:ext>
            </c:extLst>
          </c:dPt>
          <c:dPt>
            <c:idx val="16"/>
            <c:bubble3D val="0"/>
            <c:spPr>
              <a:solidFill>
                <a:srgbClr val="FFC599"/>
              </a:solidFill>
            </c:spPr>
            <c:extLst>
              <c:ext xmlns:c16="http://schemas.microsoft.com/office/drawing/2014/chart" uri="{C3380CC4-5D6E-409C-BE32-E72D297353CC}">
                <c16:uniqueId val="{00000021-F60E-409B-90CC-FBD919D3552A}"/>
              </c:ext>
            </c:extLst>
          </c:dPt>
          <c:dPt>
            <c:idx val="17"/>
            <c:bubble3D val="0"/>
            <c:spPr>
              <a:solidFill>
                <a:srgbClr val="B5E5E8"/>
              </a:solidFill>
            </c:spPr>
            <c:extLst>
              <c:ext xmlns:c16="http://schemas.microsoft.com/office/drawing/2014/chart" uri="{C3380CC4-5D6E-409C-BE32-E72D297353CC}">
                <c16:uniqueId val="{00000023-F60E-409B-90CC-FBD919D3552A}"/>
              </c:ext>
            </c:extLst>
          </c:dPt>
          <c:dPt>
            <c:idx val="18"/>
            <c:bubble3D val="0"/>
            <c:spPr>
              <a:solidFill>
                <a:srgbClr val="ECF3FE"/>
              </a:solidFill>
            </c:spPr>
            <c:extLst>
              <c:ext xmlns:c16="http://schemas.microsoft.com/office/drawing/2014/chart" uri="{C3380CC4-5D6E-409C-BE32-E72D297353CC}">
                <c16:uniqueId val="{00000025-F60E-409B-90CC-FBD919D3552A}"/>
              </c:ext>
            </c:extLst>
          </c:dPt>
          <c:dPt>
            <c:idx val="19"/>
            <c:bubble3D val="0"/>
            <c:spPr>
              <a:solidFill>
                <a:srgbClr val="FDECEB"/>
              </a:solidFill>
            </c:spPr>
            <c:extLst>
              <c:ext xmlns:c16="http://schemas.microsoft.com/office/drawing/2014/chart" uri="{C3380CC4-5D6E-409C-BE32-E72D297353CC}">
                <c16:uniqueId val="{00000027-F60E-409B-90CC-FBD919D3552A}"/>
              </c:ext>
            </c:extLst>
          </c:dPt>
          <c:dPt>
            <c:idx val="20"/>
            <c:bubble3D val="0"/>
            <c:spPr>
              <a:solidFill>
                <a:srgbClr val="FFF8E6"/>
              </a:solidFill>
            </c:spPr>
            <c:extLst>
              <c:ext xmlns:c16="http://schemas.microsoft.com/office/drawing/2014/chart" uri="{C3380CC4-5D6E-409C-BE32-E72D297353CC}">
                <c16:uniqueId val="{00000029-F60E-409B-90CC-FBD919D3552A}"/>
              </c:ext>
            </c:extLst>
          </c:dPt>
          <c:dPt>
            <c:idx val="21"/>
            <c:bubble3D val="0"/>
            <c:spPr>
              <a:solidFill>
                <a:srgbClr val="EBF6EE"/>
              </a:solidFill>
            </c:spPr>
            <c:extLst>
              <c:ext xmlns:c16="http://schemas.microsoft.com/office/drawing/2014/chart" uri="{C3380CC4-5D6E-409C-BE32-E72D297353CC}">
                <c16:uniqueId val="{0000002B-F60E-409B-90CC-FBD919D3552A}"/>
              </c:ext>
            </c:extLst>
          </c:dPt>
          <c:dPt>
            <c:idx val="22"/>
            <c:bubble3D val="0"/>
            <c:spPr>
              <a:solidFill>
                <a:srgbClr val="FFF0E6"/>
              </a:solidFill>
            </c:spPr>
            <c:extLst>
              <c:ext xmlns:c16="http://schemas.microsoft.com/office/drawing/2014/chart" uri="{C3380CC4-5D6E-409C-BE32-E72D297353CC}">
                <c16:uniqueId val="{0000002D-F60E-409B-90CC-FBD919D3552A}"/>
              </c:ext>
            </c:extLst>
          </c:dPt>
          <c:cat>
            <c:strRef>
              <c:f>JULIO!$R$15:$R$37</c:f>
              <c:strCache>
                <c:ptCount val="23"/>
                <c:pt idx="0">
                  <c:v>Transporte</c:v>
                </c:pt>
                <c:pt idx="1">
                  <c:v>Alimentación</c:v>
                </c:pt>
                <c:pt idx="2">
                  <c:v>Restaurantes</c:v>
                </c:pt>
                <c:pt idx="3">
                  <c:v>Delivery</c:v>
                </c:pt>
                <c:pt idx="4">
                  <c:v>Bares</c:v>
                </c:pt>
                <c:pt idx="5">
                  <c:v>Ropa</c:v>
                </c:pt>
                <c:pt idx="6">
                  <c:v>Belleza</c:v>
                </c:pt>
                <c:pt idx="7">
                  <c:v>Gasolina</c:v>
                </c:pt>
                <c:pt idx="8">
                  <c:v>Hogar</c:v>
                </c:pt>
                <c:pt idx="9">
                  <c:v>Tarjeta de crédito</c:v>
                </c:pt>
                <c:pt idx="10">
                  <c:v>Ocio</c:v>
                </c:pt>
                <c:pt idx="11">
                  <c:v>Pequeñas compras</c:v>
                </c:pt>
                <c:pt idx="12">
                  <c:v>Tasas/Impuestos</c:v>
                </c:pt>
                <c:pt idx="13">
                  <c:v>Viajes/vacaciones</c:v>
                </c:pt>
                <c:pt idx="14">
                  <c:v>Tecnología</c:v>
                </c:pt>
                <c:pt idx="15">
                  <c:v>Reparaciones</c:v>
                </c:pt>
                <c:pt idx="16">
                  <c:v>Salud</c:v>
                </c:pt>
                <c:pt idx="17">
                  <c:v>Higiene</c:v>
                </c:pt>
                <c:pt idx="18">
                  <c:v>Cursos/Fromación/Trabajo</c:v>
                </c:pt>
                <c:pt idx="19">
                  <c:v>Mascotas</c:v>
                </c:pt>
                <c:pt idx="20">
                  <c:v>Familia</c:v>
                </c:pt>
                <c:pt idx="21">
                  <c:v>Otros</c:v>
                </c:pt>
                <c:pt idx="22">
                  <c:v>Préstamos</c:v>
                </c:pt>
              </c:strCache>
            </c:strRef>
          </c:cat>
          <c:val>
            <c:numRef>
              <c:f>JULIO!$T$15:$T$37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F60E-409B-90CC-FBD919D35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JULIO!$S$7</c:f>
              <c:strCache>
                <c:ptCount val="1"/>
                <c:pt idx="0">
                  <c:v>INGRESOS DISPONIBLES</c:v>
                </c:pt>
              </c:strCache>
            </c:strRef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E533-49D1-AD6E-D52509EA5929}"/>
              </c:ext>
            </c:extLst>
          </c:dPt>
          <c:val>
            <c:numRef>
              <c:f>JULIO!$S$8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533-49D1-AD6E-D52509EA5929}"/>
            </c:ext>
          </c:extLst>
        </c:ser>
        <c:ser>
          <c:idx val="1"/>
          <c:order val="1"/>
          <c:tx>
            <c:strRef>
              <c:f>JULIO!$T$7</c:f>
              <c:strCache>
                <c:ptCount val="1"/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E533-49D1-AD6E-D52509EA5929}"/>
              </c:ext>
            </c:extLst>
          </c:dPt>
          <c:val>
            <c:numRef>
              <c:f>JULIO!$T$8</c:f>
              <c:numCache>
                <c:formatCode>General</c:formatCode>
                <c:ptCount val="1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E533-49D1-AD6E-D52509EA5929}"/>
            </c:ext>
          </c:extLst>
        </c:ser>
        <c:ser>
          <c:idx val="2"/>
          <c:order val="2"/>
          <c:tx>
            <c:strRef>
              <c:f>JULIO!$U$7</c:f>
              <c:strCache>
                <c:ptCount val="1"/>
                <c:pt idx="0">
                  <c:v>GASTOS</c:v>
                </c:pt>
              </c:strCache>
            </c:strRef>
          </c:tx>
          <c:spPr>
            <a:solidFill>
              <a:srgbClr val="4A86E8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E533-49D1-AD6E-D52509EA5929}"/>
              </c:ext>
            </c:extLst>
          </c:dPt>
          <c:val>
            <c:numRef>
              <c:f>JULIO!$U$8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E533-49D1-AD6E-D52509EA5929}"/>
            </c:ext>
          </c:extLst>
        </c:ser>
        <c:ser>
          <c:idx val="3"/>
          <c:order val="3"/>
          <c:tx>
            <c:strRef>
              <c:f>JULIO!$V$7</c:f>
              <c:strCache>
                <c:ptCount val="1"/>
              </c:strCache>
            </c:strRef>
          </c:tx>
          <c:invertIfNegative val="1"/>
          <c:val>
            <c:numRef>
              <c:f>JULIO!$V$8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6-E533-49D1-AD6E-D52509EA5929}"/>
            </c:ext>
          </c:extLst>
        </c:ser>
        <c:ser>
          <c:idx val="4"/>
          <c:order val="4"/>
          <c:tx>
            <c:strRef>
              <c:f>JULIO!$W$7</c:f>
              <c:strCache>
                <c:ptCount val="1"/>
                <c:pt idx="0">
                  <c:v>RESTO</c:v>
                </c:pt>
              </c:strCache>
            </c:strRef>
          </c:tx>
          <c:invertIfNegative val="1"/>
          <c:val>
            <c:numRef>
              <c:f>JULIO!$W$8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533-49D1-AD6E-D52509EA5929}"/>
            </c:ext>
          </c:extLst>
        </c:ser>
        <c:ser>
          <c:idx val="5"/>
          <c:order val="5"/>
          <c:tx>
            <c:strRef>
              <c:f>JULIO!$X$7</c:f>
              <c:strCache>
                <c:ptCount val="1"/>
              </c:strCache>
            </c:strRef>
          </c:tx>
          <c:invertIfNegative val="1"/>
          <c:val>
            <c:numRef>
              <c:f>JULIO!$X$8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8-E533-49D1-AD6E-D52509EA5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9021246"/>
        <c:axId val="498224116"/>
      </c:barChart>
      <c:catAx>
        <c:axId val="16390212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498224116"/>
        <c:crosses val="autoZero"/>
        <c:auto val="1"/>
        <c:lblAlgn val="ctr"/>
        <c:lblOffset val="100"/>
        <c:noMultiLvlLbl val="1"/>
      </c:catAx>
      <c:valAx>
        <c:axId val="4982241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163902124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D663-4260-9B41-67504CE039E3}"/>
              </c:ext>
            </c:extLst>
          </c:dPt>
          <c:dPt>
            <c:idx val="1"/>
            <c:bubble3D val="0"/>
            <c:spPr>
              <a:solidFill>
                <a:srgbClr val="000000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D663-4260-9B41-67504CE039E3}"/>
              </c:ext>
            </c:extLst>
          </c:dPt>
          <c:val>
            <c:numRef>
              <c:f>CTAS!$D$8:$D$9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63-4260-9B41-67504CE03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AGOSTO!$L$14</c:f>
              <c:strCache>
                <c:ptCount val="1"/>
                <c:pt idx="0">
                  <c:v>GASTO ESPERADO</c:v>
                </c:pt>
              </c:strCache>
            </c:strRef>
          </c:tx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FBED-46D0-8326-CD60AE00B1D6}"/>
              </c:ext>
            </c:extLst>
          </c:dPt>
          <c:val>
            <c:numRef>
              <c:f>AGOSTO!$M$14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BED-46D0-8326-CD60AE00B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87512063"/>
        <c:axId val="276107629"/>
      </c:barChart>
      <c:catAx>
        <c:axId val="178751206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276107629"/>
        <c:crosses val="autoZero"/>
        <c:auto val="1"/>
        <c:lblAlgn val="ctr"/>
        <c:lblOffset val="100"/>
        <c:noMultiLvlLbl val="1"/>
      </c:catAx>
      <c:valAx>
        <c:axId val="27610762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1787512063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AGOSTO!$G$8</c:f>
              <c:strCache>
                <c:ptCount val="1"/>
                <c:pt idx="0">
                  <c:v>GASTOS</c:v>
                </c:pt>
              </c:strCache>
            </c:strRef>
          </c:tx>
          <c:dPt>
            <c:idx val="0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1-9A89-4682-A6A9-62667B5BC994}"/>
              </c:ext>
            </c:extLst>
          </c:dPt>
          <c:cat>
            <c:strRef>
              <c:f>AGOSTO!$H$7:$I$7</c:f>
              <c:strCache>
                <c:ptCount val="2"/>
                <c:pt idx="0">
                  <c:v>FIJOS</c:v>
                </c:pt>
                <c:pt idx="1">
                  <c:v>VARIABLES</c:v>
                </c:pt>
              </c:strCache>
            </c:strRef>
          </c:cat>
          <c:val>
            <c:numRef>
              <c:f>AGOSTO!$H$8:$I$8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89-4682-A6A9-62667B5BC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5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AGOSTO!$X$13:$X$16</c:f>
              <c:strCache>
                <c:ptCount val="4"/>
                <c:pt idx="0">
                  <c:v>Gastos fijos</c:v>
                </c:pt>
                <c:pt idx="1">
                  <c:v>Gastos variables</c:v>
                </c:pt>
                <c:pt idx="2">
                  <c:v>Ahorros</c:v>
                </c:pt>
                <c:pt idx="3">
                  <c:v>Inversión</c:v>
                </c:pt>
              </c:strCache>
            </c:strRef>
          </c:tx>
          <c:dPt>
            <c:idx val="0"/>
            <c:bubble3D val="0"/>
            <c:spPr>
              <a:solidFill>
                <a:srgbClr val="F9CB9C"/>
              </a:solidFill>
            </c:spPr>
            <c:extLst>
              <c:ext xmlns:c16="http://schemas.microsoft.com/office/drawing/2014/chart" uri="{C3380CC4-5D6E-409C-BE32-E72D297353CC}">
                <c16:uniqueId val="{00000001-B489-45E2-9F45-16630A107173}"/>
              </c:ext>
            </c:extLst>
          </c:dPt>
          <c:dPt>
            <c:idx val="1"/>
            <c:bubble3D val="0"/>
            <c:spPr>
              <a:solidFill>
                <a:srgbClr val="D5A6BD"/>
              </a:solidFill>
            </c:spPr>
            <c:extLst>
              <c:ext xmlns:c16="http://schemas.microsoft.com/office/drawing/2014/chart" uri="{C3380CC4-5D6E-409C-BE32-E72D297353CC}">
                <c16:uniqueId val="{00000003-B489-45E2-9F45-16630A107173}"/>
              </c:ext>
            </c:extLst>
          </c:dPt>
          <c:dPt>
            <c:idx val="2"/>
            <c:bubble3D val="0"/>
            <c:spPr>
              <a:solidFill>
                <a:srgbClr val="C9DAF8"/>
              </a:solidFill>
            </c:spPr>
            <c:extLst>
              <c:ext xmlns:c16="http://schemas.microsoft.com/office/drawing/2014/chart" uri="{C3380CC4-5D6E-409C-BE32-E72D297353CC}">
                <c16:uniqueId val="{00000005-B489-45E2-9F45-16630A107173}"/>
              </c:ext>
            </c:extLst>
          </c:dPt>
          <c:dPt>
            <c:idx val="3"/>
            <c:bubble3D val="0"/>
            <c:spPr>
              <a:solidFill>
                <a:srgbClr val="6D9EEB"/>
              </a:solidFill>
            </c:spPr>
            <c:extLst>
              <c:ext xmlns:c16="http://schemas.microsoft.com/office/drawing/2014/chart" uri="{C3380CC4-5D6E-409C-BE32-E72D297353CC}">
                <c16:uniqueId val="{00000007-B489-45E2-9F45-16630A107173}"/>
              </c:ext>
            </c:extLst>
          </c:dPt>
          <c:val>
            <c:numRef>
              <c:f>AGOSTO!$Y$13:$Y$16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B489-45E2-9F45-16630A107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D9EAD3"/>
              </a:solidFill>
            </c:spPr>
            <c:extLst>
              <c:ext xmlns:c16="http://schemas.microsoft.com/office/drawing/2014/chart" uri="{C3380CC4-5D6E-409C-BE32-E72D297353CC}">
                <c16:uniqueId val="{00000001-52B6-4AEC-B6E1-90FB52A951EA}"/>
              </c:ext>
            </c:extLst>
          </c:dPt>
          <c:cat>
            <c:numRef>
              <c:f>AGOSTO!$S$8:$V$8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cat>
          <c:val>
            <c:numRef>
              <c:f>AGOSTO!$S$8:$V$8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B6-4AEC-B6E1-90FB52A95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3.3222835494300919E-2"/>
          <c:y val="0.22133175392263477"/>
          <c:w val="0.93093885060474435"/>
          <c:h val="0.7465822588162187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E9B6-4781-ABFB-9E962AFBADF6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E9B6-4781-ABFB-9E962AFBADF6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E9B6-4781-ABFB-9E962AFBADF6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E9B6-4781-ABFB-9E962AFBADF6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E9B6-4781-ABFB-9E962AFBADF6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E9B6-4781-ABFB-9E962AFBADF6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E9B6-4781-ABFB-9E962AFBADF6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E9B6-4781-ABFB-9E962AFBADF6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E9B6-4781-ABFB-9E962AFBADF6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E9B6-4781-ABFB-9E962AFBADF6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E9B6-4781-ABFB-9E962AFBADF6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E9B6-4781-ABFB-9E962AFBADF6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</c:spPr>
            <c:extLst>
              <c:ext xmlns:c16="http://schemas.microsoft.com/office/drawing/2014/chart" uri="{C3380CC4-5D6E-409C-BE32-E72D297353CC}">
                <c16:uniqueId val="{00000019-E9B6-4781-ABFB-9E962AFBADF6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</c:spPr>
            <c:extLst>
              <c:ext xmlns:c16="http://schemas.microsoft.com/office/drawing/2014/chart" uri="{C3380CC4-5D6E-409C-BE32-E72D297353CC}">
                <c16:uniqueId val="{0000001B-E9B6-4781-ABFB-9E962AFBADF6}"/>
              </c:ext>
            </c:extLst>
          </c:dPt>
          <c:dPt>
            <c:idx val="14"/>
            <c:bubble3D val="0"/>
            <c:spPr>
              <a:solidFill>
                <a:srgbClr val="FDE49B"/>
              </a:solidFill>
            </c:spPr>
            <c:extLst>
              <c:ext xmlns:c16="http://schemas.microsoft.com/office/drawing/2014/chart" uri="{C3380CC4-5D6E-409C-BE32-E72D297353CC}">
                <c16:uniqueId val="{0000001D-E9B6-4781-ABFB-9E962AFBADF6}"/>
              </c:ext>
            </c:extLst>
          </c:dPt>
          <c:dPt>
            <c:idx val="15"/>
            <c:bubble3D val="0"/>
            <c:spPr>
              <a:solidFill>
                <a:srgbClr val="AEDCBA"/>
              </a:solidFill>
            </c:spPr>
            <c:extLst>
              <c:ext xmlns:c16="http://schemas.microsoft.com/office/drawing/2014/chart" uri="{C3380CC4-5D6E-409C-BE32-E72D297353CC}">
                <c16:uniqueId val="{0000001F-E9B6-4781-ABFB-9E962AFBADF6}"/>
              </c:ext>
            </c:extLst>
          </c:dPt>
          <c:dPt>
            <c:idx val="16"/>
            <c:bubble3D val="0"/>
            <c:spPr>
              <a:solidFill>
                <a:srgbClr val="FFC599"/>
              </a:solidFill>
            </c:spPr>
            <c:extLst>
              <c:ext xmlns:c16="http://schemas.microsoft.com/office/drawing/2014/chart" uri="{C3380CC4-5D6E-409C-BE32-E72D297353CC}">
                <c16:uniqueId val="{00000021-E9B6-4781-ABFB-9E962AFBADF6}"/>
              </c:ext>
            </c:extLst>
          </c:dPt>
          <c:dPt>
            <c:idx val="17"/>
            <c:bubble3D val="0"/>
            <c:spPr>
              <a:solidFill>
                <a:srgbClr val="B5E5E8"/>
              </a:solidFill>
            </c:spPr>
            <c:extLst>
              <c:ext xmlns:c16="http://schemas.microsoft.com/office/drawing/2014/chart" uri="{C3380CC4-5D6E-409C-BE32-E72D297353CC}">
                <c16:uniqueId val="{00000023-E9B6-4781-ABFB-9E962AFBADF6}"/>
              </c:ext>
            </c:extLst>
          </c:dPt>
          <c:dPt>
            <c:idx val="18"/>
            <c:bubble3D val="0"/>
            <c:spPr>
              <a:solidFill>
                <a:srgbClr val="ECF3FE"/>
              </a:solidFill>
            </c:spPr>
            <c:extLst>
              <c:ext xmlns:c16="http://schemas.microsoft.com/office/drawing/2014/chart" uri="{C3380CC4-5D6E-409C-BE32-E72D297353CC}">
                <c16:uniqueId val="{00000025-E9B6-4781-ABFB-9E962AFBADF6}"/>
              </c:ext>
            </c:extLst>
          </c:dPt>
          <c:dPt>
            <c:idx val="19"/>
            <c:bubble3D val="0"/>
            <c:spPr>
              <a:solidFill>
                <a:srgbClr val="FDECEB"/>
              </a:solidFill>
            </c:spPr>
            <c:extLst>
              <c:ext xmlns:c16="http://schemas.microsoft.com/office/drawing/2014/chart" uri="{C3380CC4-5D6E-409C-BE32-E72D297353CC}">
                <c16:uniqueId val="{00000027-E9B6-4781-ABFB-9E962AFBADF6}"/>
              </c:ext>
            </c:extLst>
          </c:dPt>
          <c:dPt>
            <c:idx val="20"/>
            <c:bubble3D val="0"/>
            <c:spPr>
              <a:solidFill>
                <a:srgbClr val="FFF8E6"/>
              </a:solidFill>
            </c:spPr>
            <c:extLst>
              <c:ext xmlns:c16="http://schemas.microsoft.com/office/drawing/2014/chart" uri="{C3380CC4-5D6E-409C-BE32-E72D297353CC}">
                <c16:uniqueId val="{00000029-E9B6-4781-ABFB-9E962AFBADF6}"/>
              </c:ext>
            </c:extLst>
          </c:dPt>
          <c:dPt>
            <c:idx val="21"/>
            <c:bubble3D val="0"/>
            <c:spPr>
              <a:solidFill>
                <a:srgbClr val="EBF6EE"/>
              </a:solidFill>
            </c:spPr>
            <c:extLst>
              <c:ext xmlns:c16="http://schemas.microsoft.com/office/drawing/2014/chart" uri="{C3380CC4-5D6E-409C-BE32-E72D297353CC}">
                <c16:uniqueId val="{0000002B-E9B6-4781-ABFB-9E962AFBADF6}"/>
              </c:ext>
            </c:extLst>
          </c:dPt>
          <c:dPt>
            <c:idx val="22"/>
            <c:bubble3D val="0"/>
            <c:spPr>
              <a:solidFill>
                <a:srgbClr val="FFF0E6"/>
              </a:solidFill>
            </c:spPr>
            <c:extLst>
              <c:ext xmlns:c16="http://schemas.microsoft.com/office/drawing/2014/chart" uri="{C3380CC4-5D6E-409C-BE32-E72D297353CC}">
                <c16:uniqueId val="{0000002D-E9B6-4781-ABFB-9E962AFBADF6}"/>
              </c:ext>
            </c:extLst>
          </c:dPt>
          <c:cat>
            <c:strRef>
              <c:f>AGOSTO!$R$15:$R$37</c:f>
              <c:strCache>
                <c:ptCount val="23"/>
                <c:pt idx="0">
                  <c:v>Transporte</c:v>
                </c:pt>
                <c:pt idx="1">
                  <c:v>Alimentación</c:v>
                </c:pt>
                <c:pt idx="2">
                  <c:v>Restaurantes</c:v>
                </c:pt>
                <c:pt idx="3">
                  <c:v>Delivery</c:v>
                </c:pt>
                <c:pt idx="4">
                  <c:v>Bares</c:v>
                </c:pt>
                <c:pt idx="5">
                  <c:v>Ropa</c:v>
                </c:pt>
                <c:pt idx="6">
                  <c:v>Belleza</c:v>
                </c:pt>
                <c:pt idx="7">
                  <c:v>Gasolina</c:v>
                </c:pt>
                <c:pt idx="8">
                  <c:v>Hogar</c:v>
                </c:pt>
                <c:pt idx="9">
                  <c:v>Tarjeta de crédito</c:v>
                </c:pt>
                <c:pt idx="10">
                  <c:v>Ocio</c:v>
                </c:pt>
                <c:pt idx="11">
                  <c:v>Pequeñas compras</c:v>
                </c:pt>
                <c:pt idx="12">
                  <c:v>Tasas/Impuestos</c:v>
                </c:pt>
                <c:pt idx="13">
                  <c:v>Viajes/vacaciones</c:v>
                </c:pt>
                <c:pt idx="14">
                  <c:v>Tecnología</c:v>
                </c:pt>
                <c:pt idx="15">
                  <c:v>Reparaciones</c:v>
                </c:pt>
                <c:pt idx="16">
                  <c:v>Salud</c:v>
                </c:pt>
                <c:pt idx="17">
                  <c:v>Higiene</c:v>
                </c:pt>
                <c:pt idx="18">
                  <c:v>Cursos/Fromación/Trabajo</c:v>
                </c:pt>
                <c:pt idx="19">
                  <c:v>Mascotas</c:v>
                </c:pt>
                <c:pt idx="20">
                  <c:v>Familia</c:v>
                </c:pt>
                <c:pt idx="21">
                  <c:v>Otros</c:v>
                </c:pt>
                <c:pt idx="22">
                  <c:v>Préstamos</c:v>
                </c:pt>
              </c:strCache>
            </c:strRef>
          </c:cat>
          <c:val>
            <c:numRef>
              <c:f>AGOSTO!$T$15:$T$37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E9B6-4781-ABFB-9E962AFBA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AGOSTO!$S$7</c:f>
              <c:strCache>
                <c:ptCount val="1"/>
                <c:pt idx="0">
                  <c:v>INGRESOS DISPONIBLES</c:v>
                </c:pt>
              </c:strCache>
            </c:strRef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21F2-4342-A999-B5826C0A0B6B}"/>
              </c:ext>
            </c:extLst>
          </c:dPt>
          <c:val>
            <c:numRef>
              <c:f>AGOSTO!$S$8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1F2-4342-A999-B5826C0A0B6B}"/>
            </c:ext>
          </c:extLst>
        </c:ser>
        <c:ser>
          <c:idx val="1"/>
          <c:order val="1"/>
          <c:tx>
            <c:strRef>
              <c:f>AGOSTO!$T$7</c:f>
              <c:strCache>
                <c:ptCount val="1"/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21F2-4342-A999-B5826C0A0B6B}"/>
              </c:ext>
            </c:extLst>
          </c:dPt>
          <c:val>
            <c:numRef>
              <c:f>AGOSTO!$T$8</c:f>
              <c:numCache>
                <c:formatCode>General</c:formatCode>
                <c:ptCount val="1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1F2-4342-A999-B5826C0A0B6B}"/>
            </c:ext>
          </c:extLst>
        </c:ser>
        <c:ser>
          <c:idx val="2"/>
          <c:order val="2"/>
          <c:tx>
            <c:strRef>
              <c:f>AGOSTO!$U$7</c:f>
              <c:strCache>
                <c:ptCount val="1"/>
                <c:pt idx="0">
                  <c:v>GASTOS</c:v>
                </c:pt>
              </c:strCache>
            </c:strRef>
          </c:tx>
          <c:spPr>
            <a:solidFill>
              <a:srgbClr val="4A86E8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21F2-4342-A999-B5826C0A0B6B}"/>
              </c:ext>
            </c:extLst>
          </c:dPt>
          <c:val>
            <c:numRef>
              <c:f>AGOSTO!$U$8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21F2-4342-A999-B5826C0A0B6B}"/>
            </c:ext>
          </c:extLst>
        </c:ser>
        <c:ser>
          <c:idx val="3"/>
          <c:order val="3"/>
          <c:tx>
            <c:strRef>
              <c:f>AGOSTO!$V$7</c:f>
              <c:strCache>
                <c:ptCount val="1"/>
              </c:strCache>
            </c:strRef>
          </c:tx>
          <c:invertIfNegative val="1"/>
          <c:val>
            <c:numRef>
              <c:f>AGOSTO!$V$8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6-21F2-4342-A999-B5826C0A0B6B}"/>
            </c:ext>
          </c:extLst>
        </c:ser>
        <c:ser>
          <c:idx val="4"/>
          <c:order val="4"/>
          <c:tx>
            <c:strRef>
              <c:f>AGOSTO!$W$7</c:f>
              <c:strCache>
                <c:ptCount val="1"/>
                <c:pt idx="0">
                  <c:v>RESTO</c:v>
                </c:pt>
              </c:strCache>
            </c:strRef>
          </c:tx>
          <c:invertIfNegative val="1"/>
          <c:val>
            <c:numRef>
              <c:f>AGOSTO!$W$8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1F2-4342-A999-B5826C0A0B6B}"/>
            </c:ext>
          </c:extLst>
        </c:ser>
        <c:ser>
          <c:idx val="5"/>
          <c:order val="5"/>
          <c:tx>
            <c:strRef>
              <c:f>AGOSTO!$X$7</c:f>
              <c:strCache>
                <c:ptCount val="1"/>
              </c:strCache>
            </c:strRef>
          </c:tx>
          <c:invertIfNegative val="1"/>
          <c:val>
            <c:numRef>
              <c:f>AGOSTO!$X$8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8-21F2-4342-A999-B5826C0A0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1710525"/>
        <c:axId val="678681087"/>
      </c:barChart>
      <c:catAx>
        <c:axId val="14217105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678681087"/>
        <c:crosses val="autoZero"/>
        <c:auto val="1"/>
        <c:lblAlgn val="ctr"/>
        <c:lblOffset val="100"/>
        <c:noMultiLvlLbl val="1"/>
      </c:catAx>
      <c:valAx>
        <c:axId val="6786810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142171052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1BAB-4B1F-86A2-0A50C7562B2D}"/>
              </c:ext>
            </c:extLst>
          </c:dPt>
          <c:dPt>
            <c:idx val="1"/>
            <c:bubble3D val="0"/>
            <c:spPr>
              <a:solidFill>
                <a:srgbClr val="000000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1BAB-4B1F-86A2-0A50C7562B2D}"/>
              </c:ext>
            </c:extLst>
          </c:dPt>
          <c:val>
            <c:numRef>
              <c:f>CTAS!$F$8:$F$9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AB-4B1F-86A2-0A50C7562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SEPTIEMBRE!$L$14</c:f>
              <c:strCache>
                <c:ptCount val="1"/>
                <c:pt idx="0">
                  <c:v>GASTO ESPERADO</c:v>
                </c:pt>
              </c:strCache>
            </c:strRef>
          </c:tx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8014-4B04-B767-A5DE83B815CD}"/>
              </c:ext>
            </c:extLst>
          </c:dPt>
          <c:val>
            <c:numRef>
              <c:f>SEPTIEMBRE!$M$14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014-4B04-B767-A5DE83B81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0357416"/>
        <c:axId val="70097513"/>
      </c:barChart>
      <c:catAx>
        <c:axId val="162035741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70097513"/>
        <c:crosses val="autoZero"/>
        <c:auto val="1"/>
        <c:lblAlgn val="ctr"/>
        <c:lblOffset val="100"/>
        <c:noMultiLvlLbl val="1"/>
      </c:catAx>
      <c:valAx>
        <c:axId val="7009751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1620357416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SEPTIEMBRE!$G$8</c:f>
              <c:strCache>
                <c:ptCount val="1"/>
                <c:pt idx="0">
                  <c:v>GASTOS</c:v>
                </c:pt>
              </c:strCache>
            </c:strRef>
          </c:tx>
          <c:dPt>
            <c:idx val="0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1-B24C-422A-9946-66F6CB324BA3}"/>
              </c:ext>
            </c:extLst>
          </c:dPt>
          <c:cat>
            <c:strRef>
              <c:f>SEPTIEMBRE!$H$7:$I$7</c:f>
              <c:strCache>
                <c:ptCount val="2"/>
                <c:pt idx="0">
                  <c:v>FIJOS</c:v>
                </c:pt>
                <c:pt idx="1">
                  <c:v>VARIABLES</c:v>
                </c:pt>
              </c:strCache>
            </c:strRef>
          </c:cat>
          <c:val>
            <c:numRef>
              <c:f>SEPTIEMBRE!$H$8:$I$8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4C-422A-9946-66F6CB324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5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SEPTIEMBRE!$X$13:$X$16</c:f>
              <c:strCache>
                <c:ptCount val="4"/>
                <c:pt idx="0">
                  <c:v>Gastos fijos</c:v>
                </c:pt>
                <c:pt idx="1">
                  <c:v>Gastos variables</c:v>
                </c:pt>
                <c:pt idx="2">
                  <c:v>Ahorros</c:v>
                </c:pt>
                <c:pt idx="3">
                  <c:v>Inversión</c:v>
                </c:pt>
              </c:strCache>
            </c:strRef>
          </c:tx>
          <c:dPt>
            <c:idx val="0"/>
            <c:bubble3D val="0"/>
            <c:spPr>
              <a:solidFill>
                <a:srgbClr val="F9CB9C"/>
              </a:solidFill>
            </c:spPr>
            <c:extLst>
              <c:ext xmlns:c16="http://schemas.microsoft.com/office/drawing/2014/chart" uri="{C3380CC4-5D6E-409C-BE32-E72D297353CC}">
                <c16:uniqueId val="{00000001-0F88-4CF0-9952-F5647DF93F85}"/>
              </c:ext>
            </c:extLst>
          </c:dPt>
          <c:dPt>
            <c:idx val="1"/>
            <c:bubble3D val="0"/>
            <c:spPr>
              <a:solidFill>
                <a:srgbClr val="D5A6BD"/>
              </a:solidFill>
            </c:spPr>
            <c:extLst>
              <c:ext xmlns:c16="http://schemas.microsoft.com/office/drawing/2014/chart" uri="{C3380CC4-5D6E-409C-BE32-E72D297353CC}">
                <c16:uniqueId val="{00000003-0F88-4CF0-9952-F5647DF93F85}"/>
              </c:ext>
            </c:extLst>
          </c:dPt>
          <c:dPt>
            <c:idx val="2"/>
            <c:bubble3D val="0"/>
            <c:spPr>
              <a:solidFill>
                <a:srgbClr val="C9DAF8"/>
              </a:solidFill>
            </c:spPr>
            <c:extLst>
              <c:ext xmlns:c16="http://schemas.microsoft.com/office/drawing/2014/chart" uri="{C3380CC4-5D6E-409C-BE32-E72D297353CC}">
                <c16:uniqueId val="{00000005-0F88-4CF0-9952-F5647DF93F85}"/>
              </c:ext>
            </c:extLst>
          </c:dPt>
          <c:dPt>
            <c:idx val="3"/>
            <c:bubble3D val="0"/>
            <c:spPr>
              <a:solidFill>
                <a:srgbClr val="6D9EEB"/>
              </a:solidFill>
            </c:spPr>
            <c:extLst>
              <c:ext xmlns:c16="http://schemas.microsoft.com/office/drawing/2014/chart" uri="{C3380CC4-5D6E-409C-BE32-E72D297353CC}">
                <c16:uniqueId val="{00000007-0F88-4CF0-9952-F5647DF93F85}"/>
              </c:ext>
            </c:extLst>
          </c:dPt>
          <c:val>
            <c:numRef>
              <c:f>SEPTIEMBRE!$Y$13:$Y$16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0F88-4CF0-9952-F5647DF93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D9EAD3"/>
              </a:solidFill>
            </c:spPr>
            <c:extLst>
              <c:ext xmlns:c16="http://schemas.microsoft.com/office/drawing/2014/chart" uri="{C3380CC4-5D6E-409C-BE32-E72D297353CC}">
                <c16:uniqueId val="{00000001-7ADD-443D-831F-E32FAF4BCDAA}"/>
              </c:ext>
            </c:extLst>
          </c:dPt>
          <c:cat>
            <c:numRef>
              <c:f>SEPTIEMBRE!$S$8:$V$8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cat>
          <c:val>
            <c:numRef>
              <c:f>SEPTIEMBRE!$S$8:$V$8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DD-443D-831F-E32FAF4BC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3.3222835494300919E-2"/>
          <c:y val="0.22133175392263477"/>
          <c:w val="0.93093885060474435"/>
          <c:h val="0.7465822588162187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8E34-40FC-AA16-B579F9D285DE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8E34-40FC-AA16-B579F9D285DE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8E34-40FC-AA16-B579F9D285DE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8E34-40FC-AA16-B579F9D285DE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8E34-40FC-AA16-B579F9D285DE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8E34-40FC-AA16-B579F9D285DE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8E34-40FC-AA16-B579F9D285DE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8E34-40FC-AA16-B579F9D285DE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8E34-40FC-AA16-B579F9D285DE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8E34-40FC-AA16-B579F9D285DE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8E34-40FC-AA16-B579F9D285DE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8E34-40FC-AA16-B579F9D285DE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</c:spPr>
            <c:extLst>
              <c:ext xmlns:c16="http://schemas.microsoft.com/office/drawing/2014/chart" uri="{C3380CC4-5D6E-409C-BE32-E72D297353CC}">
                <c16:uniqueId val="{00000019-8E34-40FC-AA16-B579F9D285DE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</c:spPr>
            <c:extLst>
              <c:ext xmlns:c16="http://schemas.microsoft.com/office/drawing/2014/chart" uri="{C3380CC4-5D6E-409C-BE32-E72D297353CC}">
                <c16:uniqueId val="{0000001B-8E34-40FC-AA16-B579F9D285DE}"/>
              </c:ext>
            </c:extLst>
          </c:dPt>
          <c:dPt>
            <c:idx val="14"/>
            <c:bubble3D val="0"/>
            <c:spPr>
              <a:solidFill>
                <a:srgbClr val="FDE49B"/>
              </a:solidFill>
            </c:spPr>
            <c:extLst>
              <c:ext xmlns:c16="http://schemas.microsoft.com/office/drawing/2014/chart" uri="{C3380CC4-5D6E-409C-BE32-E72D297353CC}">
                <c16:uniqueId val="{0000001D-8E34-40FC-AA16-B579F9D285DE}"/>
              </c:ext>
            </c:extLst>
          </c:dPt>
          <c:dPt>
            <c:idx val="15"/>
            <c:bubble3D val="0"/>
            <c:spPr>
              <a:solidFill>
                <a:srgbClr val="AEDCBA"/>
              </a:solidFill>
            </c:spPr>
            <c:extLst>
              <c:ext xmlns:c16="http://schemas.microsoft.com/office/drawing/2014/chart" uri="{C3380CC4-5D6E-409C-BE32-E72D297353CC}">
                <c16:uniqueId val="{0000001F-8E34-40FC-AA16-B579F9D285DE}"/>
              </c:ext>
            </c:extLst>
          </c:dPt>
          <c:dPt>
            <c:idx val="16"/>
            <c:bubble3D val="0"/>
            <c:spPr>
              <a:solidFill>
                <a:srgbClr val="FFC599"/>
              </a:solidFill>
            </c:spPr>
            <c:extLst>
              <c:ext xmlns:c16="http://schemas.microsoft.com/office/drawing/2014/chart" uri="{C3380CC4-5D6E-409C-BE32-E72D297353CC}">
                <c16:uniqueId val="{00000021-8E34-40FC-AA16-B579F9D285DE}"/>
              </c:ext>
            </c:extLst>
          </c:dPt>
          <c:dPt>
            <c:idx val="17"/>
            <c:bubble3D val="0"/>
            <c:spPr>
              <a:solidFill>
                <a:srgbClr val="B5E5E8"/>
              </a:solidFill>
            </c:spPr>
            <c:extLst>
              <c:ext xmlns:c16="http://schemas.microsoft.com/office/drawing/2014/chart" uri="{C3380CC4-5D6E-409C-BE32-E72D297353CC}">
                <c16:uniqueId val="{00000023-8E34-40FC-AA16-B579F9D285DE}"/>
              </c:ext>
            </c:extLst>
          </c:dPt>
          <c:dPt>
            <c:idx val="18"/>
            <c:bubble3D val="0"/>
            <c:spPr>
              <a:solidFill>
                <a:srgbClr val="ECF3FE"/>
              </a:solidFill>
            </c:spPr>
            <c:extLst>
              <c:ext xmlns:c16="http://schemas.microsoft.com/office/drawing/2014/chart" uri="{C3380CC4-5D6E-409C-BE32-E72D297353CC}">
                <c16:uniqueId val="{00000025-8E34-40FC-AA16-B579F9D285DE}"/>
              </c:ext>
            </c:extLst>
          </c:dPt>
          <c:dPt>
            <c:idx val="19"/>
            <c:bubble3D val="0"/>
            <c:spPr>
              <a:solidFill>
                <a:srgbClr val="FDECEB"/>
              </a:solidFill>
            </c:spPr>
            <c:extLst>
              <c:ext xmlns:c16="http://schemas.microsoft.com/office/drawing/2014/chart" uri="{C3380CC4-5D6E-409C-BE32-E72D297353CC}">
                <c16:uniqueId val="{00000027-8E34-40FC-AA16-B579F9D285DE}"/>
              </c:ext>
            </c:extLst>
          </c:dPt>
          <c:dPt>
            <c:idx val="20"/>
            <c:bubble3D val="0"/>
            <c:spPr>
              <a:solidFill>
                <a:srgbClr val="FFF8E6"/>
              </a:solidFill>
            </c:spPr>
            <c:extLst>
              <c:ext xmlns:c16="http://schemas.microsoft.com/office/drawing/2014/chart" uri="{C3380CC4-5D6E-409C-BE32-E72D297353CC}">
                <c16:uniqueId val="{00000029-8E34-40FC-AA16-B579F9D285DE}"/>
              </c:ext>
            </c:extLst>
          </c:dPt>
          <c:dPt>
            <c:idx val="21"/>
            <c:bubble3D val="0"/>
            <c:spPr>
              <a:solidFill>
                <a:srgbClr val="EBF6EE"/>
              </a:solidFill>
            </c:spPr>
            <c:extLst>
              <c:ext xmlns:c16="http://schemas.microsoft.com/office/drawing/2014/chart" uri="{C3380CC4-5D6E-409C-BE32-E72D297353CC}">
                <c16:uniqueId val="{0000002B-8E34-40FC-AA16-B579F9D285DE}"/>
              </c:ext>
            </c:extLst>
          </c:dPt>
          <c:dPt>
            <c:idx val="22"/>
            <c:bubble3D val="0"/>
            <c:spPr>
              <a:solidFill>
                <a:srgbClr val="FFF0E6"/>
              </a:solidFill>
            </c:spPr>
            <c:extLst>
              <c:ext xmlns:c16="http://schemas.microsoft.com/office/drawing/2014/chart" uri="{C3380CC4-5D6E-409C-BE32-E72D297353CC}">
                <c16:uniqueId val="{0000002D-8E34-40FC-AA16-B579F9D285DE}"/>
              </c:ext>
            </c:extLst>
          </c:dPt>
          <c:cat>
            <c:strRef>
              <c:f>SEPTIEMBRE!$R$15:$R$37</c:f>
              <c:strCache>
                <c:ptCount val="23"/>
                <c:pt idx="0">
                  <c:v>Transporte</c:v>
                </c:pt>
                <c:pt idx="1">
                  <c:v>Alimentación</c:v>
                </c:pt>
                <c:pt idx="2">
                  <c:v>Restaurantes</c:v>
                </c:pt>
                <c:pt idx="3">
                  <c:v>Delivery</c:v>
                </c:pt>
                <c:pt idx="4">
                  <c:v>Bares</c:v>
                </c:pt>
                <c:pt idx="5">
                  <c:v>Ropa</c:v>
                </c:pt>
                <c:pt idx="6">
                  <c:v>Belleza</c:v>
                </c:pt>
                <c:pt idx="7">
                  <c:v>Gasolina</c:v>
                </c:pt>
                <c:pt idx="8">
                  <c:v>Hogar</c:v>
                </c:pt>
                <c:pt idx="9">
                  <c:v>Tarjeta de crédito</c:v>
                </c:pt>
                <c:pt idx="10">
                  <c:v>Ocio</c:v>
                </c:pt>
                <c:pt idx="11">
                  <c:v>Pequeñas compras</c:v>
                </c:pt>
                <c:pt idx="12">
                  <c:v>Tasas/Impuestos</c:v>
                </c:pt>
                <c:pt idx="13">
                  <c:v>Viajes/vacaciones</c:v>
                </c:pt>
                <c:pt idx="14">
                  <c:v>Tecnología</c:v>
                </c:pt>
                <c:pt idx="15">
                  <c:v>Reparaciones</c:v>
                </c:pt>
                <c:pt idx="16">
                  <c:v>Salud</c:v>
                </c:pt>
                <c:pt idx="17">
                  <c:v>Higiene</c:v>
                </c:pt>
                <c:pt idx="18">
                  <c:v>Cursos/Fromación/Trabajo</c:v>
                </c:pt>
                <c:pt idx="19">
                  <c:v>Mascotas</c:v>
                </c:pt>
                <c:pt idx="20">
                  <c:v>Familia</c:v>
                </c:pt>
                <c:pt idx="21">
                  <c:v>Otros</c:v>
                </c:pt>
                <c:pt idx="22">
                  <c:v>Préstamos</c:v>
                </c:pt>
              </c:strCache>
            </c:strRef>
          </c:cat>
          <c:val>
            <c:numRef>
              <c:f>SEPTIEMBRE!$T$15:$T$37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8E34-40FC-AA16-B579F9D28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SEPTIEMBRE!$S$7</c:f>
              <c:strCache>
                <c:ptCount val="1"/>
                <c:pt idx="0">
                  <c:v>INGRESOS DISPONIBLES</c:v>
                </c:pt>
              </c:strCache>
            </c:strRef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FD37-45F1-9695-68659E65FFEF}"/>
              </c:ext>
            </c:extLst>
          </c:dPt>
          <c:val>
            <c:numRef>
              <c:f>SEPTIEMBRE!$S$8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D37-45F1-9695-68659E65FFEF}"/>
            </c:ext>
          </c:extLst>
        </c:ser>
        <c:ser>
          <c:idx val="1"/>
          <c:order val="1"/>
          <c:tx>
            <c:strRef>
              <c:f>SEPTIEMBRE!$T$7</c:f>
              <c:strCache>
                <c:ptCount val="1"/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FD37-45F1-9695-68659E65FFEF}"/>
              </c:ext>
            </c:extLst>
          </c:dPt>
          <c:val>
            <c:numRef>
              <c:f>SEPTIEMBRE!$T$8</c:f>
              <c:numCache>
                <c:formatCode>General</c:formatCode>
                <c:ptCount val="1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FD37-45F1-9695-68659E65FFEF}"/>
            </c:ext>
          </c:extLst>
        </c:ser>
        <c:ser>
          <c:idx val="2"/>
          <c:order val="2"/>
          <c:tx>
            <c:strRef>
              <c:f>SEPTIEMBRE!$U$7</c:f>
              <c:strCache>
                <c:ptCount val="1"/>
                <c:pt idx="0">
                  <c:v>GASTOS</c:v>
                </c:pt>
              </c:strCache>
            </c:strRef>
          </c:tx>
          <c:spPr>
            <a:solidFill>
              <a:srgbClr val="4A86E8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FD37-45F1-9695-68659E65FFEF}"/>
              </c:ext>
            </c:extLst>
          </c:dPt>
          <c:val>
            <c:numRef>
              <c:f>SEPTIEMBRE!$U$8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FD37-45F1-9695-68659E65FFEF}"/>
            </c:ext>
          </c:extLst>
        </c:ser>
        <c:ser>
          <c:idx val="3"/>
          <c:order val="3"/>
          <c:tx>
            <c:strRef>
              <c:f>SEPTIEMBRE!$V$7</c:f>
              <c:strCache>
                <c:ptCount val="1"/>
              </c:strCache>
            </c:strRef>
          </c:tx>
          <c:invertIfNegative val="1"/>
          <c:val>
            <c:numRef>
              <c:f>SEPTIEMBRE!$V$8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6-FD37-45F1-9695-68659E65FFEF}"/>
            </c:ext>
          </c:extLst>
        </c:ser>
        <c:ser>
          <c:idx val="4"/>
          <c:order val="4"/>
          <c:tx>
            <c:strRef>
              <c:f>SEPTIEMBRE!$W$7</c:f>
              <c:strCache>
                <c:ptCount val="1"/>
                <c:pt idx="0">
                  <c:v>RESTO</c:v>
                </c:pt>
              </c:strCache>
            </c:strRef>
          </c:tx>
          <c:invertIfNegative val="1"/>
          <c:val>
            <c:numRef>
              <c:f>SEPTIEMBRE!$W$8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D37-45F1-9695-68659E65FFEF}"/>
            </c:ext>
          </c:extLst>
        </c:ser>
        <c:ser>
          <c:idx val="5"/>
          <c:order val="5"/>
          <c:tx>
            <c:strRef>
              <c:f>SEPTIEMBRE!$X$7</c:f>
              <c:strCache>
                <c:ptCount val="1"/>
              </c:strCache>
            </c:strRef>
          </c:tx>
          <c:invertIfNegative val="1"/>
          <c:val>
            <c:numRef>
              <c:f>SEPTIEMBRE!$X$8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8-FD37-45F1-9695-68659E65F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056377"/>
        <c:axId val="1898740758"/>
      </c:barChart>
      <c:catAx>
        <c:axId val="1260563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1898740758"/>
        <c:crosses val="autoZero"/>
        <c:auto val="1"/>
        <c:lblAlgn val="ctr"/>
        <c:lblOffset val="100"/>
        <c:noMultiLvlLbl val="1"/>
      </c:catAx>
      <c:valAx>
        <c:axId val="18987407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12605637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CAF0-48A5-BE0F-69C18E8D3785}"/>
              </c:ext>
            </c:extLst>
          </c:dPt>
          <c:dPt>
            <c:idx val="1"/>
            <c:bubble3D val="0"/>
            <c:spPr>
              <a:solidFill>
                <a:srgbClr val="000000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CAF0-48A5-BE0F-69C18E8D3785}"/>
              </c:ext>
            </c:extLst>
          </c:dPt>
          <c:val>
            <c:numRef>
              <c:f>CTAS!$H$8:$H$9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F0-48A5-BE0F-69C18E8D3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OCTUBRE!$L$14</c:f>
              <c:strCache>
                <c:ptCount val="1"/>
                <c:pt idx="0">
                  <c:v>GASTO ESPERADO</c:v>
                </c:pt>
              </c:strCache>
            </c:strRef>
          </c:tx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709F-4281-AD7E-097A2895C8BF}"/>
              </c:ext>
            </c:extLst>
          </c:dPt>
          <c:val>
            <c:numRef>
              <c:f>OCTUBRE!$M$14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09F-4281-AD7E-097A2895C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0423409"/>
        <c:axId val="1803371754"/>
      </c:barChart>
      <c:catAx>
        <c:axId val="195042340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1803371754"/>
        <c:crosses val="autoZero"/>
        <c:auto val="1"/>
        <c:lblAlgn val="ctr"/>
        <c:lblOffset val="100"/>
        <c:noMultiLvlLbl val="1"/>
      </c:catAx>
      <c:valAx>
        <c:axId val="18033717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1950423409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OCTUBRE!$G$8</c:f>
              <c:strCache>
                <c:ptCount val="1"/>
                <c:pt idx="0">
                  <c:v>GASTOS</c:v>
                </c:pt>
              </c:strCache>
            </c:strRef>
          </c:tx>
          <c:dPt>
            <c:idx val="0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1-948C-4AA5-B8DD-6FEEB62BC99C}"/>
              </c:ext>
            </c:extLst>
          </c:dPt>
          <c:cat>
            <c:strRef>
              <c:f>OCTUBRE!$H$7:$I$7</c:f>
              <c:strCache>
                <c:ptCount val="2"/>
                <c:pt idx="0">
                  <c:v>FIJOS</c:v>
                </c:pt>
                <c:pt idx="1">
                  <c:v>VARIABLES</c:v>
                </c:pt>
              </c:strCache>
            </c:strRef>
          </c:cat>
          <c:val>
            <c:numRef>
              <c:f>OCTUBRE!$H$8:$I$8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8C-4AA5-B8DD-6FEEB62BC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5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OCTUBRE!$X$13:$X$16</c:f>
              <c:strCache>
                <c:ptCount val="4"/>
                <c:pt idx="0">
                  <c:v>Gastos fijos</c:v>
                </c:pt>
                <c:pt idx="1">
                  <c:v>Gastos variables</c:v>
                </c:pt>
                <c:pt idx="2">
                  <c:v>Ahorros</c:v>
                </c:pt>
                <c:pt idx="3">
                  <c:v>Inversión</c:v>
                </c:pt>
              </c:strCache>
            </c:strRef>
          </c:tx>
          <c:dPt>
            <c:idx val="0"/>
            <c:bubble3D val="0"/>
            <c:spPr>
              <a:solidFill>
                <a:srgbClr val="F9CB9C"/>
              </a:solidFill>
            </c:spPr>
            <c:extLst>
              <c:ext xmlns:c16="http://schemas.microsoft.com/office/drawing/2014/chart" uri="{C3380CC4-5D6E-409C-BE32-E72D297353CC}">
                <c16:uniqueId val="{00000001-58DC-44C4-9E9E-7FEECB1ED272}"/>
              </c:ext>
            </c:extLst>
          </c:dPt>
          <c:dPt>
            <c:idx val="1"/>
            <c:bubble3D val="0"/>
            <c:spPr>
              <a:solidFill>
                <a:srgbClr val="D5A6BD"/>
              </a:solidFill>
            </c:spPr>
            <c:extLst>
              <c:ext xmlns:c16="http://schemas.microsoft.com/office/drawing/2014/chart" uri="{C3380CC4-5D6E-409C-BE32-E72D297353CC}">
                <c16:uniqueId val="{00000003-58DC-44C4-9E9E-7FEECB1ED272}"/>
              </c:ext>
            </c:extLst>
          </c:dPt>
          <c:dPt>
            <c:idx val="2"/>
            <c:bubble3D val="0"/>
            <c:spPr>
              <a:solidFill>
                <a:srgbClr val="C9DAF8"/>
              </a:solidFill>
            </c:spPr>
            <c:extLst>
              <c:ext xmlns:c16="http://schemas.microsoft.com/office/drawing/2014/chart" uri="{C3380CC4-5D6E-409C-BE32-E72D297353CC}">
                <c16:uniqueId val="{00000005-58DC-44C4-9E9E-7FEECB1ED272}"/>
              </c:ext>
            </c:extLst>
          </c:dPt>
          <c:dPt>
            <c:idx val="3"/>
            <c:bubble3D val="0"/>
            <c:spPr>
              <a:solidFill>
                <a:srgbClr val="6D9EEB"/>
              </a:solidFill>
            </c:spPr>
            <c:extLst>
              <c:ext xmlns:c16="http://schemas.microsoft.com/office/drawing/2014/chart" uri="{C3380CC4-5D6E-409C-BE32-E72D297353CC}">
                <c16:uniqueId val="{00000007-58DC-44C4-9E9E-7FEECB1ED272}"/>
              </c:ext>
            </c:extLst>
          </c:dPt>
          <c:val>
            <c:numRef>
              <c:f>OCTUBRE!$Y$13:$Y$16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58DC-44C4-9E9E-7FEECB1ED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D9EAD3"/>
              </a:solidFill>
            </c:spPr>
            <c:extLst>
              <c:ext xmlns:c16="http://schemas.microsoft.com/office/drawing/2014/chart" uri="{C3380CC4-5D6E-409C-BE32-E72D297353CC}">
                <c16:uniqueId val="{00000001-88DF-448C-BFF5-43B1FFA3C6F2}"/>
              </c:ext>
            </c:extLst>
          </c:dPt>
          <c:cat>
            <c:numRef>
              <c:f>OCTUBRE!$S$8:$V$8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cat>
          <c:val>
            <c:numRef>
              <c:f>OCTUBRE!$S$8:$V$8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DF-448C-BFF5-43B1FFA3C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3.3222835494300919E-2"/>
          <c:y val="0.22133175392263477"/>
          <c:w val="0.93093885060474435"/>
          <c:h val="0.7465822588162187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6BE9-42AD-A50F-96E189DD6E69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6BE9-42AD-A50F-96E189DD6E69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6BE9-42AD-A50F-96E189DD6E69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6BE9-42AD-A50F-96E189DD6E69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6BE9-42AD-A50F-96E189DD6E69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6BE9-42AD-A50F-96E189DD6E69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6BE9-42AD-A50F-96E189DD6E69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6BE9-42AD-A50F-96E189DD6E69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6BE9-42AD-A50F-96E189DD6E69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6BE9-42AD-A50F-96E189DD6E69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6BE9-42AD-A50F-96E189DD6E69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6BE9-42AD-A50F-96E189DD6E69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</c:spPr>
            <c:extLst>
              <c:ext xmlns:c16="http://schemas.microsoft.com/office/drawing/2014/chart" uri="{C3380CC4-5D6E-409C-BE32-E72D297353CC}">
                <c16:uniqueId val="{00000019-6BE9-42AD-A50F-96E189DD6E69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</c:spPr>
            <c:extLst>
              <c:ext xmlns:c16="http://schemas.microsoft.com/office/drawing/2014/chart" uri="{C3380CC4-5D6E-409C-BE32-E72D297353CC}">
                <c16:uniqueId val="{0000001B-6BE9-42AD-A50F-96E189DD6E69}"/>
              </c:ext>
            </c:extLst>
          </c:dPt>
          <c:dPt>
            <c:idx val="14"/>
            <c:bubble3D val="0"/>
            <c:spPr>
              <a:solidFill>
                <a:srgbClr val="FDE49B"/>
              </a:solidFill>
            </c:spPr>
            <c:extLst>
              <c:ext xmlns:c16="http://schemas.microsoft.com/office/drawing/2014/chart" uri="{C3380CC4-5D6E-409C-BE32-E72D297353CC}">
                <c16:uniqueId val="{0000001D-6BE9-42AD-A50F-96E189DD6E69}"/>
              </c:ext>
            </c:extLst>
          </c:dPt>
          <c:dPt>
            <c:idx val="15"/>
            <c:bubble3D val="0"/>
            <c:spPr>
              <a:solidFill>
                <a:srgbClr val="AEDCBA"/>
              </a:solidFill>
            </c:spPr>
            <c:extLst>
              <c:ext xmlns:c16="http://schemas.microsoft.com/office/drawing/2014/chart" uri="{C3380CC4-5D6E-409C-BE32-E72D297353CC}">
                <c16:uniqueId val="{0000001F-6BE9-42AD-A50F-96E189DD6E69}"/>
              </c:ext>
            </c:extLst>
          </c:dPt>
          <c:dPt>
            <c:idx val="16"/>
            <c:bubble3D val="0"/>
            <c:spPr>
              <a:solidFill>
                <a:srgbClr val="FFC599"/>
              </a:solidFill>
            </c:spPr>
            <c:extLst>
              <c:ext xmlns:c16="http://schemas.microsoft.com/office/drawing/2014/chart" uri="{C3380CC4-5D6E-409C-BE32-E72D297353CC}">
                <c16:uniqueId val="{00000021-6BE9-42AD-A50F-96E189DD6E69}"/>
              </c:ext>
            </c:extLst>
          </c:dPt>
          <c:dPt>
            <c:idx val="17"/>
            <c:bubble3D val="0"/>
            <c:spPr>
              <a:solidFill>
                <a:srgbClr val="B5E5E8"/>
              </a:solidFill>
            </c:spPr>
            <c:extLst>
              <c:ext xmlns:c16="http://schemas.microsoft.com/office/drawing/2014/chart" uri="{C3380CC4-5D6E-409C-BE32-E72D297353CC}">
                <c16:uniqueId val="{00000023-6BE9-42AD-A50F-96E189DD6E69}"/>
              </c:ext>
            </c:extLst>
          </c:dPt>
          <c:dPt>
            <c:idx val="18"/>
            <c:bubble3D val="0"/>
            <c:spPr>
              <a:solidFill>
                <a:srgbClr val="ECF3FE"/>
              </a:solidFill>
            </c:spPr>
            <c:extLst>
              <c:ext xmlns:c16="http://schemas.microsoft.com/office/drawing/2014/chart" uri="{C3380CC4-5D6E-409C-BE32-E72D297353CC}">
                <c16:uniqueId val="{00000025-6BE9-42AD-A50F-96E189DD6E69}"/>
              </c:ext>
            </c:extLst>
          </c:dPt>
          <c:dPt>
            <c:idx val="19"/>
            <c:bubble3D val="0"/>
            <c:spPr>
              <a:solidFill>
                <a:srgbClr val="FDECEB"/>
              </a:solidFill>
            </c:spPr>
            <c:extLst>
              <c:ext xmlns:c16="http://schemas.microsoft.com/office/drawing/2014/chart" uri="{C3380CC4-5D6E-409C-BE32-E72D297353CC}">
                <c16:uniqueId val="{00000027-6BE9-42AD-A50F-96E189DD6E69}"/>
              </c:ext>
            </c:extLst>
          </c:dPt>
          <c:dPt>
            <c:idx val="20"/>
            <c:bubble3D val="0"/>
            <c:spPr>
              <a:solidFill>
                <a:srgbClr val="FFF8E6"/>
              </a:solidFill>
            </c:spPr>
            <c:extLst>
              <c:ext xmlns:c16="http://schemas.microsoft.com/office/drawing/2014/chart" uri="{C3380CC4-5D6E-409C-BE32-E72D297353CC}">
                <c16:uniqueId val="{00000029-6BE9-42AD-A50F-96E189DD6E69}"/>
              </c:ext>
            </c:extLst>
          </c:dPt>
          <c:dPt>
            <c:idx val="21"/>
            <c:bubble3D val="0"/>
            <c:spPr>
              <a:solidFill>
                <a:srgbClr val="EBF6EE"/>
              </a:solidFill>
            </c:spPr>
            <c:extLst>
              <c:ext xmlns:c16="http://schemas.microsoft.com/office/drawing/2014/chart" uri="{C3380CC4-5D6E-409C-BE32-E72D297353CC}">
                <c16:uniqueId val="{0000002B-6BE9-42AD-A50F-96E189DD6E69}"/>
              </c:ext>
            </c:extLst>
          </c:dPt>
          <c:dPt>
            <c:idx val="22"/>
            <c:bubble3D val="0"/>
            <c:spPr>
              <a:solidFill>
                <a:srgbClr val="FFF0E6"/>
              </a:solidFill>
            </c:spPr>
            <c:extLst>
              <c:ext xmlns:c16="http://schemas.microsoft.com/office/drawing/2014/chart" uri="{C3380CC4-5D6E-409C-BE32-E72D297353CC}">
                <c16:uniqueId val="{0000002D-6BE9-42AD-A50F-96E189DD6E69}"/>
              </c:ext>
            </c:extLst>
          </c:dPt>
          <c:cat>
            <c:strRef>
              <c:f>OCTUBRE!$R$15:$R$37</c:f>
              <c:strCache>
                <c:ptCount val="23"/>
                <c:pt idx="0">
                  <c:v>Transporte</c:v>
                </c:pt>
                <c:pt idx="1">
                  <c:v>Alimentación</c:v>
                </c:pt>
                <c:pt idx="2">
                  <c:v>Restaurantes</c:v>
                </c:pt>
                <c:pt idx="3">
                  <c:v>Delivery</c:v>
                </c:pt>
                <c:pt idx="4">
                  <c:v>Bares</c:v>
                </c:pt>
                <c:pt idx="5">
                  <c:v>Ropa</c:v>
                </c:pt>
                <c:pt idx="6">
                  <c:v>Belleza</c:v>
                </c:pt>
                <c:pt idx="7">
                  <c:v>Gasolina</c:v>
                </c:pt>
                <c:pt idx="8">
                  <c:v>Hogar</c:v>
                </c:pt>
                <c:pt idx="9">
                  <c:v>Tarjeta de crédito</c:v>
                </c:pt>
                <c:pt idx="10">
                  <c:v>Ocio</c:v>
                </c:pt>
                <c:pt idx="11">
                  <c:v>Pequeñas compras</c:v>
                </c:pt>
                <c:pt idx="12">
                  <c:v>Tasas/Impuestos</c:v>
                </c:pt>
                <c:pt idx="13">
                  <c:v>Viajes/vacaciones</c:v>
                </c:pt>
                <c:pt idx="14">
                  <c:v>Tecnología</c:v>
                </c:pt>
                <c:pt idx="15">
                  <c:v>Reparaciones</c:v>
                </c:pt>
                <c:pt idx="16">
                  <c:v>Salud</c:v>
                </c:pt>
                <c:pt idx="17">
                  <c:v>Higiene</c:v>
                </c:pt>
                <c:pt idx="18">
                  <c:v>Cursos/Fromación/Trabajo</c:v>
                </c:pt>
                <c:pt idx="19">
                  <c:v>Mascotas</c:v>
                </c:pt>
                <c:pt idx="20">
                  <c:v>Familia</c:v>
                </c:pt>
                <c:pt idx="21">
                  <c:v>Otros</c:v>
                </c:pt>
                <c:pt idx="22">
                  <c:v>Préstamos</c:v>
                </c:pt>
              </c:strCache>
            </c:strRef>
          </c:cat>
          <c:val>
            <c:numRef>
              <c:f>OCTUBRE!$T$15:$T$37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6BE9-42AD-A50F-96E189DD6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OCTUBRE!$S$7</c:f>
              <c:strCache>
                <c:ptCount val="1"/>
                <c:pt idx="0">
                  <c:v>INGRESOS DISPONIBLES</c:v>
                </c:pt>
              </c:strCache>
            </c:strRef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DE61-4115-A1CC-FF5D5E300403}"/>
              </c:ext>
            </c:extLst>
          </c:dPt>
          <c:val>
            <c:numRef>
              <c:f>OCTUBRE!$S$8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E61-4115-A1CC-FF5D5E300403}"/>
            </c:ext>
          </c:extLst>
        </c:ser>
        <c:ser>
          <c:idx val="1"/>
          <c:order val="1"/>
          <c:tx>
            <c:strRef>
              <c:f>OCTUBRE!$T$7</c:f>
              <c:strCache>
                <c:ptCount val="1"/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DE61-4115-A1CC-FF5D5E300403}"/>
              </c:ext>
            </c:extLst>
          </c:dPt>
          <c:val>
            <c:numRef>
              <c:f>OCTUBRE!$T$8</c:f>
              <c:numCache>
                <c:formatCode>General</c:formatCode>
                <c:ptCount val="1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DE61-4115-A1CC-FF5D5E300403}"/>
            </c:ext>
          </c:extLst>
        </c:ser>
        <c:ser>
          <c:idx val="2"/>
          <c:order val="2"/>
          <c:tx>
            <c:strRef>
              <c:f>OCTUBRE!$U$7</c:f>
              <c:strCache>
                <c:ptCount val="1"/>
                <c:pt idx="0">
                  <c:v>GASTOS</c:v>
                </c:pt>
              </c:strCache>
            </c:strRef>
          </c:tx>
          <c:spPr>
            <a:solidFill>
              <a:srgbClr val="4A86E8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DE61-4115-A1CC-FF5D5E300403}"/>
              </c:ext>
            </c:extLst>
          </c:dPt>
          <c:val>
            <c:numRef>
              <c:f>OCTUBRE!$U$8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DE61-4115-A1CC-FF5D5E300403}"/>
            </c:ext>
          </c:extLst>
        </c:ser>
        <c:ser>
          <c:idx val="3"/>
          <c:order val="3"/>
          <c:tx>
            <c:strRef>
              <c:f>OCTUBRE!$V$7</c:f>
              <c:strCache>
                <c:ptCount val="1"/>
              </c:strCache>
            </c:strRef>
          </c:tx>
          <c:invertIfNegative val="1"/>
          <c:val>
            <c:numRef>
              <c:f>OCTUBRE!$V$8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6-DE61-4115-A1CC-FF5D5E300403}"/>
            </c:ext>
          </c:extLst>
        </c:ser>
        <c:ser>
          <c:idx val="4"/>
          <c:order val="4"/>
          <c:tx>
            <c:strRef>
              <c:f>OCTUBRE!$W$7</c:f>
              <c:strCache>
                <c:ptCount val="1"/>
                <c:pt idx="0">
                  <c:v>RESTO</c:v>
                </c:pt>
              </c:strCache>
            </c:strRef>
          </c:tx>
          <c:invertIfNegative val="1"/>
          <c:val>
            <c:numRef>
              <c:f>OCTUBRE!$W$8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E61-4115-A1CC-FF5D5E300403}"/>
            </c:ext>
          </c:extLst>
        </c:ser>
        <c:ser>
          <c:idx val="5"/>
          <c:order val="5"/>
          <c:tx>
            <c:strRef>
              <c:f>OCTUBRE!$X$7</c:f>
              <c:strCache>
                <c:ptCount val="1"/>
              </c:strCache>
            </c:strRef>
          </c:tx>
          <c:invertIfNegative val="1"/>
          <c:val>
            <c:numRef>
              <c:f>OCTUBRE!$X$8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8-DE61-4115-A1CC-FF5D5E300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6968634"/>
        <c:axId val="332172574"/>
      </c:barChart>
      <c:catAx>
        <c:axId val="6869686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332172574"/>
        <c:crosses val="autoZero"/>
        <c:auto val="1"/>
        <c:lblAlgn val="ctr"/>
        <c:lblOffset val="100"/>
        <c:noMultiLvlLbl val="1"/>
      </c:catAx>
      <c:valAx>
        <c:axId val="3321725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68696863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067E-4325-8E19-FADA86C0012A}"/>
              </c:ext>
            </c:extLst>
          </c:dPt>
          <c:dPt>
            <c:idx val="1"/>
            <c:bubble3D val="0"/>
            <c:spPr>
              <a:solidFill>
                <a:srgbClr val="000000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067E-4325-8E19-FADA86C0012A}"/>
              </c:ext>
            </c:extLst>
          </c:dPt>
          <c:val>
            <c:numRef>
              <c:f>CTAS!$J$8:$J$9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7E-4325-8E19-FADA86C00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NOVIEMBRE!$L$14</c:f>
              <c:strCache>
                <c:ptCount val="1"/>
                <c:pt idx="0">
                  <c:v>GASTO ESPERADO</c:v>
                </c:pt>
              </c:strCache>
            </c:strRef>
          </c:tx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A803-46CC-88C1-8FE2B1634372}"/>
              </c:ext>
            </c:extLst>
          </c:dPt>
          <c:val>
            <c:numRef>
              <c:f>NOVIEMBRE!$M$14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803-46CC-88C1-8FE2B1634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9527851"/>
        <c:axId val="1691986863"/>
      </c:barChart>
      <c:catAx>
        <c:axId val="109952785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1691986863"/>
        <c:crosses val="autoZero"/>
        <c:auto val="1"/>
        <c:lblAlgn val="ctr"/>
        <c:lblOffset val="100"/>
        <c:noMultiLvlLbl val="1"/>
      </c:catAx>
      <c:valAx>
        <c:axId val="169198686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1099527851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NOVIEMBRE!$G$8</c:f>
              <c:strCache>
                <c:ptCount val="1"/>
                <c:pt idx="0">
                  <c:v>GASTOS</c:v>
                </c:pt>
              </c:strCache>
            </c:strRef>
          </c:tx>
          <c:dPt>
            <c:idx val="0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1-E70B-405A-994E-C5A0F8301361}"/>
              </c:ext>
            </c:extLst>
          </c:dPt>
          <c:cat>
            <c:strRef>
              <c:f>NOVIEMBRE!$H$7:$I$7</c:f>
              <c:strCache>
                <c:ptCount val="2"/>
                <c:pt idx="0">
                  <c:v>FIJOS</c:v>
                </c:pt>
                <c:pt idx="1">
                  <c:v>VARIABLES</c:v>
                </c:pt>
              </c:strCache>
            </c:strRef>
          </c:cat>
          <c:val>
            <c:numRef>
              <c:f>NOVIEMBRE!$H$8:$I$8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0B-405A-994E-C5A0F8301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5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NOVIEMBRE!$X$13:$X$16</c:f>
              <c:strCache>
                <c:ptCount val="4"/>
                <c:pt idx="0">
                  <c:v>Gastos fijos</c:v>
                </c:pt>
                <c:pt idx="1">
                  <c:v>Gastos variables</c:v>
                </c:pt>
                <c:pt idx="2">
                  <c:v>Ahorros</c:v>
                </c:pt>
                <c:pt idx="3">
                  <c:v>Inversión</c:v>
                </c:pt>
              </c:strCache>
            </c:strRef>
          </c:tx>
          <c:dPt>
            <c:idx val="0"/>
            <c:bubble3D val="0"/>
            <c:spPr>
              <a:solidFill>
                <a:srgbClr val="F9CB9C"/>
              </a:solidFill>
            </c:spPr>
            <c:extLst>
              <c:ext xmlns:c16="http://schemas.microsoft.com/office/drawing/2014/chart" uri="{C3380CC4-5D6E-409C-BE32-E72D297353CC}">
                <c16:uniqueId val="{00000001-AF21-48F6-8207-1B5AE806FD85}"/>
              </c:ext>
            </c:extLst>
          </c:dPt>
          <c:dPt>
            <c:idx val="1"/>
            <c:bubble3D val="0"/>
            <c:spPr>
              <a:solidFill>
                <a:srgbClr val="D5A6BD"/>
              </a:solidFill>
            </c:spPr>
            <c:extLst>
              <c:ext xmlns:c16="http://schemas.microsoft.com/office/drawing/2014/chart" uri="{C3380CC4-5D6E-409C-BE32-E72D297353CC}">
                <c16:uniqueId val="{00000003-AF21-48F6-8207-1B5AE806FD85}"/>
              </c:ext>
            </c:extLst>
          </c:dPt>
          <c:dPt>
            <c:idx val="2"/>
            <c:bubble3D val="0"/>
            <c:spPr>
              <a:solidFill>
                <a:srgbClr val="C9DAF8"/>
              </a:solidFill>
            </c:spPr>
            <c:extLst>
              <c:ext xmlns:c16="http://schemas.microsoft.com/office/drawing/2014/chart" uri="{C3380CC4-5D6E-409C-BE32-E72D297353CC}">
                <c16:uniqueId val="{00000005-AF21-48F6-8207-1B5AE806FD85}"/>
              </c:ext>
            </c:extLst>
          </c:dPt>
          <c:dPt>
            <c:idx val="3"/>
            <c:bubble3D val="0"/>
            <c:spPr>
              <a:solidFill>
                <a:srgbClr val="6D9EEB"/>
              </a:solidFill>
            </c:spPr>
            <c:extLst>
              <c:ext xmlns:c16="http://schemas.microsoft.com/office/drawing/2014/chart" uri="{C3380CC4-5D6E-409C-BE32-E72D297353CC}">
                <c16:uniqueId val="{00000007-AF21-48F6-8207-1B5AE806FD85}"/>
              </c:ext>
            </c:extLst>
          </c:dPt>
          <c:val>
            <c:numRef>
              <c:f>NOVIEMBRE!$Y$13:$Y$16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AF21-48F6-8207-1B5AE806F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D9EAD3"/>
              </a:solidFill>
            </c:spPr>
            <c:extLst>
              <c:ext xmlns:c16="http://schemas.microsoft.com/office/drawing/2014/chart" uri="{C3380CC4-5D6E-409C-BE32-E72D297353CC}">
                <c16:uniqueId val="{00000001-5BB5-4698-BCB3-99AF32DACBF7}"/>
              </c:ext>
            </c:extLst>
          </c:dPt>
          <c:cat>
            <c:numRef>
              <c:f>NOVIEMBRE!$S$8:$V$8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cat>
          <c:val>
            <c:numRef>
              <c:f>NOVIEMBRE!$S$8:$V$8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B5-4698-BCB3-99AF32DAC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3.3222835494300919E-2"/>
          <c:y val="0.22133175392263477"/>
          <c:w val="0.93093885060474435"/>
          <c:h val="0.7465822588162187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D16C-4A01-A361-27557E1C603E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D16C-4A01-A361-27557E1C603E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D16C-4A01-A361-27557E1C603E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D16C-4A01-A361-27557E1C603E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D16C-4A01-A361-27557E1C603E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D16C-4A01-A361-27557E1C603E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D16C-4A01-A361-27557E1C603E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D16C-4A01-A361-27557E1C603E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D16C-4A01-A361-27557E1C603E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D16C-4A01-A361-27557E1C603E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D16C-4A01-A361-27557E1C603E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D16C-4A01-A361-27557E1C603E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</c:spPr>
            <c:extLst>
              <c:ext xmlns:c16="http://schemas.microsoft.com/office/drawing/2014/chart" uri="{C3380CC4-5D6E-409C-BE32-E72D297353CC}">
                <c16:uniqueId val="{00000019-D16C-4A01-A361-27557E1C603E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</c:spPr>
            <c:extLst>
              <c:ext xmlns:c16="http://schemas.microsoft.com/office/drawing/2014/chart" uri="{C3380CC4-5D6E-409C-BE32-E72D297353CC}">
                <c16:uniqueId val="{0000001B-D16C-4A01-A361-27557E1C603E}"/>
              </c:ext>
            </c:extLst>
          </c:dPt>
          <c:dPt>
            <c:idx val="14"/>
            <c:bubble3D val="0"/>
            <c:spPr>
              <a:solidFill>
                <a:srgbClr val="FDE49B"/>
              </a:solidFill>
            </c:spPr>
            <c:extLst>
              <c:ext xmlns:c16="http://schemas.microsoft.com/office/drawing/2014/chart" uri="{C3380CC4-5D6E-409C-BE32-E72D297353CC}">
                <c16:uniqueId val="{0000001D-D16C-4A01-A361-27557E1C603E}"/>
              </c:ext>
            </c:extLst>
          </c:dPt>
          <c:dPt>
            <c:idx val="15"/>
            <c:bubble3D val="0"/>
            <c:spPr>
              <a:solidFill>
                <a:srgbClr val="AEDCBA"/>
              </a:solidFill>
            </c:spPr>
            <c:extLst>
              <c:ext xmlns:c16="http://schemas.microsoft.com/office/drawing/2014/chart" uri="{C3380CC4-5D6E-409C-BE32-E72D297353CC}">
                <c16:uniqueId val="{0000001F-D16C-4A01-A361-27557E1C603E}"/>
              </c:ext>
            </c:extLst>
          </c:dPt>
          <c:dPt>
            <c:idx val="16"/>
            <c:bubble3D val="0"/>
            <c:spPr>
              <a:solidFill>
                <a:srgbClr val="FFC599"/>
              </a:solidFill>
            </c:spPr>
            <c:extLst>
              <c:ext xmlns:c16="http://schemas.microsoft.com/office/drawing/2014/chart" uri="{C3380CC4-5D6E-409C-BE32-E72D297353CC}">
                <c16:uniqueId val="{00000021-D16C-4A01-A361-27557E1C603E}"/>
              </c:ext>
            </c:extLst>
          </c:dPt>
          <c:dPt>
            <c:idx val="17"/>
            <c:bubble3D val="0"/>
            <c:spPr>
              <a:solidFill>
                <a:srgbClr val="B5E5E8"/>
              </a:solidFill>
            </c:spPr>
            <c:extLst>
              <c:ext xmlns:c16="http://schemas.microsoft.com/office/drawing/2014/chart" uri="{C3380CC4-5D6E-409C-BE32-E72D297353CC}">
                <c16:uniqueId val="{00000023-D16C-4A01-A361-27557E1C603E}"/>
              </c:ext>
            </c:extLst>
          </c:dPt>
          <c:dPt>
            <c:idx val="18"/>
            <c:bubble3D val="0"/>
            <c:spPr>
              <a:solidFill>
                <a:srgbClr val="ECF3FE"/>
              </a:solidFill>
            </c:spPr>
            <c:extLst>
              <c:ext xmlns:c16="http://schemas.microsoft.com/office/drawing/2014/chart" uri="{C3380CC4-5D6E-409C-BE32-E72D297353CC}">
                <c16:uniqueId val="{00000025-D16C-4A01-A361-27557E1C603E}"/>
              </c:ext>
            </c:extLst>
          </c:dPt>
          <c:dPt>
            <c:idx val="19"/>
            <c:bubble3D val="0"/>
            <c:spPr>
              <a:solidFill>
                <a:srgbClr val="FDECEB"/>
              </a:solidFill>
            </c:spPr>
            <c:extLst>
              <c:ext xmlns:c16="http://schemas.microsoft.com/office/drawing/2014/chart" uri="{C3380CC4-5D6E-409C-BE32-E72D297353CC}">
                <c16:uniqueId val="{00000027-D16C-4A01-A361-27557E1C603E}"/>
              </c:ext>
            </c:extLst>
          </c:dPt>
          <c:dPt>
            <c:idx val="20"/>
            <c:bubble3D val="0"/>
            <c:spPr>
              <a:solidFill>
                <a:srgbClr val="FFF8E6"/>
              </a:solidFill>
            </c:spPr>
            <c:extLst>
              <c:ext xmlns:c16="http://schemas.microsoft.com/office/drawing/2014/chart" uri="{C3380CC4-5D6E-409C-BE32-E72D297353CC}">
                <c16:uniqueId val="{00000029-D16C-4A01-A361-27557E1C603E}"/>
              </c:ext>
            </c:extLst>
          </c:dPt>
          <c:dPt>
            <c:idx val="21"/>
            <c:bubble3D val="0"/>
            <c:spPr>
              <a:solidFill>
                <a:srgbClr val="EBF6EE"/>
              </a:solidFill>
            </c:spPr>
            <c:extLst>
              <c:ext xmlns:c16="http://schemas.microsoft.com/office/drawing/2014/chart" uri="{C3380CC4-5D6E-409C-BE32-E72D297353CC}">
                <c16:uniqueId val="{0000002B-D16C-4A01-A361-27557E1C603E}"/>
              </c:ext>
            </c:extLst>
          </c:dPt>
          <c:dPt>
            <c:idx val="22"/>
            <c:bubble3D val="0"/>
            <c:spPr>
              <a:solidFill>
                <a:srgbClr val="FFF0E6"/>
              </a:solidFill>
            </c:spPr>
            <c:extLst>
              <c:ext xmlns:c16="http://schemas.microsoft.com/office/drawing/2014/chart" uri="{C3380CC4-5D6E-409C-BE32-E72D297353CC}">
                <c16:uniqueId val="{0000002D-D16C-4A01-A361-27557E1C603E}"/>
              </c:ext>
            </c:extLst>
          </c:dPt>
          <c:cat>
            <c:strRef>
              <c:f>NOVIEMBRE!$R$15:$R$37</c:f>
              <c:strCache>
                <c:ptCount val="23"/>
                <c:pt idx="0">
                  <c:v>Transporte</c:v>
                </c:pt>
                <c:pt idx="1">
                  <c:v>Alimentación</c:v>
                </c:pt>
                <c:pt idx="2">
                  <c:v>Restaurantes</c:v>
                </c:pt>
                <c:pt idx="3">
                  <c:v>Delivery</c:v>
                </c:pt>
                <c:pt idx="4">
                  <c:v>Bares</c:v>
                </c:pt>
                <c:pt idx="5">
                  <c:v>Ropa</c:v>
                </c:pt>
                <c:pt idx="6">
                  <c:v>Belleza</c:v>
                </c:pt>
                <c:pt idx="7">
                  <c:v>Gasolina</c:v>
                </c:pt>
                <c:pt idx="8">
                  <c:v>Hogar</c:v>
                </c:pt>
                <c:pt idx="9">
                  <c:v>Tarjeta de crédito</c:v>
                </c:pt>
                <c:pt idx="10">
                  <c:v>Ocio</c:v>
                </c:pt>
                <c:pt idx="11">
                  <c:v>Pequeñas compras</c:v>
                </c:pt>
                <c:pt idx="12">
                  <c:v>Tasas/Impuestos</c:v>
                </c:pt>
                <c:pt idx="13">
                  <c:v>Viajes/vacaciones</c:v>
                </c:pt>
                <c:pt idx="14">
                  <c:v>Tecnología</c:v>
                </c:pt>
                <c:pt idx="15">
                  <c:v>Reparaciones</c:v>
                </c:pt>
                <c:pt idx="16">
                  <c:v>Salud</c:v>
                </c:pt>
                <c:pt idx="17">
                  <c:v>Higiene</c:v>
                </c:pt>
                <c:pt idx="18">
                  <c:v>Cursos/Fromación/Trabajo</c:v>
                </c:pt>
                <c:pt idx="19">
                  <c:v>Mascotas</c:v>
                </c:pt>
                <c:pt idx="20">
                  <c:v>Familia</c:v>
                </c:pt>
                <c:pt idx="21">
                  <c:v>Otros</c:v>
                </c:pt>
                <c:pt idx="22">
                  <c:v>Préstamos</c:v>
                </c:pt>
              </c:strCache>
            </c:strRef>
          </c:cat>
          <c:val>
            <c:numRef>
              <c:f>NOVIEMBRE!$T$15:$T$37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16C-4A01-A361-27557E1C6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NOVIEMBRE!$S$7</c:f>
              <c:strCache>
                <c:ptCount val="1"/>
                <c:pt idx="0">
                  <c:v>INGRESOS DISPONIBLES</c:v>
                </c:pt>
              </c:strCache>
            </c:strRef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DB36-44FE-8153-32C4FD24AFDD}"/>
              </c:ext>
            </c:extLst>
          </c:dPt>
          <c:val>
            <c:numRef>
              <c:f>NOVIEMBRE!$S$8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B36-44FE-8153-32C4FD24AFDD}"/>
            </c:ext>
          </c:extLst>
        </c:ser>
        <c:ser>
          <c:idx val="1"/>
          <c:order val="1"/>
          <c:tx>
            <c:strRef>
              <c:f>NOVIEMBRE!$T$7</c:f>
              <c:strCache>
                <c:ptCount val="1"/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DB36-44FE-8153-32C4FD24AFDD}"/>
              </c:ext>
            </c:extLst>
          </c:dPt>
          <c:val>
            <c:numRef>
              <c:f>NOVIEMBRE!$T$8</c:f>
              <c:numCache>
                <c:formatCode>General</c:formatCode>
                <c:ptCount val="1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DB36-44FE-8153-32C4FD24AFDD}"/>
            </c:ext>
          </c:extLst>
        </c:ser>
        <c:ser>
          <c:idx val="2"/>
          <c:order val="2"/>
          <c:tx>
            <c:strRef>
              <c:f>NOVIEMBRE!$U$7</c:f>
              <c:strCache>
                <c:ptCount val="1"/>
                <c:pt idx="0">
                  <c:v>GASTOS</c:v>
                </c:pt>
              </c:strCache>
            </c:strRef>
          </c:tx>
          <c:spPr>
            <a:solidFill>
              <a:srgbClr val="4A86E8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DB36-44FE-8153-32C4FD24AFDD}"/>
              </c:ext>
            </c:extLst>
          </c:dPt>
          <c:val>
            <c:numRef>
              <c:f>NOVIEMBRE!$U$8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DB36-44FE-8153-32C4FD24AFDD}"/>
            </c:ext>
          </c:extLst>
        </c:ser>
        <c:ser>
          <c:idx val="3"/>
          <c:order val="3"/>
          <c:tx>
            <c:strRef>
              <c:f>NOVIEMBRE!$V$7</c:f>
              <c:strCache>
                <c:ptCount val="1"/>
              </c:strCache>
            </c:strRef>
          </c:tx>
          <c:invertIfNegative val="1"/>
          <c:val>
            <c:numRef>
              <c:f>NOVIEMBRE!$V$8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6-DB36-44FE-8153-32C4FD24AFDD}"/>
            </c:ext>
          </c:extLst>
        </c:ser>
        <c:ser>
          <c:idx val="4"/>
          <c:order val="4"/>
          <c:tx>
            <c:strRef>
              <c:f>NOVIEMBRE!$W$7</c:f>
              <c:strCache>
                <c:ptCount val="1"/>
                <c:pt idx="0">
                  <c:v>RESTO</c:v>
                </c:pt>
              </c:strCache>
            </c:strRef>
          </c:tx>
          <c:invertIfNegative val="1"/>
          <c:val>
            <c:numRef>
              <c:f>NOVIEMBRE!$W$8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B36-44FE-8153-32C4FD24AFDD}"/>
            </c:ext>
          </c:extLst>
        </c:ser>
        <c:ser>
          <c:idx val="5"/>
          <c:order val="5"/>
          <c:tx>
            <c:strRef>
              <c:f>NOVIEMBRE!$X$7</c:f>
              <c:strCache>
                <c:ptCount val="1"/>
              </c:strCache>
            </c:strRef>
          </c:tx>
          <c:invertIfNegative val="1"/>
          <c:val>
            <c:numRef>
              <c:f>NOVIEMBRE!$X$8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8-DB36-44FE-8153-32C4FD24A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7357842"/>
        <c:axId val="1197091288"/>
      </c:barChart>
      <c:catAx>
        <c:axId val="6073578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1197091288"/>
        <c:crosses val="autoZero"/>
        <c:auto val="1"/>
        <c:lblAlgn val="ctr"/>
        <c:lblOffset val="100"/>
        <c:noMultiLvlLbl val="1"/>
      </c:catAx>
      <c:valAx>
        <c:axId val="11970912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60735784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EB08-4CEF-8008-900FB14CDBD1}"/>
              </c:ext>
            </c:extLst>
          </c:dPt>
          <c:dPt>
            <c:idx val="1"/>
            <c:bubble3D val="0"/>
            <c:spPr>
              <a:solidFill>
                <a:srgbClr val="000000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EB08-4CEF-8008-900FB14CDBD1}"/>
              </c:ext>
            </c:extLst>
          </c:dPt>
          <c:val>
            <c:numRef>
              <c:f>CTAS!$L$8:$L$9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08-4CEF-8008-900FB14CD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DICIEMBRE!$L$14</c:f>
              <c:strCache>
                <c:ptCount val="1"/>
                <c:pt idx="0">
                  <c:v>GASTO ESPERADO</c:v>
                </c:pt>
              </c:strCache>
            </c:strRef>
          </c:tx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2A66-49F0-B61E-400424836481}"/>
              </c:ext>
            </c:extLst>
          </c:dPt>
          <c:val>
            <c:numRef>
              <c:f>DICIEMBRE!$M$14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A66-49F0-B61E-400424836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0294836"/>
        <c:axId val="1586195312"/>
      </c:barChart>
      <c:catAx>
        <c:axId val="77029483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1586195312"/>
        <c:crosses val="autoZero"/>
        <c:auto val="1"/>
        <c:lblAlgn val="ctr"/>
        <c:lblOffset val="100"/>
        <c:noMultiLvlLbl val="1"/>
      </c:catAx>
      <c:valAx>
        <c:axId val="158619531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770294836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DICIEMBRE!$G$8</c:f>
              <c:strCache>
                <c:ptCount val="1"/>
                <c:pt idx="0">
                  <c:v>GASTOS</c:v>
                </c:pt>
              </c:strCache>
            </c:strRef>
          </c:tx>
          <c:dPt>
            <c:idx val="0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1-B3FE-437E-B46B-0F142599F3AB}"/>
              </c:ext>
            </c:extLst>
          </c:dPt>
          <c:cat>
            <c:strRef>
              <c:f>DICIEMBRE!$H$7:$I$7</c:f>
              <c:strCache>
                <c:ptCount val="2"/>
                <c:pt idx="0">
                  <c:v>FIJOS</c:v>
                </c:pt>
                <c:pt idx="1">
                  <c:v>VARIABLES</c:v>
                </c:pt>
              </c:strCache>
            </c:strRef>
          </c:cat>
          <c:val>
            <c:numRef>
              <c:f>DICIEMBRE!$H$8:$I$8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FE-437E-B46B-0F142599F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5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DICIEMBRE!$X$13:$X$16</c:f>
              <c:strCache>
                <c:ptCount val="4"/>
                <c:pt idx="0">
                  <c:v>Gastos fijos</c:v>
                </c:pt>
                <c:pt idx="1">
                  <c:v>Gastos variables</c:v>
                </c:pt>
                <c:pt idx="2">
                  <c:v>Ahorros</c:v>
                </c:pt>
                <c:pt idx="3">
                  <c:v>Inversión</c:v>
                </c:pt>
              </c:strCache>
            </c:strRef>
          </c:tx>
          <c:dPt>
            <c:idx val="0"/>
            <c:bubble3D val="0"/>
            <c:spPr>
              <a:solidFill>
                <a:srgbClr val="F9CB9C"/>
              </a:solidFill>
            </c:spPr>
            <c:extLst>
              <c:ext xmlns:c16="http://schemas.microsoft.com/office/drawing/2014/chart" uri="{C3380CC4-5D6E-409C-BE32-E72D297353CC}">
                <c16:uniqueId val="{00000001-2044-43E8-BBF6-66E05CB2038C}"/>
              </c:ext>
            </c:extLst>
          </c:dPt>
          <c:dPt>
            <c:idx val="1"/>
            <c:bubble3D val="0"/>
            <c:spPr>
              <a:solidFill>
                <a:srgbClr val="D5A6BD"/>
              </a:solidFill>
            </c:spPr>
            <c:extLst>
              <c:ext xmlns:c16="http://schemas.microsoft.com/office/drawing/2014/chart" uri="{C3380CC4-5D6E-409C-BE32-E72D297353CC}">
                <c16:uniqueId val="{00000003-2044-43E8-BBF6-66E05CB2038C}"/>
              </c:ext>
            </c:extLst>
          </c:dPt>
          <c:dPt>
            <c:idx val="2"/>
            <c:bubble3D val="0"/>
            <c:spPr>
              <a:solidFill>
                <a:srgbClr val="C9DAF8"/>
              </a:solidFill>
            </c:spPr>
            <c:extLst>
              <c:ext xmlns:c16="http://schemas.microsoft.com/office/drawing/2014/chart" uri="{C3380CC4-5D6E-409C-BE32-E72D297353CC}">
                <c16:uniqueId val="{00000005-2044-43E8-BBF6-66E05CB2038C}"/>
              </c:ext>
            </c:extLst>
          </c:dPt>
          <c:dPt>
            <c:idx val="3"/>
            <c:bubble3D val="0"/>
            <c:spPr>
              <a:solidFill>
                <a:srgbClr val="6D9EEB"/>
              </a:solidFill>
            </c:spPr>
            <c:extLst>
              <c:ext xmlns:c16="http://schemas.microsoft.com/office/drawing/2014/chart" uri="{C3380CC4-5D6E-409C-BE32-E72D297353CC}">
                <c16:uniqueId val="{00000007-2044-43E8-BBF6-66E05CB2038C}"/>
              </c:ext>
            </c:extLst>
          </c:dPt>
          <c:val>
            <c:numRef>
              <c:f>DICIEMBRE!$Y$13:$Y$16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2044-43E8-BBF6-66E05CB20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D9EAD3"/>
              </a:solidFill>
            </c:spPr>
            <c:extLst>
              <c:ext xmlns:c16="http://schemas.microsoft.com/office/drawing/2014/chart" uri="{C3380CC4-5D6E-409C-BE32-E72D297353CC}">
                <c16:uniqueId val="{00000001-7F37-401E-B7E3-8EBC6FD997C1}"/>
              </c:ext>
            </c:extLst>
          </c:dPt>
          <c:cat>
            <c:numRef>
              <c:f>DICIEMBRE!$S$8:$V$8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cat>
          <c:val>
            <c:numRef>
              <c:f>DICIEMBRE!$S$8:$V$8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37-401E-B7E3-8EBC6FD99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3.3222835494300919E-2"/>
          <c:y val="0.22133175392263477"/>
          <c:w val="0.93093885060474435"/>
          <c:h val="0.7465822588162187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2BB2-41A5-84B2-D5FC6E99F765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2BB2-41A5-84B2-D5FC6E99F765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2BB2-41A5-84B2-D5FC6E99F765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2BB2-41A5-84B2-D5FC6E99F765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2BB2-41A5-84B2-D5FC6E99F765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2BB2-41A5-84B2-D5FC6E99F765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2BB2-41A5-84B2-D5FC6E99F765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2BB2-41A5-84B2-D5FC6E99F765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2BB2-41A5-84B2-D5FC6E99F765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2BB2-41A5-84B2-D5FC6E99F765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2BB2-41A5-84B2-D5FC6E99F765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2BB2-41A5-84B2-D5FC6E99F765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</c:spPr>
            <c:extLst>
              <c:ext xmlns:c16="http://schemas.microsoft.com/office/drawing/2014/chart" uri="{C3380CC4-5D6E-409C-BE32-E72D297353CC}">
                <c16:uniqueId val="{00000019-2BB2-41A5-84B2-D5FC6E99F765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</c:spPr>
            <c:extLst>
              <c:ext xmlns:c16="http://schemas.microsoft.com/office/drawing/2014/chart" uri="{C3380CC4-5D6E-409C-BE32-E72D297353CC}">
                <c16:uniqueId val="{0000001B-2BB2-41A5-84B2-D5FC6E99F765}"/>
              </c:ext>
            </c:extLst>
          </c:dPt>
          <c:dPt>
            <c:idx val="14"/>
            <c:bubble3D val="0"/>
            <c:spPr>
              <a:solidFill>
                <a:srgbClr val="FDE49B"/>
              </a:solidFill>
            </c:spPr>
            <c:extLst>
              <c:ext xmlns:c16="http://schemas.microsoft.com/office/drawing/2014/chart" uri="{C3380CC4-5D6E-409C-BE32-E72D297353CC}">
                <c16:uniqueId val="{0000001D-2BB2-41A5-84B2-D5FC6E99F765}"/>
              </c:ext>
            </c:extLst>
          </c:dPt>
          <c:dPt>
            <c:idx val="15"/>
            <c:bubble3D val="0"/>
            <c:spPr>
              <a:solidFill>
                <a:srgbClr val="AEDCBA"/>
              </a:solidFill>
            </c:spPr>
            <c:extLst>
              <c:ext xmlns:c16="http://schemas.microsoft.com/office/drawing/2014/chart" uri="{C3380CC4-5D6E-409C-BE32-E72D297353CC}">
                <c16:uniqueId val="{0000001F-2BB2-41A5-84B2-D5FC6E99F765}"/>
              </c:ext>
            </c:extLst>
          </c:dPt>
          <c:dPt>
            <c:idx val="16"/>
            <c:bubble3D val="0"/>
            <c:spPr>
              <a:solidFill>
                <a:srgbClr val="FFC599"/>
              </a:solidFill>
            </c:spPr>
            <c:extLst>
              <c:ext xmlns:c16="http://schemas.microsoft.com/office/drawing/2014/chart" uri="{C3380CC4-5D6E-409C-BE32-E72D297353CC}">
                <c16:uniqueId val="{00000021-2BB2-41A5-84B2-D5FC6E99F765}"/>
              </c:ext>
            </c:extLst>
          </c:dPt>
          <c:dPt>
            <c:idx val="17"/>
            <c:bubble3D val="0"/>
            <c:spPr>
              <a:solidFill>
                <a:srgbClr val="B5E5E8"/>
              </a:solidFill>
            </c:spPr>
            <c:extLst>
              <c:ext xmlns:c16="http://schemas.microsoft.com/office/drawing/2014/chart" uri="{C3380CC4-5D6E-409C-BE32-E72D297353CC}">
                <c16:uniqueId val="{00000023-2BB2-41A5-84B2-D5FC6E99F765}"/>
              </c:ext>
            </c:extLst>
          </c:dPt>
          <c:dPt>
            <c:idx val="18"/>
            <c:bubble3D val="0"/>
            <c:spPr>
              <a:solidFill>
                <a:srgbClr val="ECF3FE"/>
              </a:solidFill>
            </c:spPr>
            <c:extLst>
              <c:ext xmlns:c16="http://schemas.microsoft.com/office/drawing/2014/chart" uri="{C3380CC4-5D6E-409C-BE32-E72D297353CC}">
                <c16:uniqueId val="{00000025-2BB2-41A5-84B2-D5FC6E99F765}"/>
              </c:ext>
            </c:extLst>
          </c:dPt>
          <c:dPt>
            <c:idx val="19"/>
            <c:bubble3D val="0"/>
            <c:spPr>
              <a:solidFill>
                <a:srgbClr val="FDECEB"/>
              </a:solidFill>
            </c:spPr>
            <c:extLst>
              <c:ext xmlns:c16="http://schemas.microsoft.com/office/drawing/2014/chart" uri="{C3380CC4-5D6E-409C-BE32-E72D297353CC}">
                <c16:uniqueId val="{00000027-2BB2-41A5-84B2-D5FC6E99F765}"/>
              </c:ext>
            </c:extLst>
          </c:dPt>
          <c:dPt>
            <c:idx val="20"/>
            <c:bubble3D val="0"/>
            <c:spPr>
              <a:solidFill>
                <a:srgbClr val="FFF8E6"/>
              </a:solidFill>
            </c:spPr>
            <c:extLst>
              <c:ext xmlns:c16="http://schemas.microsoft.com/office/drawing/2014/chart" uri="{C3380CC4-5D6E-409C-BE32-E72D297353CC}">
                <c16:uniqueId val="{00000029-2BB2-41A5-84B2-D5FC6E99F765}"/>
              </c:ext>
            </c:extLst>
          </c:dPt>
          <c:dPt>
            <c:idx val="21"/>
            <c:bubble3D val="0"/>
            <c:spPr>
              <a:solidFill>
                <a:srgbClr val="EBF6EE"/>
              </a:solidFill>
            </c:spPr>
            <c:extLst>
              <c:ext xmlns:c16="http://schemas.microsoft.com/office/drawing/2014/chart" uri="{C3380CC4-5D6E-409C-BE32-E72D297353CC}">
                <c16:uniqueId val="{0000002B-2BB2-41A5-84B2-D5FC6E99F765}"/>
              </c:ext>
            </c:extLst>
          </c:dPt>
          <c:dPt>
            <c:idx val="22"/>
            <c:bubble3D val="0"/>
            <c:spPr>
              <a:solidFill>
                <a:srgbClr val="FFF0E6"/>
              </a:solidFill>
            </c:spPr>
            <c:extLst>
              <c:ext xmlns:c16="http://schemas.microsoft.com/office/drawing/2014/chart" uri="{C3380CC4-5D6E-409C-BE32-E72D297353CC}">
                <c16:uniqueId val="{0000002D-2BB2-41A5-84B2-D5FC6E99F765}"/>
              </c:ext>
            </c:extLst>
          </c:dPt>
          <c:cat>
            <c:strRef>
              <c:f>DICIEMBRE!$R$15:$R$37</c:f>
              <c:strCache>
                <c:ptCount val="23"/>
                <c:pt idx="0">
                  <c:v>Transporte</c:v>
                </c:pt>
                <c:pt idx="1">
                  <c:v>Alimentación</c:v>
                </c:pt>
                <c:pt idx="2">
                  <c:v>Restaurantes</c:v>
                </c:pt>
                <c:pt idx="3">
                  <c:v>Delivery</c:v>
                </c:pt>
                <c:pt idx="4">
                  <c:v>Bares</c:v>
                </c:pt>
                <c:pt idx="5">
                  <c:v>Ropa</c:v>
                </c:pt>
                <c:pt idx="6">
                  <c:v>Belleza</c:v>
                </c:pt>
                <c:pt idx="7">
                  <c:v>Gasolina</c:v>
                </c:pt>
                <c:pt idx="8">
                  <c:v>Hogar</c:v>
                </c:pt>
                <c:pt idx="9">
                  <c:v>Tarjeta de crédito</c:v>
                </c:pt>
                <c:pt idx="10">
                  <c:v>Ocio</c:v>
                </c:pt>
                <c:pt idx="11">
                  <c:v>Pequeñas compras</c:v>
                </c:pt>
                <c:pt idx="12">
                  <c:v>Tasas/Impuestos</c:v>
                </c:pt>
                <c:pt idx="13">
                  <c:v>Viajes/vacaciones</c:v>
                </c:pt>
                <c:pt idx="14">
                  <c:v>Tecnología</c:v>
                </c:pt>
                <c:pt idx="15">
                  <c:v>Reparaciones</c:v>
                </c:pt>
                <c:pt idx="16">
                  <c:v>Salud</c:v>
                </c:pt>
                <c:pt idx="17">
                  <c:v>Higiene</c:v>
                </c:pt>
                <c:pt idx="18">
                  <c:v>Cursos/Fromación/Trabajo</c:v>
                </c:pt>
                <c:pt idx="19">
                  <c:v>Mascotas</c:v>
                </c:pt>
                <c:pt idx="20">
                  <c:v>Familia</c:v>
                </c:pt>
                <c:pt idx="21">
                  <c:v>Otros</c:v>
                </c:pt>
                <c:pt idx="22">
                  <c:v>Préstamos</c:v>
                </c:pt>
              </c:strCache>
            </c:strRef>
          </c:cat>
          <c:val>
            <c:numRef>
              <c:f>DICIEMBRE!$T$15:$T$37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2BB2-41A5-84B2-D5FC6E99F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DICIEMBRE!$S$7</c:f>
              <c:strCache>
                <c:ptCount val="1"/>
                <c:pt idx="0">
                  <c:v>INGRESOS DISPONIBLES</c:v>
                </c:pt>
              </c:strCache>
            </c:strRef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5CCD-4C64-96E8-8DACA32DED78}"/>
              </c:ext>
            </c:extLst>
          </c:dPt>
          <c:val>
            <c:numRef>
              <c:f>DICIEMBRE!$S$8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CCD-4C64-96E8-8DACA32DED78}"/>
            </c:ext>
          </c:extLst>
        </c:ser>
        <c:ser>
          <c:idx val="1"/>
          <c:order val="1"/>
          <c:tx>
            <c:strRef>
              <c:f>DICIEMBRE!$T$7</c:f>
              <c:strCache>
                <c:ptCount val="1"/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5CCD-4C64-96E8-8DACA32DED78}"/>
              </c:ext>
            </c:extLst>
          </c:dPt>
          <c:val>
            <c:numRef>
              <c:f>DICIEMBRE!$T$8</c:f>
              <c:numCache>
                <c:formatCode>General</c:formatCode>
                <c:ptCount val="1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5CCD-4C64-96E8-8DACA32DED78}"/>
            </c:ext>
          </c:extLst>
        </c:ser>
        <c:ser>
          <c:idx val="2"/>
          <c:order val="2"/>
          <c:tx>
            <c:strRef>
              <c:f>DICIEMBRE!$U$7</c:f>
              <c:strCache>
                <c:ptCount val="1"/>
                <c:pt idx="0">
                  <c:v>GASTOS</c:v>
                </c:pt>
              </c:strCache>
            </c:strRef>
          </c:tx>
          <c:spPr>
            <a:solidFill>
              <a:srgbClr val="4A86E8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5CCD-4C64-96E8-8DACA32DED78}"/>
              </c:ext>
            </c:extLst>
          </c:dPt>
          <c:val>
            <c:numRef>
              <c:f>DICIEMBRE!$U$8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5CCD-4C64-96E8-8DACA32DED78}"/>
            </c:ext>
          </c:extLst>
        </c:ser>
        <c:ser>
          <c:idx val="3"/>
          <c:order val="3"/>
          <c:tx>
            <c:strRef>
              <c:f>DICIEMBRE!$V$7</c:f>
              <c:strCache>
                <c:ptCount val="1"/>
              </c:strCache>
            </c:strRef>
          </c:tx>
          <c:invertIfNegative val="1"/>
          <c:val>
            <c:numRef>
              <c:f>DICIEMBRE!$V$8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6-5CCD-4C64-96E8-8DACA32DED78}"/>
            </c:ext>
          </c:extLst>
        </c:ser>
        <c:ser>
          <c:idx val="4"/>
          <c:order val="4"/>
          <c:tx>
            <c:strRef>
              <c:f>DICIEMBRE!$W$7</c:f>
              <c:strCache>
                <c:ptCount val="1"/>
                <c:pt idx="0">
                  <c:v>RESTO</c:v>
                </c:pt>
              </c:strCache>
            </c:strRef>
          </c:tx>
          <c:invertIfNegative val="1"/>
          <c:val>
            <c:numRef>
              <c:f>DICIEMBRE!$W$8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CCD-4C64-96E8-8DACA32DED78}"/>
            </c:ext>
          </c:extLst>
        </c:ser>
        <c:ser>
          <c:idx val="5"/>
          <c:order val="5"/>
          <c:tx>
            <c:strRef>
              <c:f>DICIEMBRE!$X$7</c:f>
              <c:strCache>
                <c:ptCount val="1"/>
              </c:strCache>
            </c:strRef>
          </c:tx>
          <c:invertIfNegative val="1"/>
          <c:val>
            <c:numRef>
              <c:f>DICIEMBRE!$X$8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8-5CCD-4C64-96E8-8DACA32DE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5952749"/>
        <c:axId val="1273043852"/>
      </c:barChart>
      <c:catAx>
        <c:axId val="10659527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1273043852"/>
        <c:crosses val="autoZero"/>
        <c:auto val="1"/>
        <c:lblAlgn val="ctr"/>
        <c:lblOffset val="100"/>
        <c:noMultiLvlLbl val="1"/>
      </c:catAx>
      <c:valAx>
        <c:axId val="12730438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Y"/>
          </a:p>
        </c:txPr>
        <c:crossAx val="106595274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Y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7" Type="http://schemas.openxmlformats.org/officeDocument/2006/relationships/chart" Target="../charts/chart26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6" Type="http://schemas.openxmlformats.org/officeDocument/2006/relationships/chart" Target="../charts/chart25.xml"/><Relationship Id="rId5" Type="http://schemas.openxmlformats.org/officeDocument/2006/relationships/chart" Target="../charts/chart24.xml"/><Relationship Id="rId4" Type="http://schemas.openxmlformats.org/officeDocument/2006/relationships/chart" Target="../charts/chart2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5" Type="http://schemas.openxmlformats.org/officeDocument/2006/relationships/chart" Target="../charts/chart31.xml"/><Relationship Id="rId4" Type="http://schemas.openxmlformats.org/officeDocument/2006/relationships/chart" Target="../charts/chart3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7" Type="http://schemas.openxmlformats.org/officeDocument/2006/relationships/chart" Target="../charts/chart40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6" Type="http://schemas.openxmlformats.org/officeDocument/2006/relationships/chart" Target="../charts/chart39.xml"/><Relationship Id="rId5" Type="http://schemas.openxmlformats.org/officeDocument/2006/relationships/chart" Target="../charts/chart38.xml"/><Relationship Id="rId4" Type="http://schemas.openxmlformats.org/officeDocument/2006/relationships/chart" Target="../charts/chart3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7" Type="http://schemas.openxmlformats.org/officeDocument/2006/relationships/chart" Target="../charts/chart47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6" Type="http://schemas.openxmlformats.org/officeDocument/2006/relationships/chart" Target="../charts/chart46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0.xml"/><Relationship Id="rId7" Type="http://schemas.openxmlformats.org/officeDocument/2006/relationships/chart" Target="../charts/chart54.xml"/><Relationship Id="rId2" Type="http://schemas.openxmlformats.org/officeDocument/2006/relationships/chart" Target="../charts/chart49.xml"/><Relationship Id="rId1" Type="http://schemas.openxmlformats.org/officeDocument/2006/relationships/chart" Target="../charts/chart48.xml"/><Relationship Id="rId6" Type="http://schemas.openxmlformats.org/officeDocument/2006/relationships/chart" Target="../charts/chart53.xml"/><Relationship Id="rId5" Type="http://schemas.openxmlformats.org/officeDocument/2006/relationships/chart" Target="../charts/chart52.xml"/><Relationship Id="rId4" Type="http://schemas.openxmlformats.org/officeDocument/2006/relationships/chart" Target="../charts/chart51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7.xml"/><Relationship Id="rId7" Type="http://schemas.openxmlformats.org/officeDocument/2006/relationships/chart" Target="../charts/chart61.xml"/><Relationship Id="rId2" Type="http://schemas.openxmlformats.org/officeDocument/2006/relationships/chart" Target="../charts/chart56.xml"/><Relationship Id="rId1" Type="http://schemas.openxmlformats.org/officeDocument/2006/relationships/chart" Target="../charts/chart55.xml"/><Relationship Id="rId6" Type="http://schemas.openxmlformats.org/officeDocument/2006/relationships/chart" Target="../charts/chart60.xml"/><Relationship Id="rId5" Type="http://schemas.openxmlformats.org/officeDocument/2006/relationships/chart" Target="../charts/chart59.xml"/><Relationship Id="rId4" Type="http://schemas.openxmlformats.org/officeDocument/2006/relationships/chart" Target="../charts/chart58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4.xml"/><Relationship Id="rId7" Type="http://schemas.openxmlformats.org/officeDocument/2006/relationships/chart" Target="../charts/chart68.xml"/><Relationship Id="rId2" Type="http://schemas.openxmlformats.org/officeDocument/2006/relationships/chart" Target="../charts/chart63.xml"/><Relationship Id="rId1" Type="http://schemas.openxmlformats.org/officeDocument/2006/relationships/chart" Target="../charts/chart62.xml"/><Relationship Id="rId6" Type="http://schemas.openxmlformats.org/officeDocument/2006/relationships/chart" Target="../charts/chart67.xml"/><Relationship Id="rId5" Type="http://schemas.openxmlformats.org/officeDocument/2006/relationships/chart" Target="../charts/chart66.xml"/><Relationship Id="rId4" Type="http://schemas.openxmlformats.org/officeDocument/2006/relationships/chart" Target="../charts/chart65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1.xml"/><Relationship Id="rId7" Type="http://schemas.openxmlformats.org/officeDocument/2006/relationships/chart" Target="../charts/chart75.xml"/><Relationship Id="rId2" Type="http://schemas.openxmlformats.org/officeDocument/2006/relationships/chart" Target="../charts/chart70.xml"/><Relationship Id="rId1" Type="http://schemas.openxmlformats.org/officeDocument/2006/relationships/chart" Target="../charts/chart69.xml"/><Relationship Id="rId6" Type="http://schemas.openxmlformats.org/officeDocument/2006/relationships/chart" Target="../charts/chart74.xml"/><Relationship Id="rId5" Type="http://schemas.openxmlformats.org/officeDocument/2006/relationships/chart" Target="../charts/chart73.xml"/><Relationship Id="rId4" Type="http://schemas.openxmlformats.org/officeDocument/2006/relationships/chart" Target="../charts/chart72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8.xml"/><Relationship Id="rId7" Type="http://schemas.openxmlformats.org/officeDocument/2006/relationships/chart" Target="../charts/chart82.xml"/><Relationship Id="rId2" Type="http://schemas.openxmlformats.org/officeDocument/2006/relationships/chart" Target="../charts/chart77.xml"/><Relationship Id="rId1" Type="http://schemas.openxmlformats.org/officeDocument/2006/relationships/chart" Target="../charts/chart76.xml"/><Relationship Id="rId6" Type="http://schemas.openxmlformats.org/officeDocument/2006/relationships/chart" Target="../charts/chart81.xml"/><Relationship Id="rId5" Type="http://schemas.openxmlformats.org/officeDocument/2006/relationships/chart" Target="../charts/chart80.xml"/><Relationship Id="rId4" Type="http://schemas.openxmlformats.org/officeDocument/2006/relationships/chart" Target="../charts/chart79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5.xml"/><Relationship Id="rId7" Type="http://schemas.openxmlformats.org/officeDocument/2006/relationships/chart" Target="../charts/chart89.xml"/><Relationship Id="rId2" Type="http://schemas.openxmlformats.org/officeDocument/2006/relationships/chart" Target="../charts/chart84.xml"/><Relationship Id="rId1" Type="http://schemas.openxmlformats.org/officeDocument/2006/relationships/chart" Target="../charts/chart83.xml"/><Relationship Id="rId6" Type="http://schemas.openxmlformats.org/officeDocument/2006/relationships/chart" Target="../charts/chart88.xml"/><Relationship Id="rId5" Type="http://schemas.openxmlformats.org/officeDocument/2006/relationships/chart" Target="../charts/chart87.xml"/><Relationship Id="rId4" Type="http://schemas.openxmlformats.org/officeDocument/2006/relationships/chart" Target="../charts/chart8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28575</xdr:colOff>
      <xdr:row>21</xdr:row>
      <xdr:rowOff>190500</xdr:rowOff>
    </xdr:from>
    <xdr:ext cx="7562850" cy="297180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28575</xdr:colOff>
      <xdr:row>37</xdr:row>
      <xdr:rowOff>171450</xdr:rowOff>
    </xdr:from>
    <xdr:ext cx="7562850" cy="2971800"/>
    <xdr:graphicFrame macro="">
      <xdr:nvGraphicFramePr>
        <xdr:cNvPr id="3" name="Chart 2" title="Gráfic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11</xdr:col>
      <xdr:colOff>133350</xdr:colOff>
      <xdr:row>37</xdr:row>
      <xdr:rowOff>171450</xdr:rowOff>
    </xdr:from>
    <xdr:ext cx="7562850" cy="2971800"/>
    <xdr:graphicFrame macro="">
      <xdr:nvGraphicFramePr>
        <xdr:cNvPr id="4" name="Chart 3" title="Gráfic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11</xdr:col>
      <xdr:colOff>133350</xdr:colOff>
      <xdr:row>21</xdr:row>
      <xdr:rowOff>190500</xdr:rowOff>
    </xdr:from>
    <xdr:ext cx="7562850" cy="2971800"/>
    <xdr:graphicFrame macro="">
      <xdr:nvGraphicFramePr>
        <xdr:cNvPr id="5" name="Chart 4" title="Gráfic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</xdr:col>
      <xdr:colOff>914400</xdr:colOff>
      <xdr:row>80</xdr:row>
      <xdr:rowOff>114300</xdr:rowOff>
    </xdr:from>
    <xdr:ext cx="15468600" cy="8020050"/>
    <xdr:graphicFrame macro="">
      <xdr:nvGraphicFramePr>
        <xdr:cNvPr id="6" name="Chart 5" title="Gráfic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346075</xdr:colOff>
      <xdr:row>3</xdr:row>
      <xdr:rowOff>41275</xdr:rowOff>
    </xdr:from>
    <xdr:ext cx="968375" cy="1069975"/>
    <xdr:graphicFrame macro="">
      <xdr:nvGraphicFramePr>
        <xdr:cNvPr id="6" name="Chart 6" title="Gráfico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42370</xdr:colOff>
      <xdr:row>42</xdr:row>
      <xdr:rowOff>133350</xdr:rowOff>
    </xdr:from>
    <xdr:ext cx="4556125" cy="1879599"/>
    <xdr:graphicFrame macro="">
      <xdr:nvGraphicFramePr>
        <xdr:cNvPr id="7" name="Chart 7" title="Gráfico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13</xdr:col>
      <xdr:colOff>1127124</xdr:colOff>
      <xdr:row>42</xdr:row>
      <xdr:rowOff>152401</xdr:rowOff>
    </xdr:from>
    <xdr:ext cx="3629025" cy="1854200"/>
    <xdr:graphicFrame macro="">
      <xdr:nvGraphicFramePr>
        <xdr:cNvPr id="8" name="Chart 8" title="Gráfico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23</xdr:col>
      <xdr:colOff>0</xdr:colOff>
      <xdr:row>17</xdr:row>
      <xdr:rowOff>133350</xdr:rowOff>
    </xdr:from>
    <xdr:ext cx="3483429" cy="1485900"/>
    <xdr:graphicFrame macro="">
      <xdr:nvGraphicFramePr>
        <xdr:cNvPr id="9" name="Chart 9" title="Gráfico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24</xdr:col>
      <xdr:colOff>136071</xdr:colOff>
      <xdr:row>2</xdr:row>
      <xdr:rowOff>90715</xdr:rowOff>
    </xdr:from>
    <xdr:ext cx="2476501" cy="1605642"/>
    <xdr:graphicFrame macro="">
      <xdr:nvGraphicFramePr>
        <xdr:cNvPr id="10" name="Chart 10" title="Gráfico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22</xdr:col>
      <xdr:colOff>733425</xdr:colOff>
      <xdr:row>54</xdr:row>
      <xdr:rowOff>161925</xdr:rowOff>
    </xdr:from>
    <xdr:ext cx="4067175" cy="5991225"/>
    <xdr:graphicFrame macro="">
      <xdr:nvGraphicFramePr>
        <xdr:cNvPr id="11" name="Chart 11" title="Gráfico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17</xdr:col>
      <xdr:colOff>860426</xdr:colOff>
      <xdr:row>42</xdr:row>
      <xdr:rowOff>139700</xdr:rowOff>
    </xdr:from>
    <xdr:ext cx="3530146" cy="1854200"/>
    <xdr:graphicFrame macro="">
      <xdr:nvGraphicFramePr>
        <xdr:cNvPr id="12" name="Chart 12" title="Gráfico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295275</xdr:colOff>
      <xdr:row>2</xdr:row>
      <xdr:rowOff>257175</xdr:rowOff>
    </xdr:from>
    <xdr:ext cx="1343025" cy="1266825"/>
    <xdr:graphicFrame macro="">
      <xdr:nvGraphicFramePr>
        <xdr:cNvPr id="13" name="Chart 13" title="Gráfico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9525</xdr:colOff>
      <xdr:row>42</xdr:row>
      <xdr:rowOff>133350</xdr:rowOff>
    </xdr:from>
    <xdr:ext cx="4867275" cy="2105025"/>
    <xdr:graphicFrame macro="">
      <xdr:nvGraphicFramePr>
        <xdr:cNvPr id="14" name="Chart 14" title="Gráfico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18</xdr:col>
      <xdr:colOff>219075</xdr:colOff>
      <xdr:row>42</xdr:row>
      <xdr:rowOff>133350</xdr:rowOff>
    </xdr:from>
    <xdr:ext cx="3600450" cy="2105025"/>
    <xdr:graphicFrame macro="">
      <xdr:nvGraphicFramePr>
        <xdr:cNvPr id="15" name="Chart 15" title="Gráfico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23</xdr:col>
      <xdr:colOff>0</xdr:colOff>
      <xdr:row>17</xdr:row>
      <xdr:rowOff>133350</xdr:rowOff>
    </xdr:from>
    <xdr:ext cx="3819525" cy="1485900"/>
    <xdr:graphicFrame macro="">
      <xdr:nvGraphicFramePr>
        <xdr:cNvPr id="16" name="Chart 16" title="Gráfico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24</xdr:col>
      <xdr:colOff>219075</xdr:colOff>
      <xdr:row>2</xdr:row>
      <xdr:rowOff>257175</xdr:rowOff>
    </xdr:from>
    <xdr:ext cx="2638425" cy="1266825"/>
    <xdr:graphicFrame macro="">
      <xdr:nvGraphicFramePr>
        <xdr:cNvPr id="17" name="Chart 17" title="Gráfico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22</xdr:col>
      <xdr:colOff>733425</xdr:colOff>
      <xdr:row>54</xdr:row>
      <xdr:rowOff>161925</xdr:rowOff>
    </xdr:from>
    <xdr:ext cx="4067175" cy="5991225"/>
    <xdr:graphicFrame macro="">
      <xdr:nvGraphicFramePr>
        <xdr:cNvPr id="18" name="Chart 18" title="Gráfico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22</xdr:col>
      <xdr:colOff>733425</xdr:colOff>
      <xdr:row>42</xdr:row>
      <xdr:rowOff>133350</xdr:rowOff>
    </xdr:from>
    <xdr:ext cx="4048125" cy="2114550"/>
    <xdr:graphicFrame macro="">
      <xdr:nvGraphicFramePr>
        <xdr:cNvPr id="19" name="Chart 19" title="Gráfico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295275</xdr:colOff>
      <xdr:row>2</xdr:row>
      <xdr:rowOff>257175</xdr:rowOff>
    </xdr:from>
    <xdr:ext cx="1343025" cy="1266825"/>
    <xdr:graphicFrame macro="">
      <xdr:nvGraphicFramePr>
        <xdr:cNvPr id="20" name="Chart 20" title="Gráfico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9525</xdr:colOff>
      <xdr:row>42</xdr:row>
      <xdr:rowOff>133350</xdr:rowOff>
    </xdr:from>
    <xdr:ext cx="4867275" cy="2105025"/>
    <xdr:graphicFrame macro="">
      <xdr:nvGraphicFramePr>
        <xdr:cNvPr id="21" name="Chart 21" title="Gráfico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18</xdr:col>
      <xdr:colOff>219075</xdr:colOff>
      <xdr:row>42</xdr:row>
      <xdr:rowOff>133350</xdr:rowOff>
    </xdr:from>
    <xdr:ext cx="3600450" cy="2105025"/>
    <xdr:graphicFrame macro="">
      <xdr:nvGraphicFramePr>
        <xdr:cNvPr id="22" name="Chart 22" title="Gráfico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23</xdr:col>
      <xdr:colOff>0</xdr:colOff>
      <xdr:row>17</xdr:row>
      <xdr:rowOff>133350</xdr:rowOff>
    </xdr:from>
    <xdr:ext cx="3819525" cy="1485900"/>
    <xdr:graphicFrame macro="">
      <xdr:nvGraphicFramePr>
        <xdr:cNvPr id="23" name="Chart 23" title="Gráfico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24</xdr:col>
      <xdr:colOff>219075</xdr:colOff>
      <xdr:row>2</xdr:row>
      <xdr:rowOff>257175</xdr:rowOff>
    </xdr:from>
    <xdr:ext cx="2638425" cy="1266825"/>
    <xdr:graphicFrame macro="">
      <xdr:nvGraphicFramePr>
        <xdr:cNvPr id="24" name="Chart 24" title="Gráfico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22</xdr:col>
      <xdr:colOff>733425</xdr:colOff>
      <xdr:row>54</xdr:row>
      <xdr:rowOff>161925</xdr:rowOff>
    </xdr:from>
    <xdr:ext cx="4067175" cy="5991225"/>
    <xdr:graphicFrame macro="">
      <xdr:nvGraphicFramePr>
        <xdr:cNvPr id="25" name="Chart 25" title="Gráfico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22</xdr:col>
      <xdr:colOff>733425</xdr:colOff>
      <xdr:row>42</xdr:row>
      <xdr:rowOff>133350</xdr:rowOff>
    </xdr:from>
    <xdr:ext cx="4048125" cy="2114550"/>
    <xdr:graphicFrame macro="">
      <xdr:nvGraphicFramePr>
        <xdr:cNvPr id="26" name="Chart 26" title="Gráfico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295275</xdr:colOff>
      <xdr:row>2</xdr:row>
      <xdr:rowOff>257175</xdr:rowOff>
    </xdr:from>
    <xdr:ext cx="1343025" cy="1266825"/>
    <xdr:graphicFrame macro="">
      <xdr:nvGraphicFramePr>
        <xdr:cNvPr id="27" name="Chart 27" title="Gráfico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9525</xdr:colOff>
      <xdr:row>42</xdr:row>
      <xdr:rowOff>133350</xdr:rowOff>
    </xdr:from>
    <xdr:ext cx="4867275" cy="2105025"/>
    <xdr:graphicFrame macro="">
      <xdr:nvGraphicFramePr>
        <xdr:cNvPr id="28" name="Chart 28" title="Gráfico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18</xdr:col>
      <xdr:colOff>219075</xdr:colOff>
      <xdr:row>42</xdr:row>
      <xdr:rowOff>133350</xdr:rowOff>
    </xdr:from>
    <xdr:ext cx="3600450" cy="2105025"/>
    <xdr:graphicFrame macro="">
      <xdr:nvGraphicFramePr>
        <xdr:cNvPr id="29" name="Chart 29" title="Gráfico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23</xdr:col>
      <xdr:colOff>0</xdr:colOff>
      <xdr:row>17</xdr:row>
      <xdr:rowOff>133350</xdr:rowOff>
    </xdr:from>
    <xdr:ext cx="3819525" cy="1485900"/>
    <xdr:graphicFrame macro="">
      <xdr:nvGraphicFramePr>
        <xdr:cNvPr id="30" name="Chart 30" title="Gráfico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24</xdr:col>
      <xdr:colOff>219075</xdr:colOff>
      <xdr:row>2</xdr:row>
      <xdr:rowOff>257175</xdr:rowOff>
    </xdr:from>
    <xdr:ext cx="2638425" cy="1266825"/>
    <xdr:graphicFrame macro="">
      <xdr:nvGraphicFramePr>
        <xdr:cNvPr id="31" name="Chart 31" title="Gráfico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22</xdr:col>
      <xdr:colOff>733425</xdr:colOff>
      <xdr:row>54</xdr:row>
      <xdr:rowOff>161925</xdr:rowOff>
    </xdr:from>
    <xdr:ext cx="4067175" cy="5991225"/>
    <xdr:graphicFrame macro="">
      <xdr:nvGraphicFramePr>
        <xdr:cNvPr id="32" name="Chart 32" title="Gráfico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22</xdr:col>
      <xdr:colOff>733425</xdr:colOff>
      <xdr:row>42</xdr:row>
      <xdr:rowOff>133350</xdr:rowOff>
    </xdr:from>
    <xdr:ext cx="4048125" cy="2114550"/>
    <xdr:graphicFrame macro="">
      <xdr:nvGraphicFramePr>
        <xdr:cNvPr id="33" name="Chart 33" title="Gráfico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295275</xdr:colOff>
      <xdr:row>2</xdr:row>
      <xdr:rowOff>257175</xdr:rowOff>
    </xdr:from>
    <xdr:ext cx="1343025" cy="1266825"/>
    <xdr:graphicFrame macro="">
      <xdr:nvGraphicFramePr>
        <xdr:cNvPr id="34" name="Chart 34" title="Gráfico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9525</xdr:colOff>
      <xdr:row>42</xdr:row>
      <xdr:rowOff>133350</xdr:rowOff>
    </xdr:from>
    <xdr:ext cx="4867275" cy="2105025"/>
    <xdr:graphicFrame macro="">
      <xdr:nvGraphicFramePr>
        <xdr:cNvPr id="35" name="Chart 35" title="Gráfico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18</xdr:col>
      <xdr:colOff>219075</xdr:colOff>
      <xdr:row>42</xdr:row>
      <xdr:rowOff>133350</xdr:rowOff>
    </xdr:from>
    <xdr:ext cx="3600450" cy="2105025"/>
    <xdr:graphicFrame macro="">
      <xdr:nvGraphicFramePr>
        <xdr:cNvPr id="36" name="Chart 36" title="Gráfico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23</xdr:col>
      <xdr:colOff>0</xdr:colOff>
      <xdr:row>17</xdr:row>
      <xdr:rowOff>133350</xdr:rowOff>
    </xdr:from>
    <xdr:ext cx="3819525" cy="1485900"/>
    <xdr:graphicFrame macro="">
      <xdr:nvGraphicFramePr>
        <xdr:cNvPr id="37" name="Chart 37" title="Gráfico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24</xdr:col>
      <xdr:colOff>219075</xdr:colOff>
      <xdr:row>2</xdr:row>
      <xdr:rowOff>257175</xdr:rowOff>
    </xdr:from>
    <xdr:ext cx="2638425" cy="1266825"/>
    <xdr:graphicFrame macro="">
      <xdr:nvGraphicFramePr>
        <xdr:cNvPr id="38" name="Chart 38" title="Gráfico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22</xdr:col>
      <xdr:colOff>733425</xdr:colOff>
      <xdr:row>54</xdr:row>
      <xdr:rowOff>161925</xdr:rowOff>
    </xdr:from>
    <xdr:ext cx="4067175" cy="5991225"/>
    <xdr:graphicFrame macro="">
      <xdr:nvGraphicFramePr>
        <xdr:cNvPr id="39" name="Chart 39" title="Gráfico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22</xdr:col>
      <xdr:colOff>733425</xdr:colOff>
      <xdr:row>42</xdr:row>
      <xdr:rowOff>133350</xdr:rowOff>
    </xdr:from>
    <xdr:ext cx="4048125" cy="2114550"/>
    <xdr:graphicFrame macro="">
      <xdr:nvGraphicFramePr>
        <xdr:cNvPr id="40" name="Chart 40" title="Gráfico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247650</xdr:colOff>
      <xdr:row>2</xdr:row>
      <xdr:rowOff>238125</xdr:rowOff>
    </xdr:from>
    <xdr:ext cx="1343025" cy="1266825"/>
    <xdr:graphicFrame macro="">
      <xdr:nvGraphicFramePr>
        <xdr:cNvPr id="41" name="Chart 41" title="Gráfico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9525</xdr:colOff>
      <xdr:row>42</xdr:row>
      <xdr:rowOff>133350</xdr:rowOff>
    </xdr:from>
    <xdr:ext cx="4867275" cy="2105025"/>
    <xdr:graphicFrame macro="">
      <xdr:nvGraphicFramePr>
        <xdr:cNvPr id="42" name="Chart 42" title="Gráfico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18</xdr:col>
      <xdr:colOff>219075</xdr:colOff>
      <xdr:row>42</xdr:row>
      <xdr:rowOff>133350</xdr:rowOff>
    </xdr:from>
    <xdr:ext cx="3600450" cy="2105025"/>
    <xdr:graphicFrame macro="">
      <xdr:nvGraphicFramePr>
        <xdr:cNvPr id="43" name="Chart 43" title="Gráfico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23</xdr:col>
      <xdr:colOff>0</xdr:colOff>
      <xdr:row>17</xdr:row>
      <xdr:rowOff>133350</xdr:rowOff>
    </xdr:from>
    <xdr:ext cx="3819525" cy="1485900"/>
    <xdr:graphicFrame macro="">
      <xdr:nvGraphicFramePr>
        <xdr:cNvPr id="44" name="Chart 44" title="Gráfico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24</xdr:col>
      <xdr:colOff>219075</xdr:colOff>
      <xdr:row>2</xdr:row>
      <xdr:rowOff>257175</xdr:rowOff>
    </xdr:from>
    <xdr:ext cx="2638425" cy="1266825"/>
    <xdr:graphicFrame macro="">
      <xdr:nvGraphicFramePr>
        <xdr:cNvPr id="45" name="Chart 45" title="Gráfico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22</xdr:col>
      <xdr:colOff>733425</xdr:colOff>
      <xdr:row>54</xdr:row>
      <xdr:rowOff>161925</xdr:rowOff>
    </xdr:from>
    <xdr:ext cx="4067175" cy="5991225"/>
    <xdr:graphicFrame macro="">
      <xdr:nvGraphicFramePr>
        <xdr:cNvPr id="46" name="Chart 46" title="Gráfico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22</xdr:col>
      <xdr:colOff>733425</xdr:colOff>
      <xdr:row>42</xdr:row>
      <xdr:rowOff>133350</xdr:rowOff>
    </xdr:from>
    <xdr:ext cx="4048125" cy="2114550"/>
    <xdr:graphicFrame macro="">
      <xdr:nvGraphicFramePr>
        <xdr:cNvPr id="47" name="Chart 47" title="Gráfico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266700</xdr:colOff>
      <xdr:row>2</xdr:row>
      <xdr:rowOff>276225</xdr:rowOff>
    </xdr:from>
    <xdr:ext cx="1343025" cy="1266825"/>
    <xdr:graphicFrame macro="">
      <xdr:nvGraphicFramePr>
        <xdr:cNvPr id="48" name="Chart 48" title="Gráfico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9525</xdr:colOff>
      <xdr:row>42</xdr:row>
      <xdr:rowOff>133350</xdr:rowOff>
    </xdr:from>
    <xdr:ext cx="4867275" cy="2105025"/>
    <xdr:graphicFrame macro="">
      <xdr:nvGraphicFramePr>
        <xdr:cNvPr id="49" name="Chart 49" title="Gráfico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18</xdr:col>
      <xdr:colOff>219075</xdr:colOff>
      <xdr:row>42</xdr:row>
      <xdr:rowOff>133350</xdr:rowOff>
    </xdr:from>
    <xdr:ext cx="3600450" cy="2105025"/>
    <xdr:graphicFrame macro="">
      <xdr:nvGraphicFramePr>
        <xdr:cNvPr id="50" name="Chart 50" title="Gráfico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23</xdr:col>
      <xdr:colOff>0</xdr:colOff>
      <xdr:row>17</xdr:row>
      <xdr:rowOff>133350</xdr:rowOff>
    </xdr:from>
    <xdr:ext cx="3819525" cy="1485900"/>
    <xdr:graphicFrame macro="">
      <xdr:nvGraphicFramePr>
        <xdr:cNvPr id="51" name="Chart 51" title="Gráfico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24</xdr:col>
      <xdr:colOff>219075</xdr:colOff>
      <xdr:row>2</xdr:row>
      <xdr:rowOff>257175</xdr:rowOff>
    </xdr:from>
    <xdr:ext cx="2638425" cy="1266825"/>
    <xdr:graphicFrame macro="">
      <xdr:nvGraphicFramePr>
        <xdr:cNvPr id="52" name="Chart 52" title="Gráfico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22</xdr:col>
      <xdr:colOff>733425</xdr:colOff>
      <xdr:row>54</xdr:row>
      <xdr:rowOff>161925</xdr:rowOff>
    </xdr:from>
    <xdr:ext cx="4067175" cy="5991225"/>
    <xdr:graphicFrame macro="">
      <xdr:nvGraphicFramePr>
        <xdr:cNvPr id="53" name="Chart 53" title="Gráfico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22</xdr:col>
      <xdr:colOff>733425</xdr:colOff>
      <xdr:row>42</xdr:row>
      <xdr:rowOff>133350</xdr:rowOff>
    </xdr:from>
    <xdr:ext cx="4048125" cy="2114550"/>
    <xdr:graphicFrame macro="">
      <xdr:nvGraphicFramePr>
        <xdr:cNvPr id="54" name="Chart 54" title="Gráfico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285750</xdr:colOff>
      <xdr:row>2</xdr:row>
      <xdr:rowOff>266700</xdr:rowOff>
    </xdr:from>
    <xdr:ext cx="1343025" cy="1266825"/>
    <xdr:graphicFrame macro="">
      <xdr:nvGraphicFramePr>
        <xdr:cNvPr id="55" name="Chart 55" title="Gráfico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9525</xdr:colOff>
      <xdr:row>42</xdr:row>
      <xdr:rowOff>133350</xdr:rowOff>
    </xdr:from>
    <xdr:ext cx="4867275" cy="2105025"/>
    <xdr:graphicFrame macro="">
      <xdr:nvGraphicFramePr>
        <xdr:cNvPr id="56" name="Chart 56" title="Gráfico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18</xdr:col>
      <xdr:colOff>219075</xdr:colOff>
      <xdr:row>42</xdr:row>
      <xdr:rowOff>133350</xdr:rowOff>
    </xdr:from>
    <xdr:ext cx="3600450" cy="2105025"/>
    <xdr:graphicFrame macro="">
      <xdr:nvGraphicFramePr>
        <xdr:cNvPr id="57" name="Chart 57" title="Gráfico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23</xdr:col>
      <xdr:colOff>0</xdr:colOff>
      <xdr:row>17</xdr:row>
      <xdr:rowOff>133350</xdr:rowOff>
    </xdr:from>
    <xdr:ext cx="3819525" cy="1485900"/>
    <xdr:graphicFrame macro="">
      <xdr:nvGraphicFramePr>
        <xdr:cNvPr id="58" name="Chart 58" title="Gráfico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24</xdr:col>
      <xdr:colOff>219075</xdr:colOff>
      <xdr:row>2</xdr:row>
      <xdr:rowOff>257175</xdr:rowOff>
    </xdr:from>
    <xdr:ext cx="2638425" cy="1266825"/>
    <xdr:graphicFrame macro="">
      <xdr:nvGraphicFramePr>
        <xdr:cNvPr id="59" name="Chart 59" title="Gráfico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22</xdr:col>
      <xdr:colOff>733425</xdr:colOff>
      <xdr:row>54</xdr:row>
      <xdr:rowOff>161925</xdr:rowOff>
    </xdr:from>
    <xdr:ext cx="4067175" cy="5991225"/>
    <xdr:graphicFrame macro="">
      <xdr:nvGraphicFramePr>
        <xdr:cNvPr id="60" name="Chart 60" title="Gráfico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22</xdr:col>
      <xdr:colOff>733425</xdr:colOff>
      <xdr:row>42</xdr:row>
      <xdr:rowOff>133350</xdr:rowOff>
    </xdr:from>
    <xdr:ext cx="4048125" cy="2114550"/>
    <xdr:graphicFrame macro="">
      <xdr:nvGraphicFramePr>
        <xdr:cNvPr id="61" name="Chart 61" title="Gráfico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295275</xdr:colOff>
      <xdr:row>2</xdr:row>
      <xdr:rowOff>257175</xdr:rowOff>
    </xdr:from>
    <xdr:ext cx="1343025" cy="1266825"/>
    <xdr:graphicFrame macro="">
      <xdr:nvGraphicFramePr>
        <xdr:cNvPr id="62" name="Chart 62" title="Gráfico">
          <a:extLst>
            <a:ext uri="{FF2B5EF4-FFF2-40B4-BE49-F238E27FC236}">
              <a16:creationId xmlns:a16="http://schemas.microsoft.com/office/drawing/2014/main" id="{00000000-0008-0000-0A00-00003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9525</xdr:colOff>
      <xdr:row>42</xdr:row>
      <xdr:rowOff>133350</xdr:rowOff>
    </xdr:from>
    <xdr:ext cx="4867275" cy="2105025"/>
    <xdr:graphicFrame macro="">
      <xdr:nvGraphicFramePr>
        <xdr:cNvPr id="63" name="Chart 63" title="Gráfico">
          <a:extLst>
            <a:ext uri="{FF2B5EF4-FFF2-40B4-BE49-F238E27FC236}">
              <a16:creationId xmlns:a16="http://schemas.microsoft.com/office/drawing/2014/main" id="{00000000-0008-0000-0A00-00003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18</xdr:col>
      <xdr:colOff>219075</xdr:colOff>
      <xdr:row>42</xdr:row>
      <xdr:rowOff>133350</xdr:rowOff>
    </xdr:from>
    <xdr:ext cx="3600450" cy="2105025"/>
    <xdr:graphicFrame macro="">
      <xdr:nvGraphicFramePr>
        <xdr:cNvPr id="64" name="Chart 64" title="Gráfico">
          <a:extLst>
            <a:ext uri="{FF2B5EF4-FFF2-40B4-BE49-F238E27FC236}">
              <a16:creationId xmlns:a16="http://schemas.microsoft.com/office/drawing/2014/main" id="{00000000-0008-0000-0A00-00004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23</xdr:col>
      <xdr:colOff>0</xdr:colOff>
      <xdr:row>17</xdr:row>
      <xdr:rowOff>133350</xdr:rowOff>
    </xdr:from>
    <xdr:ext cx="3819525" cy="1485900"/>
    <xdr:graphicFrame macro="">
      <xdr:nvGraphicFramePr>
        <xdr:cNvPr id="65" name="Chart 65" title="Gráfico">
          <a:extLst>
            <a:ext uri="{FF2B5EF4-FFF2-40B4-BE49-F238E27FC236}">
              <a16:creationId xmlns:a16="http://schemas.microsoft.com/office/drawing/2014/main" id="{00000000-0008-0000-0A00-00004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24</xdr:col>
      <xdr:colOff>219075</xdr:colOff>
      <xdr:row>2</xdr:row>
      <xdr:rowOff>257175</xdr:rowOff>
    </xdr:from>
    <xdr:ext cx="2638425" cy="1266825"/>
    <xdr:graphicFrame macro="">
      <xdr:nvGraphicFramePr>
        <xdr:cNvPr id="66" name="Chart 66" title="Gráfico">
          <a:extLst>
            <a:ext uri="{FF2B5EF4-FFF2-40B4-BE49-F238E27FC236}">
              <a16:creationId xmlns:a16="http://schemas.microsoft.com/office/drawing/2014/main" id="{00000000-0008-0000-0A00-00004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22</xdr:col>
      <xdr:colOff>733425</xdr:colOff>
      <xdr:row>54</xdr:row>
      <xdr:rowOff>161925</xdr:rowOff>
    </xdr:from>
    <xdr:ext cx="4067175" cy="5991225"/>
    <xdr:graphicFrame macro="">
      <xdr:nvGraphicFramePr>
        <xdr:cNvPr id="67" name="Chart 67" title="Gráfico">
          <a:extLst>
            <a:ext uri="{FF2B5EF4-FFF2-40B4-BE49-F238E27FC236}">
              <a16:creationId xmlns:a16="http://schemas.microsoft.com/office/drawing/2014/main" id="{00000000-0008-0000-0A00-00004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22</xdr:col>
      <xdr:colOff>733425</xdr:colOff>
      <xdr:row>42</xdr:row>
      <xdr:rowOff>133350</xdr:rowOff>
    </xdr:from>
    <xdr:ext cx="4048125" cy="2114550"/>
    <xdr:graphicFrame macro="">
      <xdr:nvGraphicFramePr>
        <xdr:cNvPr id="68" name="Chart 68" title="Gráfico">
          <a:extLst>
            <a:ext uri="{FF2B5EF4-FFF2-40B4-BE49-F238E27FC236}">
              <a16:creationId xmlns:a16="http://schemas.microsoft.com/office/drawing/2014/main" id="{00000000-0008-0000-0A00-00004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266700</xdr:colOff>
      <xdr:row>2</xdr:row>
      <xdr:rowOff>247650</xdr:rowOff>
    </xdr:from>
    <xdr:ext cx="1343025" cy="1266825"/>
    <xdr:graphicFrame macro="">
      <xdr:nvGraphicFramePr>
        <xdr:cNvPr id="69" name="Chart 69" title="Gráfico">
          <a:extLst>
            <a:ext uri="{FF2B5EF4-FFF2-40B4-BE49-F238E27FC236}">
              <a16:creationId xmlns:a16="http://schemas.microsoft.com/office/drawing/2014/main" id="{00000000-0008-0000-0B00-00004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9525</xdr:colOff>
      <xdr:row>42</xdr:row>
      <xdr:rowOff>133350</xdr:rowOff>
    </xdr:from>
    <xdr:ext cx="4867275" cy="2105025"/>
    <xdr:graphicFrame macro="">
      <xdr:nvGraphicFramePr>
        <xdr:cNvPr id="70" name="Chart 70" title="Gráfico">
          <a:extLst>
            <a:ext uri="{FF2B5EF4-FFF2-40B4-BE49-F238E27FC236}">
              <a16:creationId xmlns:a16="http://schemas.microsoft.com/office/drawing/2014/main" id="{00000000-0008-0000-0B00-00004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18</xdr:col>
      <xdr:colOff>219075</xdr:colOff>
      <xdr:row>42</xdr:row>
      <xdr:rowOff>133350</xdr:rowOff>
    </xdr:from>
    <xdr:ext cx="3600450" cy="2105025"/>
    <xdr:graphicFrame macro="">
      <xdr:nvGraphicFramePr>
        <xdr:cNvPr id="71" name="Chart 71" title="Gráfico">
          <a:extLst>
            <a:ext uri="{FF2B5EF4-FFF2-40B4-BE49-F238E27FC236}">
              <a16:creationId xmlns:a16="http://schemas.microsoft.com/office/drawing/2014/main" id="{00000000-0008-0000-0B00-00004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23</xdr:col>
      <xdr:colOff>0</xdr:colOff>
      <xdr:row>17</xdr:row>
      <xdr:rowOff>133350</xdr:rowOff>
    </xdr:from>
    <xdr:ext cx="3819525" cy="1485900"/>
    <xdr:graphicFrame macro="">
      <xdr:nvGraphicFramePr>
        <xdr:cNvPr id="72" name="Chart 72" title="Gráfico">
          <a:extLst>
            <a:ext uri="{FF2B5EF4-FFF2-40B4-BE49-F238E27FC236}">
              <a16:creationId xmlns:a16="http://schemas.microsoft.com/office/drawing/2014/main" id="{00000000-0008-0000-0B00-00004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24</xdr:col>
      <xdr:colOff>219075</xdr:colOff>
      <xdr:row>2</xdr:row>
      <xdr:rowOff>257175</xdr:rowOff>
    </xdr:from>
    <xdr:ext cx="2638425" cy="1266825"/>
    <xdr:graphicFrame macro="">
      <xdr:nvGraphicFramePr>
        <xdr:cNvPr id="73" name="Chart 73" title="Gráfico">
          <a:extLst>
            <a:ext uri="{FF2B5EF4-FFF2-40B4-BE49-F238E27FC236}">
              <a16:creationId xmlns:a16="http://schemas.microsoft.com/office/drawing/2014/main" id="{00000000-0008-0000-0B00-00004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22</xdr:col>
      <xdr:colOff>733425</xdr:colOff>
      <xdr:row>54</xdr:row>
      <xdr:rowOff>161925</xdr:rowOff>
    </xdr:from>
    <xdr:ext cx="4067175" cy="5991225"/>
    <xdr:graphicFrame macro="">
      <xdr:nvGraphicFramePr>
        <xdr:cNvPr id="74" name="Chart 74" title="Gráfico">
          <a:extLst>
            <a:ext uri="{FF2B5EF4-FFF2-40B4-BE49-F238E27FC236}">
              <a16:creationId xmlns:a16="http://schemas.microsoft.com/office/drawing/2014/main" id="{00000000-0008-0000-0B00-00004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22</xdr:col>
      <xdr:colOff>733425</xdr:colOff>
      <xdr:row>42</xdr:row>
      <xdr:rowOff>133350</xdr:rowOff>
    </xdr:from>
    <xdr:ext cx="4048125" cy="2114550"/>
    <xdr:graphicFrame macro="">
      <xdr:nvGraphicFramePr>
        <xdr:cNvPr id="75" name="Chart 75" title="Gráfico">
          <a:extLst>
            <a:ext uri="{FF2B5EF4-FFF2-40B4-BE49-F238E27FC236}">
              <a16:creationId xmlns:a16="http://schemas.microsoft.com/office/drawing/2014/main" id="{00000000-0008-0000-0B00-00004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266700</xdr:colOff>
      <xdr:row>2</xdr:row>
      <xdr:rowOff>266700</xdr:rowOff>
    </xdr:from>
    <xdr:ext cx="1343025" cy="1266825"/>
    <xdr:graphicFrame macro="">
      <xdr:nvGraphicFramePr>
        <xdr:cNvPr id="76" name="Chart 76" title="Gráfico">
          <a:extLst>
            <a:ext uri="{FF2B5EF4-FFF2-40B4-BE49-F238E27FC236}">
              <a16:creationId xmlns:a16="http://schemas.microsoft.com/office/drawing/2014/main" id="{00000000-0008-0000-0C00-00004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9525</xdr:colOff>
      <xdr:row>42</xdr:row>
      <xdr:rowOff>133350</xdr:rowOff>
    </xdr:from>
    <xdr:ext cx="4867275" cy="2105025"/>
    <xdr:graphicFrame macro="">
      <xdr:nvGraphicFramePr>
        <xdr:cNvPr id="77" name="Chart 77" title="Gráfico">
          <a:extLst>
            <a:ext uri="{FF2B5EF4-FFF2-40B4-BE49-F238E27FC236}">
              <a16:creationId xmlns:a16="http://schemas.microsoft.com/office/drawing/2014/main" id="{00000000-0008-0000-0C00-00004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18</xdr:col>
      <xdr:colOff>219075</xdr:colOff>
      <xdr:row>42</xdr:row>
      <xdr:rowOff>133350</xdr:rowOff>
    </xdr:from>
    <xdr:ext cx="3600450" cy="2105025"/>
    <xdr:graphicFrame macro="">
      <xdr:nvGraphicFramePr>
        <xdr:cNvPr id="78" name="Chart 78" title="Gráfico">
          <a:extLst>
            <a:ext uri="{FF2B5EF4-FFF2-40B4-BE49-F238E27FC236}">
              <a16:creationId xmlns:a16="http://schemas.microsoft.com/office/drawing/2014/main" id="{00000000-0008-0000-0C00-00004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23</xdr:col>
      <xdr:colOff>0</xdr:colOff>
      <xdr:row>17</xdr:row>
      <xdr:rowOff>133350</xdr:rowOff>
    </xdr:from>
    <xdr:ext cx="3819525" cy="1485900"/>
    <xdr:graphicFrame macro="">
      <xdr:nvGraphicFramePr>
        <xdr:cNvPr id="79" name="Chart 79" title="Gráfico">
          <a:extLst>
            <a:ext uri="{FF2B5EF4-FFF2-40B4-BE49-F238E27FC236}">
              <a16:creationId xmlns:a16="http://schemas.microsoft.com/office/drawing/2014/main" id="{00000000-0008-0000-0C00-00004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24</xdr:col>
      <xdr:colOff>219075</xdr:colOff>
      <xdr:row>2</xdr:row>
      <xdr:rowOff>257175</xdr:rowOff>
    </xdr:from>
    <xdr:ext cx="2638425" cy="1266825"/>
    <xdr:graphicFrame macro="">
      <xdr:nvGraphicFramePr>
        <xdr:cNvPr id="80" name="Chart 80" title="Gráfico">
          <a:extLst>
            <a:ext uri="{FF2B5EF4-FFF2-40B4-BE49-F238E27FC236}">
              <a16:creationId xmlns:a16="http://schemas.microsoft.com/office/drawing/2014/main" id="{00000000-0008-0000-0C00-00005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22</xdr:col>
      <xdr:colOff>733425</xdr:colOff>
      <xdr:row>54</xdr:row>
      <xdr:rowOff>161925</xdr:rowOff>
    </xdr:from>
    <xdr:ext cx="4067175" cy="5991225"/>
    <xdr:graphicFrame macro="">
      <xdr:nvGraphicFramePr>
        <xdr:cNvPr id="81" name="Chart 81" title="Gráfico">
          <a:extLst>
            <a:ext uri="{FF2B5EF4-FFF2-40B4-BE49-F238E27FC236}">
              <a16:creationId xmlns:a16="http://schemas.microsoft.com/office/drawing/2014/main" id="{00000000-0008-0000-0C00-00005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22</xdr:col>
      <xdr:colOff>733425</xdr:colOff>
      <xdr:row>42</xdr:row>
      <xdr:rowOff>133350</xdr:rowOff>
    </xdr:from>
    <xdr:ext cx="4048125" cy="2114550"/>
    <xdr:graphicFrame macro="">
      <xdr:nvGraphicFramePr>
        <xdr:cNvPr id="82" name="Chart 82" title="Gráfico">
          <a:extLst>
            <a:ext uri="{FF2B5EF4-FFF2-40B4-BE49-F238E27FC236}">
              <a16:creationId xmlns:a16="http://schemas.microsoft.com/office/drawing/2014/main" id="{00000000-0008-0000-0C00-00005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285750</xdr:colOff>
      <xdr:row>2</xdr:row>
      <xdr:rowOff>266700</xdr:rowOff>
    </xdr:from>
    <xdr:ext cx="1343025" cy="1266825"/>
    <xdr:graphicFrame macro="">
      <xdr:nvGraphicFramePr>
        <xdr:cNvPr id="83" name="Chart 83" title="Gráfico">
          <a:extLst>
            <a:ext uri="{FF2B5EF4-FFF2-40B4-BE49-F238E27FC236}">
              <a16:creationId xmlns:a16="http://schemas.microsoft.com/office/drawing/2014/main" id="{00000000-0008-0000-0D00-00005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9525</xdr:colOff>
      <xdr:row>42</xdr:row>
      <xdr:rowOff>133350</xdr:rowOff>
    </xdr:from>
    <xdr:ext cx="4867275" cy="2105025"/>
    <xdr:graphicFrame macro="">
      <xdr:nvGraphicFramePr>
        <xdr:cNvPr id="84" name="Chart 84" title="Gráfico">
          <a:extLst>
            <a:ext uri="{FF2B5EF4-FFF2-40B4-BE49-F238E27FC236}">
              <a16:creationId xmlns:a16="http://schemas.microsoft.com/office/drawing/2014/main" id="{00000000-0008-0000-0D00-00005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18</xdr:col>
      <xdr:colOff>219075</xdr:colOff>
      <xdr:row>42</xdr:row>
      <xdr:rowOff>133350</xdr:rowOff>
    </xdr:from>
    <xdr:ext cx="3600450" cy="2105025"/>
    <xdr:graphicFrame macro="">
      <xdr:nvGraphicFramePr>
        <xdr:cNvPr id="85" name="Chart 85" title="Gráfico">
          <a:extLst>
            <a:ext uri="{FF2B5EF4-FFF2-40B4-BE49-F238E27FC236}">
              <a16:creationId xmlns:a16="http://schemas.microsoft.com/office/drawing/2014/main" id="{00000000-0008-0000-0D00-00005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23</xdr:col>
      <xdr:colOff>0</xdr:colOff>
      <xdr:row>17</xdr:row>
      <xdr:rowOff>133350</xdr:rowOff>
    </xdr:from>
    <xdr:ext cx="3819525" cy="1485900"/>
    <xdr:graphicFrame macro="">
      <xdr:nvGraphicFramePr>
        <xdr:cNvPr id="86" name="Chart 86" title="Gráfico">
          <a:extLst>
            <a:ext uri="{FF2B5EF4-FFF2-40B4-BE49-F238E27FC236}">
              <a16:creationId xmlns:a16="http://schemas.microsoft.com/office/drawing/2014/main" id="{00000000-0008-0000-0D00-00005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24</xdr:col>
      <xdr:colOff>219075</xdr:colOff>
      <xdr:row>2</xdr:row>
      <xdr:rowOff>257175</xdr:rowOff>
    </xdr:from>
    <xdr:ext cx="2638425" cy="1266825"/>
    <xdr:graphicFrame macro="">
      <xdr:nvGraphicFramePr>
        <xdr:cNvPr id="87" name="Chart 87" title="Gráfico">
          <a:extLst>
            <a:ext uri="{FF2B5EF4-FFF2-40B4-BE49-F238E27FC236}">
              <a16:creationId xmlns:a16="http://schemas.microsoft.com/office/drawing/2014/main" id="{00000000-0008-0000-0D00-00005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22</xdr:col>
      <xdr:colOff>733425</xdr:colOff>
      <xdr:row>54</xdr:row>
      <xdr:rowOff>161925</xdr:rowOff>
    </xdr:from>
    <xdr:ext cx="4067175" cy="5991225"/>
    <xdr:graphicFrame macro="">
      <xdr:nvGraphicFramePr>
        <xdr:cNvPr id="88" name="Chart 88" title="Gráfico">
          <a:extLst>
            <a:ext uri="{FF2B5EF4-FFF2-40B4-BE49-F238E27FC236}">
              <a16:creationId xmlns:a16="http://schemas.microsoft.com/office/drawing/2014/main" id="{00000000-0008-0000-0D00-00005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22</xdr:col>
      <xdr:colOff>733425</xdr:colOff>
      <xdr:row>42</xdr:row>
      <xdr:rowOff>133350</xdr:rowOff>
    </xdr:from>
    <xdr:ext cx="4048125" cy="2114550"/>
    <xdr:graphicFrame macro="">
      <xdr:nvGraphicFramePr>
        <xdr:cNvPr id="89" name="Chart 89" title="Gráfico">
          <a:extLst>
            <a:ext uri="{FF2B5EF4-FFF2-40B4-BE49-F238E27FC236}">
              <a16:creationId xmlns:a16="http://schemas.microsoft.com/office/drawing/2014/main" id="{00000000-0008-0000-0D00-00005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L10"/>
  <sheetViews>
    <sheetView workbookViewId="0">
      <selection activeCell="C36" sqref="C36"/>
    </sheetView>
  </sheetViews>
  <sheetFormatPr baseColWidth="10" defaultColWidth="12.6328125" defaultRowHeight="15.75" customHeight="1" x14ac:dyDescent="0.25"/>
  <sheetData>
    <row r="2" spans="1:12" ht="15.75" customHeight="1" x14ac:dyDescent="0.25">
      <c r="A2" s="118" t="s">
        <v>0</v>
      </c>
      <c r="B2" s="119"/>
      <c r="C2" s="118" t="s">
        <v>1</v>
      </c>
      <c r="D2" s="119"/>
      <c r="E2" s="118" t="s">
        <v>2</v>
      </c>
      <c r="F2" s="119"/>
      <c r="G2" s="118" t="s">
        <v>3</v>
      </c>
      <c r="H2" s="119"/>
      <c r="I2" s="118" t="s">
        <v>4</v>
      </c>
      <c r="J2" s="119"/>
      <c r="K2" s="118" t="s">
        <v>5</v>
      </c>
      <c r="L2" s="119"/>
    </row>
    <row r="3" spans="1:12" ht="15.75" customHeight="1" x14ac:dyDescent="0.25">
      <c r="A3" s="1">
        <v>7</v>
      </c>
      <c r="B3" s="1">
        <f>A5</f>
        <v>0</v>
      </c>
      <c r="C3" s="1">
        <v>7</v>
      </c>
      <c r="D3" s="1">
        <f>C5</f>
        <v>0</v>
      </c>
      <c r="E3" s="1">
        <v>7</v>
      </c>
      <c r="F3" s="1">
        <f>E5</f>
        <v>0</v>
      </c>
      <c r="G3" s="1">
        <v>7</v>
      </c>
      <c r="H3" s="1">
        <f>G5</f>
        <v>0</v>
      </c>
      <c r="I3" s="1">
        <v>7</v>
      </c>
      <c r="J3" s="1">
        <f>I5</f>
        <v>0</v>
      </c>
      <c r="K3" s="1">
        <v>7</v>
      </c>
      <c r="L3" s="1">
        <f>K5</f>
        <v>0</v>
      </c>
    </row>
    <row r="4" spans="1:12" ht="15.75" customHeight="1" x14ac:dyDescent="0.25">
      <c r="A4" s="1">
        <f>COUNTIF(ENERO!$H$15:$H$21,TRUE)</f>
        <v>0</v>
      </c>
      <c r="B4" s="1">
        <f>1-A5</f>
        <v>1</v>
      </c>
      <c r="C4" s="1">
        <f>SUM(FEBRERO!$H$15:$H$21)</f>
        <v>0</v>
      </c>
      <c r="D4" s="1">
        <f>1-C5</f>
        <v>1</v>
      </c>
      <c r="E4" s="1">
        <f>SUM(MARZO!$H$15:$H$21)</f>
        <v>0</v>
      </c>
      <c r="F4" s="1">
        <f>1-E5</f>
        <v>1</v>
      </c>
      <c r="G4" s="1">
        <f>SUM(ABRIL!$H$15:$H$21)</f>
        <v>0</v>
      </c>
      <c r="H4" s="1">
        <f>1-G5</f>
        <v>1</v>
      </c>
      <c r="I4" s="1">
        <f>SUM(MAYO!$H$15:$H$21)</f>
        <v>0</v>
      </c>
      <c r="J4" s="1">
        <f>1-I5</f>
        <v>1</v>
      </c>
      <c r="K4" s="1">
        <f>SUM(JUNIO!$H$15:$H$21)</f>
        <v>0</v>
      </c>
      <c r="L4" s="1">
        <f>1-K5</f>
        <v>1</v>
      </c>
    </row>
    <row r="5" spans="1:12" ht="15.75" customHeight="1" x14ac:dyDescent="0.25">
      <c r="A5" s="1">
        <f>A4/A3</f>
        <v>0</v>
      </c>
      <c r="B5" s="1"/>
      <c r="C5" s="1">
        <f>C4/C3</f>
        <v>0</v>
      </c>
      <c r="D5" s="1"/>
      <c r="E5" s="1">
        <f>E4/E3</f>
        <v>0</v>
      </c>
      <c r="F5" s="1"/>
      <c r="G5" s="1">
        <f>G4/G3</f>
        <v>0</v>
      </c>
      <c r="H5" s="1"/>
      <c r="I5" s="1">
        <f>I4/I3</f>
        <v>0</v>
      </c>
      <c r="J5" s="1"/>
      <c r="K5" s="1">
        <f>K4/K3</f>
        <v>0</v>
      </c>
      <c r="L5" s="1"/>
    </row>
    <row r="7" spans="1:12" ht="15.75" customHeight="1" x14ac:dyDescent="0.25">
      <c r="A7" s="118" t="s">
        <v>6</v>
      </c>
      <c r="B7" s="119"/>
      <c r="C7" s="118" t="s">
        <v>7</v>
      </c>
      <c r="D7" s="119"/>
      <c r="E7" s="118" t="s">
        <v>8</v>
      </c>
      <c r="F7" s="119"/>
      <c r="G7" s="118" t="s">
        <v>9</v>
      </c>
      <c r="H7" s="119"/>
      <c r="I7" s="118" t="s">
        <v>10</v>
      </c>
      <c r="J7" s="119"/>
      <c r="K7" s="118" t="s">
        <v>11</v>
      </c>
      <c r="L7" s="119"/>
    </row>
    <row r="8" spans="1:12" ht="15.75" customHeight="1" x14ac:dyDescent="0.25">
      <c r="A8" s="1">
        <v>7</v>
      </c>
      <c r="B8" s="1">
        <f>A10</f>
        <v>0</v>
      </c>
      <c r="C8" s="1">
        <v>7</v>
      </c>
      <c r="D8" s="1">
        <f>C10</f>
        <v>0</v>
      </c>
      <c r="E8" s="1">
        <v>7</v>
      </c>
      <c r="F8" s="1">
        <f>E10</f>
        <v>0</v>
      </c>
      <c r="G8" s="1">
        <v>7</v>
      </c>
      <c r="H8" s="1">
        <f>G10</f>
        <v>0</v>
      </c>
      <c r="I8" s="1">
        <v>7</v>
      </c>
      <c r="J8" s="1">
        <f>I10</f>
        <v>0</v>
      </c>
      <c r="K8" s="1">
        <v>7</v>
      </c>
      <c r="L8" s="1">
        <f>K10</f>
        <v>0</v>
      </c>
    </row>
    <row r="9" spans="1:12" ht="15.75" customHeight="1" x14ac:dyDescent="0.25">
      <c r="A9" s="1">
        <f>SUM(JULIO!$H$15:$H$21)</f>
        <v>0</v>
      </c>
      <c r="B9" s="1">
        <f>1-A10</f>
        <v>1</v>
      </c>
      <c r="C9" s="1">
        <f>SUM(AGOSTO!$H$15:$H$21)</f>
        <v>0</v>
      </c>
      <c r="D9" s="1">
        <f>1-C10</f>
        <v>1</v>
      </c>
      <c r="E9" s="1">
        <f>SUM(SEPTIEMBRE!$H$15:$H$21)</f>
        <v>0</v>
      </c>
      <c r="F9" s="1">
        <f>1-E10</f>
        <v>1</v>
      </c>
      <c r="G9" s="1">
        <f>SUM(OCTUBRE!$H$15:$H$21)</f>
        <v>0</v>
      </c>
      <c r="H9" s="1">
        <f>1-G10</f>
        <v>1</v>
      </c>
      <c r="I9" s="1">
        <f>SUM(NOVIEMBRE!$H$15:$H$21)</f>
        <v>0</v>
      </c>
      <c r="J9" s="1">
        <f>1-I10</f>
        <v>1</v>
      </c>
      <c r="K9" s="1">
        <f>SUM(DICIEMBRE!$H$15:$H$21)</f>
        <v>0</v>
      </c>
      <c r="L9" s="1">
        <f>1-K10</f>
        <v>1</v>
      </c>
    </row>
    <row r="10" spans="1:12" ht="15.75" customHeight="1" x14ac:dyDescent="0.25">
      <c r="A10" s="1">
        <f>A9/A8</f>
        <v>0</v>
      </c>
      <c r="B10" s="1"/>
      <c r="C10" s="1">
        <f>C9/C8</f>
        <v>0</v>
      </c>
      <c r="D10" s="1"/>
      <c r="E10" s="1">
        <f>E9/E8</f>
        <v>0</v>
      </c>
      <c r="F10" s="1"/>
      <c r="G10" s="1">
        <f>G9/G8</f>
        <v>0</v>
      </c>
      <c r="H10" s="1"/>
      <c r="I10" s="1">
        <f>I9/I8</f>
        <v>0</v>
      </c>
      <c r="J10" s="1"/>
      <c r="K10" s="1">
        <f>K9/K8</f>
        <v>0</v>
      </c>
      <c r="L10" s="1"/>
    </row>
  </sheetData>
  <mergeCells count="12">
    <mergeCell ref="K2:L2"/>
    <mergeCell ref="A7:B7"/>
    <mergeCell ref="K7:L7"/>
    <mergeCell ref="C7:D7"/>
    <mergeCell ref="E7:F7"/>
    <mergeCell ref="G7:H7"/>
    <mergeCell ref="I7:J7"/>
    <mergeCell ref="A2:B2"/>
    <mergeCell ref="C2:D2"/>
    <mergeCell ref="E2:F2"/>
    <mergeCell ref="G2:H2"/>
    <mergeCell ref="I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67"/>
  <sheetViews>
    <sheetView topLeftCell="A114" workbookViewId="0">
      <selection activeCell="C25" sqref="C25"/>
    </sheetView>
  </sheetViews>
  <sheetFormatPr baseColWidth="10" defaultColWidth="12.6328125" defaultRowHeight="15.75" customHeight="1" x14ac:dyDescent="0.25"/>
  <sheetData>
    <row r="1" spans="1:26" ht="15.75" customHeight="1" x14ac:dyDescent="0.25">
      <c r="A1" s="2"/>
      <c r="B1" s="2"/>
      <c r="C1" s="2"/>
      <c r="D1" s="3"/>
      <c r="E1" s="3"/>
      <c r="F1" s="3"/>
      <c r="G1" s="3"/>
      <c r="H1" s="193" t="s">
        <v>12</v>
      </c>
      <c r="I1" s="194"/>
      <c r="J1" s="194"/>
      <c r="K1" s="194"/>
      <c r="L1" s="194"/>
      <c r="M1" s="194"/>
      <c r="N1" s="194"/>
      <c r="O1" s="195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5">
      <c r="A2" s="2"/>
      <c r="B2" s="2"/>
      <c r="C2" s="2"/>
      <c r="D2" s="3"/>
      <c r="E2" s="3"/>
      <c r="F2" s="3"/>
      <c r="G2" s="3"/>
      <c r="H2" s="196"/>
      <c r="I2" s="197"/>
      <c r="J2" s="197"/>
      <c r="K2" s="197"/>
      <c r="L2" s="197"/>
      <c r="M2" s="197"/>
      <c r="N2" s="197"/>
      <c r="O2" s="198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5">
      <c r="A3" s="2"/>
      <c r="B3" s="2"/>
      <c r="C3" s="2"/>
      <c r="D3" s="3"/>
      <c r="E3" s="3"/>
      <c r="F3" s="3"/>
      <c r="G3" s="3"/>
      <c r="H3" s="199"/>
      <c r="I3" s="200"/>
      <c r="J3" s="200"/>
      <c r="K3" s="200"/>
      <c r="L3" s="200"/>
      <c r="M3" s="200"/>
      <c r="N3" s="200"/>
      <c r="O3" s="201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5">
      <c r="A4" s="2"/>
      <c r="B4" s="2"/>
      <c r="C4" s="2"/>
      <c r="D4" s="3"/>
      <c r="E4" s="3"/>
      <c r="F4" s="3"/>
      <c r="G4" s="3"/>
      <c r="H4" s="4"/>
      <c r="I4" s="4"/>
      <c r="J4" s="4"/>
      <c r="K4" s="202">
        <v>2026</v>
      </c>
      <c r="L4" s="198"/>
      <c r="M4" s="4"/>
      <c r="N4" s="4"/>
      <c r="O4" s="4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5">
      <c r="A5" s="2"/>
      <c r="B5" s="2"/>
      <c r="C5" s="2"/>
      <c r="D5" s="3"/>
      <c r="E5" s="3"/>
      <c r="F5" s="3"/>
      <c r="G5" s="3"/>
      <c r="H5" s="3"/>
      <c r="I5" s="3"/>
      <c r="J5" s="3"/>
      <c r="K5" s="203"/>
      <c r="L5" s="14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5">
      <c r="A6" s="2"/>
      <c r="B6" s="2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5">
      <c r="A7" s="2"/>
      <c r="B7" s="2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5">
      <c r="A8" s="2"/>
      <c r="B8" s="2"/>
      <c r="C8" s="2"/>
      <c r="D8" s="3"/>
      <c r="E8" s="3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3"/>
      <c r="U8" s="3"/>
      <c r="V8" s="3"/>
      <c r="W8" s="3"/>
      <c r="X8" s="3"/>
      <c r="Y8" s="3"/>
      <c r="Z8" s="3"/>
    </row>
    <row r="9" spans="1:26" x14ac:dyDescent="0.3">
      <c r="A9" s="2"/>
      <c r="B9" s="2"/>
      <c r="C9" s="2"/>
      <c r="D9" s="5"/>
      <c r="E9" s="6"/>
      <c r="F9" s="7" t="s">
        <v>0</v>
      </c>
      <c r="G9" s="7" t="s">
        <v>1</v>
      </c>
      <c r="H9" s="7" t="s">
        <v>2</v>
      </c>
      <c r="I9" s="7" t="s">
        <v>3</v>
      </c>
      <c r="J9" s="7" t="s">
        <v>4</v>
      </c>
      <c r="K9" s="7" t="s">
        <v>5</v>
      </c>
      <c r="L9" s="7" t="s">
        <v>6</v>
      </c>
      <c r="M9" s="7" t="s">
        <v>7</v>
      </c>
      <c r="N9" s="7" t="s">
        <v>8</v>
      </c>
      <c r="O9" s="7" t="s">
        <v>9</v>
      </c>
      <c r="P9" s="7" t="s">
        <v>10</v>
      </c>
      <c r="Q9" s="8" t="s">
        <v>11</v>
      </c>
      <c r="R9" s="9" t="s">
        <v>13</v>
      </c>
      <c r="S9" s="9" t="s">
        <v>14</v>
      </c>
      <c r="T9" s="10"/>
      <c r="U9" s="3"/>
      <c r="V9" s="10"/>
      <c r="W9" s="3"/>
      <c r="X9" s="10"/>
      <c r="Y9" s="3"/>
      <c r="Z9" s="10"/>
    </row>
    <row r="10" spans="1:26" ht="15.75" customHeight="1" x14ac:dyDescent="0.25">
      <c r="A10" s="2"/>
      <c r="B10" s="2"/>
      <c r="C10" s="11"/>
      <c r="D10" s="204" t="s">
        <v>15</v>
      </c>
      <c r="E10" s="129"/>
      <c r="F10" s="120">
        <f>ENERO!$L$5</f>
        <v>10000</v>
      </c>
      <c r="G10" s="120">
        <f>FEBRERO!$L$5</f>
        <v>0</v>
      </c>
      <c r="H10" s="120">
        <f>MARZO!$L$5</f>
        <v>0</v>
      </c>
      <c r="I10" s="120">
        <f>ABRIL!$L$5</f>
        <v>0</v>
      </c>
      <c r="J10" s="120">
        <f>MAYO!$L$5</f>
        <v>0</v>
      </c>
      <c r="K10" s="120">
        <f>JUNIO!$L$5</f>
        <v>0</v>
      </c>
      <c r="L10" s="120">
        <f>JULIO!$L$5</f>
        <v>0</v>
      </c>
      <c r="M10" s="120">
        <f>AGOSTO!$L$5</f>
        <v>0</v>
      </c>
      <c r="N10" s="120">
        <f>SEPTIEMBRE!$L$5</f>
        <v>0</v>
      </c>
      <c r="O10" s="120">
        <f>OCTUBRE!$L$5</f>
        <v>0</v>
      </c>
      <c r="P10" s="120">
        <f>NOVIEMBRE!$L$5</f>
        <v>0</v>
      </c>
      <c r="Q10" s="122">
        <f>DICIEMBRE!$L$5</f>
        <v>0</v>
      </c>
      <c r="R10" s="191">
        <f>AVERAGEIF(F10:Q11,"&gt;0")</f>
        <v>10000</v>
      </c>
      <c r="S10" s="192">
        <f>SUM(F10:Q10)</f>
        <v>10000</v>
      </c>
      <c r="T10" s="10"/>
      <c r="U10" s="3"/>
      <c r="V10" s="10"/>
      <c r="W10" s="3"/>
      <c r="X10" s="10"/>
      <c r="Y10" s="3"/>
      <c r="Z10" s="10"/>
    </row>
    <row r="11" spans="1:26" ht="15.75" customHeight="1" x14ac:dyDescent="0.25">
      <c r="A11" s="2"/>
      <c r="B11" s="2"/>
      <c r="C11" s="11"/>
      <c r="D11" s="130"/>
      <c r="E11" s="13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3"/>
      <c r="R11" s="125"/>
      <c r="S11" s="127"/>
      <c r="T11" s="10"/>
      <c r="U11" s="3"/>
      <c r="V11" s="10"/>
      <c r="W11" s="3"/>
      <c r="X11" s="10"/>
      <c r="Y11" s="3"/>
      <c r="Z11" s="10"/>
    </row>
    <row r="12" spans="1:26" ht="15.75" customHeight="1" x14ac:dyDescent="0.25">
      <c r="A12" s="2"/>
      <c r="B12" s="2"/>
      <c r="C12" s="11"/>
      <c r="D12" s="205" t="s">
        <v>16</v>
      </c>
      <c r="E12" s="129"/>
      <c r="F12" s="120">
        <f>ENERO!$H$8</f>
        <v>0</v>
      </c>
      <c r="G12" s="120">
        <f>FEBRERO!$H$8</f>
        <v>0</v>
      </c>
      <c r="H12" s="120">
        <f>MARZO!$H$8</f>
        <v>0</v>
      </c>
      <c r="I12" s="120">
        <f>ABRIL!$H$8</f>
        <v>0</v>
      </c>
      <c r="J12" s="120">
        <f>MAYO!$H$8</f>
        <v>0</v>
      </c>
      <c r="K12" s="120">
        <f>JUNIO!$H$8</f>
        <v>0</v>
      </c>
      <c r="L12" s="120">
        <f>JULIO!$H$8</f>
        <v>0</v>
      </c>
      <c r="M12" s="120">
        <f>AGOSTO!$H$8</f>
        <v>0</v>
      </c>
      <c r="N12" s="120">
        <f>SEPTIEMBRE!$H$8</f>
        <v>0</v>
      </c>
      <c r="O12" s="120">
        <f>OCTUBRE!$H$8</f>
        <v>0</v>
      </c>
      <c r="P12" s="120">
        <f>NOVIEMBRE!$H$8</f>
        <v>0</v>
      </c>
      <c r="Q12" s="122">
        <f>DICIEMBRE!$H$8</f>
        <v>0</v>
      </c>
      <c r="R12" s="124" t="e">
        <f>AVERAGEIF(F12:Q13,"&gt;0")</f>
        <v>#DIV/0!</v>
      </c>
      <c r="S12" s="126">
        <f>SUM(F12:Q13)</f>
        <v>0</v>
      </c>
      <c r="T12" s="10"/>
      <c r="U12" s="3"/>
      <c r="V12" s="10"/>
      <c r="W12" s="3"/>
      <c r="X12" s="10"/>
      <c r="Y12" s="3"/>
      <c r="Z12" s="10"/>
    </row>
    <row r="13" spans="1:26" ht="15.75" customHeight="1" x14ac:dyDescent="0.25">
      <c r="A13" s="2"/>
      <c r="B13" s="2"/>
      <c r="C13" s="11"/>
      <c r="D13" s="130"/>
      <c r="E13" s="13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3"/>
      <c r="R13" s="125"/>
      <c r="S13" s="127"/>
      <c r="T13" s="10"/>
      <c r="U13" s="3"/>
      <c r="V13" s="10"/>
      <c r="W13" s="3"/>
      <c r="X13" s="10"/>
      <c r="Y13" s="3"/>
      <c r="Z13" s="10"/>
    </row>
    <row r="14" spans="1:26" ht="15.75" customHeight="1" x14ac:dyDescent="0.25">
      <c r="A14" s="2"/>
      <c r="B14" s="2"/>
      <c r="C14" s="11"/>
      <c r="D14" s="128" t="s">
        <v>17</v>
      </c>
      <c r="E14" s="129"/>
      <c r="F14" s="120">
        <f>ENERO!$I$8</f>
        <v>3000</v>
      </c>
      <c r="G14" s="120">
        <f>FEBRERO!$I$8</f>
        <v>0</v>
      </c>
      <c r="H14" s="120">
        <f>MARZO!$I$8</f>
        <v>0</v>
      </c>
      <c r="I14" s="120">
        <f>ABRIL!$I$8</f>
        <v>0</v>
      </c>
      <c r="J14" s="120">
        <f>MAYO!$I$8</f>
        <v>0</v>
      </c>
      <c r="K14" s="120">
        <f>JUNIO!$I$8</f>
        <v>0</v>
      </c>
      <c r="L14" s="120">
        <f>JULIO!$I$8</f>
        <v>0</v>
      </c>
      <c r="M14" s="120">
        <f>AGOSTO!$I$8</f>
        <v>0</v>
      </c>
      <c r="N14" s="120">
        <f>SEPTIEMBRE!$I$8</f>
        <v>0</v>
      </c>
      <c r="O14" s="120">
        <f>OCTUBRE!$I$8</f>
        <v>0</v>
      </c>
      <c r="P14" s="120">
        <f>NOVIEMBRE!$I$8</f>
        <v>0</v>
      </c>
      <c r="Q14" s="122">
        <f>DICIEMBRE!$I$8</f>
        <v>0</v>
      </c>
      <c r="R14" s="124">
        <f>AVERAGEIF(F14:Q15,"&gt;0")</f>
        <v>3000</v>
      </c>
      <c r="S14" s="126">
        <f>SUM(F14:Q15)</f>
        <v>3000</v>
      </c>
      <c r="T14" s="10"/>
      <c r="U14" s="3"/>
      <c r="V14" s="10"/>
      <c r="W14" s="3"/>
      <c r="X14" s="10"/>
      <c r="Y14" s="3"/>
      <c r="Z14" s="10"/>
    </row>
    <row r="15" spans="1:26" ht="15.75" customHeight="1" x14ac:dyDescent="0.25">
      <c r="A15" s="2"/>
      <c r="B15" s="2"/>
      <c r="C15" s="11"/>
      <c r="D15" s="130"/>
      <c r="E15" s="13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3"/>
      <c r="R15" s="125"/>
      <c r="S15" s="127"/>
      <c r="T15" s="10"/>
      <c r="U15" s="3"/>
      <c r="V15" s="10"/>
      <c r="W15" s="3"/>
      <c r="X15" s="10"/>
      <c r="Y15" s="3"/>
      <c r="Z15" s="10"/>
    </row>
    <row r="16" spans="1:26" ht="15.75" customHeight="1" x14ac:dyDescent="0.25">
      <c r="A16" s="2"/>
      <c r="B16" s="2"/>
      <c r="C16" s="11"/>
      <c r="D16" s="132" t="s">
        <v>18</v>
      </c>
      <c r="E16" s="129"/>
      <c r="F16" s="120">
        <f>ENERO!$L$8</f>
        <v>3000</v>
      </c>
      <c r="G16" s="120">
        <f>FEBRERO!$L$8</f>
        <v>0</v>
      </c>
      <c r="H16" s="120">
        <f>MARZO!$L$8</f>
        <v>0</v>
      </c>
      <c r="I16" s="120">
        <f>ABRIL!$L$8</f>
        <v>0</v>
      </c>
      <c r="J16" s="120">
        <f>MAYO!$L$8</f>
        <v>0</v>
      </c>
      <c r="K16" s="120">
        <f>JUNIO!$L$8</f>
        <v>0</v>
      </c>
      <c r="L16" s="120">
        <f>JULIO!$L$8</f>
        <v>0</v>
      </c>
      <c r="M16" s="120">
        <f>AGOSTO!$L$8</f>
        <v>0</v>
      </c>
      <c r="N16" s="120">
        <f>SEPTIEMBRE!$L$8</f>
        <v>0</v>
      </c>
      <c r="O16" s="120">
        <f>OCTUBRE!$L$8</f>
        <v>0</v>
      </c>
      <c r="P16" s="120">
        <f>NOVIEMBRE!$L$8</f>
        <v>0</v>
      </c>
      <c r="Q16" s="122">
        <f>DICIEMBRE!$L$8</f>
        <v>0</v>
      </c>
      <c r="R16" s="124">
        <f>AVERAGEIF(F16:Q17,"&gt;0")</f>
        <v>3000</v>
      </c>
      <c r="S16" s="126">
        <f>SUM(F16:Q17)</f>
        <v>3000</v>
      </c>
      <c r="T16" s="10"/>
      <c r="U16" s="3"/>
      <c r="V16" s="10"/>
      <c r="W16" s="3"/>
      <c r="X16" s="10"/>
      <c r="Y16" s="3"/>
      <c r="Z16" s="10"/>
    </row>
    <row r="17" spans="1:26" ht="15.75" customHeight="1" x14ac:dyDescent="0.25">
      <c r="A17" s="2"/>
      <c r="B17" s="2"/>
      <c r="C17" s="11"/>
      <c r="D17" s="130"/>
      <c r="E17" s="13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3"/>
      <c r="R17" s="125"/>
      <c r="S17" s="127"/>
      <c r="T17" s="10"/>
      <c r="U17" s="3"/>
      <c r="V17" s="10"/>
      <c r="W17" s="3"/>
      <c r="X17" s="10"/>
      <c r="Y17" s="3"/>
      <c r="Z17" s="10"/>
    </row>
    <row r="18" spans="1:26" ht="15.75" customHeight="1" x14ac:dyDescent="0.25">
      <c r="A18" s="2"/>
      <c r="B18" s="2"/>
      <c r="C18" s="11"/>
      <c r="D18" s="133" t="s">
        <v>19</v>
      </c>
      <c r="E18" s="129"/>
      <c r="F18" s="120">
        <f>ENERO!$J$8</f>
        <v>0</v>
      </c>
      <c r="G18" s="120">
        <f>FEBRERO!$J$8</f>
        <v>0</v>
      </c>
      <c r="H18" s="120">
        <f>MARZO!$J$8</f>
        <v>0</v>
      </c>
      <c r="I18" s="120">
        <f>ABRIL!$J$8</f>
        <v>0</v>
      </c>
      <c r="J18" s="120">
        <f>MAYO!$J$8</f>
        <v>0</v>
      </c>
      <c r="K18" s="120">
        <f>JUNIO!$J$8</f>
        <v>0</v>
      </c>
      <c r="L18" s="120">
        <f>JULIO!$J$8</f>
        <v>0</v>
      </c>
      <c r="M18" s="120">
        <f>AGOSTO!$J$8</f>
        <v>0</v>
      </c>
      <c r="N18" s="120">
        <f>SEPTIEMBRE!$J$8</f>
        <v>0</v>
      </c>
      <c r="O18" s="120">
        <f>OCTUBRE!$J$8</f>
        <v>0</v>
      </c>
      <c r="P18" s="120">
        <f>NOVIEMBRE!$J$8</f>
        <v>0</v>
      </c>
      <c r="Q18" s="122">
        <f>DICIEMBRE!$J$8</f>
        <v>0</v>
      </c>
      <c r="R18" s="124" t="e">
        <f>AVERAGEIF(F18:Q19,"&gt;0")</f>
        <v>#DIV/0!</v>
      </c>
      <c r="S18" s="126">
        <f>SUM(F18:Q19)</f>
        <v>0</v>
      </c>
      <c r="T18" s="10"/>
      <c r="U18" s="3"/>
      <c r="V18" s="10"/>
      <c r="W18" s="3"/>
      <c r="X18" s="10"/>
      <c r="Y18" s="3"/>
      <c r="Z18" s="10"/>
    </row>
    <row r="19" spans="1:26" ht="15.75" customHeight="1" x14ac:dyDescent="0.25">
      <c r="A19" s="2"/>
      <c r="B19" s="2"/>
      <c r="C19" s="11"/>
      <c r="D19" s="130"/>
      <c r="E19" s="13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3"/>
      <c r="R19" s="125"/>
      <c r="S19" s="127"/>
      <c r="T19" s="10"/>
      <c r="U19" s="3"/>
      <c r="V19" s="10"/>
      <c r="W19" s="3"/>
      <c r="X19" s="10"/>
      <c r="Y19" s="3"/>
      <c r="Z19" s="10"/>
    </row>
    <row r="20" spans="1:26" ht="15.75" customHeight="1" x14ac:dyDescent="0.25">
      <c r="A20" s="2"/>
      <c r="B20" s="2"/>
      <c r="C20" s="11"/>
      <c r="D20" s="138" t="s">
        <v>20</v>
      </c>
      <c r="E20" s="129"/>
      <c r="F20" s="120">
        <f>ENERO!$K$8</f>
        <v>0</v>
      </c>
      <c r="G20" s="120">
        <f>FEBRERO!$K$8</f>
        <v>0</v>
      </c>
      <c r="H20" s="120">
        <f>MARZO!$K$8</f>
        <v>0</v>
      </c>
      <c r="I20" s="120">
        <f>ABRIL!$K$8</f>
        <v>0</v>
      </c>
      <c r="J20" s="120">
        <f>MAYO!$K$8</f>
        <v>0</v>
      </c>
      <c r="K20" s="120">
        <f>JUNIO!$K$8</f>
        <v>0</v>
      </c>
      <c r="L20" s="120">
        <f>JULIO!$K$8</f>
        <v>0</v>
      </c>
      <c r="M20" s="120">
        <f>AGOSTO!$K$8</f>
        <v>0</v>
      </c>
      <c r="N20" s="120">
        <f>SEPTIEMBRE!$K$8</f>
        <v>0</v>
      </c>
      <c r="O20" s="120">
        <f>OCTUBRE!$K$8</f>
        <v>0</v>
      </c>
      <c r="P20" s="120">
        <f>NOVIEMBRE!$K$8</f>
        <v>0</v>
      </c>
      <c r="Q20" s="122">
        <f>DICIEMBRE!$K$8</f>
        <v>0</v>
      </c>
      <c r="R20" s="124" t="e">
        <f>AVERAGEIF(F20:Q21,"&gt;0")</f>
        <v>#DIV/0!</v>
      </c>
      <c r="S20" s="126">
        <f>SUM(F20:Q21)</f>
        <v>0</v>
      </c>
      <c r="T20" s="10"/>
      <c r="U20" s="3"/>
      <c r="V20" s="10"/>
      <c r="W20" s="3"/>
      <c r="X20" s="10"/>
      <c r="Y20" s="3"/>
      <c r="Z20" s="10"/>
    </row>
    <row r="21" spans="1:26" ht="15.75" customHeight="1" x14ac:dyDescent="0.25">
      <c r="A21" s="2"/>
      <c r="B21" s="2"/>
      <c r="C21" s="11"/>
      <c r="D21" s="130"/>
      <c r="E21" s="131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5"/>
      <c r="R21" s="136"/>
      <c r="S21" s="137"/>
      <c r="T21" s="10"/>
      <c r="U21" s="3"/>
      <c r="V21" s="10"/>
      <c r="W21" s="3"/>
      <c r="X21" s="10"/>
      <c r="Y21" s="3"/>
      <c r="Z21" s="10"/>
    </row>
    <row r="22" spans="1:26" ht="15.75" customHeight="1" x14ac:dyDescent="0.25">
      <c r="A22" s="2"/>
      <c r="B22" s="2"/>
      <c r="C22" s="2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2"/>
      <c r="B23" s="2"/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2"/>
      <c r="B24" s="2"/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2"/>
      <c r="B25" s="2"/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2"/>
      <c r="B26" s="2"/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2"/>
      <c r="B27" s="2"/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2"/>
      <c r="B28" s="2"/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2"/>
      <c r="B29" s="2"/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2"/>
      <c r="B30" s="2"/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2"/>
      <c r="B31" s="2"/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2"/>
      <c r="B32" s="2"/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2"/>
      <c r="B33" s="2"/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2"/>
      <c r="B34" s="2"/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2"/>
      <c r="B35" s="2"/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2"/>
      <c r="B36" s="2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5" x14ac:dyDescent="0.25">
      <c r="A37" s="2"/>
      <c r="B37" s="2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5" x14ac:dyDescent="0.25">
      <c r="A38" s="2"/>
      <c r="B38" s="2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5" x14ac:dyDescent="0.25">
      <c r="A39" s="2"/>
      <c r="B39" s="2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5" x14ac:dyDescent="0.25">
      <c r="A40" s="2"/>
      <c r="B40" s="2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5" x14ac:dyDescent="0.25">
      <c r="A41" s="2"/>
      <c r="B41" s="2"/>
      <c r="C41" s="2"/>
      <c r="D41" s="5"/>
      <c r="E41" s="5"/>
      <c r="F41" s="5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5" x14ac:dyDescent="0.25">
      <c r="A42" s="2"/>
      <c r="B42" s="2"/>
      <c r="C42" s="2"/>
      <c r="D42" s="5"/>
      <c r="E42" s="5"/>
      <c r="F42" s="5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5" x14ac:dyDescent="0.25">
      <c r="A43" s="2"/>
      <c r="B43" s="2"/>
      <c r="C43" s="2"/>
      <c r="D43" s="5"/>
      <c r="E43" s="5"/>
      <c r="F43" s="5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5" x14ac:dyDescent="0.25">
      <c r="A44" s="2"/>
      <c r="B44" s="2"/>
      <c r="C44" s="2"/>
      <c r="D44" s="5"/>
      <c r="E44" s="5"/>
      <c r="F44" s="5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5" x14ac:dyDescent="0.25">
      <c r="A45" s="2"/>
      <c r="B45" s="2"/>
      <c r="C45" s="2"/>
      <c r="D45" s="5"/>
      <c r="E45" s="5"/>
      <c r="F45" s="5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5" x14ac:dyDescent="0.25">
      <c r="A46" s="2"/>
      <c r="B46" s="2"/>
      <c r="C46" s="2"/>
      <c r="D46" s="5"/>
      <c r="E46" s="5"/>
      <c r="F46" s="5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5" x14ac:dyDescent="0.25">
      <c r="A47" s="2"/>
      <c r="B47" s="2"/>
      <c r="C47" s="2"/>
      <c r="D47" s="5"/>
      <c r="E47" s="5"/>
      <c r="F47" s="5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5" x14ac:dyDescent="0.25">
      <c r="A48" s="2"/>
      <c r="B48" s="2"/>
      <c r="C48" s="2"/>
      <c r="D48" s="5"/>
      <c r="E48" s="5"/>
      <c r="F48" s="5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5" x14ac:dyDescent="0.25">
      <c r="A49" s="2"/>
      <c r="B49" s="2"/>
      <c r="C49" s="2"/>
      <c r="D49" s="5"/>
      <c r="E49" s="5"/>
      <c r="F49" s="5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5" x14ac:dyDescent="0.25">
      <c r="A50" s="2"/>
      <c r="B50" s="2"/>
      <c r="C50" s="2"/>
      <c r="D50" s="5"/>
      <c r="E50" s="5"/>
      <c r="F50" s="5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5" x14ac:dyDescent="0.25">
      <c r="A51" s="2"/>
      <c r="B51" s="2"/>
      <c r="C51" s="2"/>
      <c r="D51" s="5"/>
      <c r="E51" s="5"/>
      <c r="F51" s="5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5" x14ac:dyDescent="0.25">
      <c r="A52" s="2"/>
      <c r="B52" s="2"/>
      <c r="C52" s="2"/>
      <c r="D52" s="5"/>
      <c r="E52" s="5"/>
      <c r="F52" s="5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5" x14ac:dyDescent="0.25">
      <c r="A53" s="2"/>
      <c r="B53" s="2"/>
      <c r="C53" s="2"/>
      <c r="D53" s="5"/>
      <c r="E53" s="5"/>
      <c r="F53" s="5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5" x14ac:dyDescent="0.25">
      <c r="A54" s="2"/>
      <c r="B54" s="2"/>
      <c r="C54" s="2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3"/>
      <c r="U54" s="3"/>
      <c r="V54" s="3"/>
      <c r="W54" s="3"/>
      <c r="X54" s="3"/>
      <c r="Y54" s="3"/>
      <c r="Z54" s="3"/>
    </row>
    <row r="55" spans="1:26" ht="12.5" x14ac:dyDescent="0.25">
      <c r="A55" s="2"/>
      <c r="B55" s="2"/>
      <c r="C55" s="11"/>
      <c r="D55" s="206" t="s">
        <v>21</v>
      </c>
      <c r="E55" s="207"/>
      <c r="F55" s="145" t="s">
        <v>0</v>
      </c>
      <c r="G55" s="145" t="s">
        <v>1</v>
      </c>
      <c r="H55" s="145" t="s">
        <v>2</v>
      </c>
      <c r="I55" s="145" t="s">
        <v>3</v>
      </c>
      <c r="J55" s="145" t="s">
        <v>4</v>
      </c>
      <c r="K55" s="145" t="s">
        <v>5</v>
      </c>
      <c r="L55" s="145" t="s">
        <v>6</v>
      </c>
      <c r="M55" s="145" t="s">
        <v>7</v>
      </c>
      <c r="N55" s="147" t="s">
        <v>8</v>
      </c>
      <c r="O55" s="145" t="s">
        <v>9</v>
      </c>
      <c r="P55" s="145" t="s">
        <v>10</v>
      </c>
      <c r="Q55" s="147" t="s">
        <v>11</v>
      </c>
      <c r="R55" s="139" t="s">
        <v>13</v>
      </c>
      <c r="S55" s="139" t="s">
        <v>14</v>
      </c>
      <c r="T55" s="141"/>
      <c r="U55" s="143"/>
      <c r="V55" s="143"/>
      <c r="W55" s="143"/>
      <c r="X55" s="143"/>
      <c r="Y55" s="143"/>
      <c r="Z55" s="143"/>
    </row>
    <row r="56" spans="1:26" ht="12.5" x14ac:dyDescent="0.25">
      <c r="A56" s="2"/>
      <c r="B56" s="2"/>
      <c r="C56" s="11"/>
      <c r="D56" s="130"/>
      <c r="E56" s="201"/>
      <c r="F56" s="146"/>
      <c r="G56" s="146"/>
      <c r="H56" s="146"/>
      <c r="I56" s="146"/>
      <c r="J56" s="146"/>
      <c r="K56" s="146"/>
      <c r="L56" s="146"/>
      <c r="M56" s="146"/>
      <c r="N56" s="130"/>
      <c r="O56" s="146"/>
      <c r="P56" s="146"/>
      <c r="Q56" s="130"/>
      <c r="R56" s="140"/>
      <c r="S56" s="140"/>
      <c r="T56" s="142"/>
      <c r="U56" s="144"/>
      <c r="V56" s="144"/>
      <c r="W56" s="144"/>
      <c r="X56" s="144"/>
      <c r="Y56" s="144"/>
      <c r="Z56" s="144"/>
    </row>
    <row r="57" spans="1:26" ht="13" x14ac:dyDescent="0.3">
      <c r="A57" s="2"/>
      <c r="B57" s="2"/>
      <c r="C57" s="11"/>
      <c r="D57" s="148" t="s">
        <v>22</v>
      </c>
      <c r="E57" s="149"/>
      <c r="F57" s="12">
        <f>ENERO!$T$15</f>
        <v>0</v>
      </c>
      <c r="G57" s="13">
        <f>FEBRERO!$T15</f>
        <v>0</v>
      </c>
      <c r="H57" s="13">
        <f>MARZO!$T15</f>
        <v>0</v>
      </c>
      <c r="I57" s="13">
        <f>ABRIL!$T15</f>
        <v>0</v>
      </c>
      <c r="J57" s="13">
        <f>MAYO!$T15</f>
        <v>0</v>
      </c>
      <c r="K57" s="13">
        <f>JUNIO!$T15</f>
        <v>0</v>
      </c>
      <c r="L57" s="13">
        <f>JULIO!$T15</f>
        <v>0</v>
      </c>
      <c r="M57" s="13">
        <f>AGOSTO!$T15</f>
        <v>0</v>
      </c>
      <c r="N57" s="13">
        <f>SEPTIEMBRE!$T15</f>
        <v>0</v>
      </c>
      <c r="O57" s="13">
        <f>OCTUBRE!$T15</f>
        <v>0</v>
      </c>
      <c r="P57" s="13">
        <f>NOVIEMBRE!$T15</f>
        <v>0</v>
      </c>
      <c r="Q57" s="14">
        <f>DICIEMBRE!$T15</f>
        <v>0</v>
      </c>
      <c r="R57" s="15" t="e">
        <f t="shared" ref="R57:R79" si="0">AVERAGEIF(F57:Q57,"&gt;0")</f>
        <v>#DIV/0!</v>
      </c>
      <c r="S57" s="16">
        <f t="shared" ref="S57:S79" si="1">SUM(F57:Q57)</f>
        <v>0</v>
      </c>
      <c r="T57" s="10"/>
      <c r="U57" s="3"/>
      <c r="V57" s="3"/>
      <c r="W57" s="3"/>
      <c r="X57" s="3"/>
      <c r="Y57" s="3"/>
      <c r="Z57" s="3"/>
    </row>
    <row r="58" spans="1:26" ht="13" x14ac:dyDescent="0.3">
      <c r="A58" s="2"/>
      <c r="B58" s="2"/>
      <c r="C58" s="11"/>
      <c r="D58" s="150" t="s">
        <v>23</v>
      </c>
      <c r="E58" s="151"/>
      <c r="F58" s="17">
        <f>ENERO!$T$16</f>
        <v>0</v>
      </c>
      <c r="G58" s="18">
        <f>FEBRERO!$T16</f>
        <v>0</v>
      </c>
      <c r="H58" s="18">
        <f>MARZO!$T16</f>
        <v>0</v>
      </c>
      <c r="I58" s="18">
        <f>ABRIL!$T16</f>
        <v>0</v>
      </c>
      <c r="J58" s="18">
        <f>MAYO!$T16</f>
        <v>0</v>
      </c>
      <c r="K58" s="18">
        <f>JUNIO!$T16</f>
        <v>0</v>
      </c>
      <c r="L58" s="18">
        <f>JULIO!$T16</f>
        <v>0</v>
      </c>
      <c r="M58" s="18">
        <f>AGOSTO!$T16</f>
        <v>0</v>
      </c>
      <c r="N58" s="18">
        <f>SEPTIEMBRE!$T16</f>
        <v>0</v>
      </c>
      <c r="O58" s="18">
        <f>OCTUBRE!$T16</f>
        <v>0</v>
      </c>
      <c r="P58" s="18">
        <f>NOVIEMBRE!$T16</f>
        <v>0</v>
      </c>
      <c r="Q58" s="19">
        <f>DICIEMBRE!$T16</f>
        <v>0</v>
      </c>
      <c r="R58" s="20" t="e">
        <f t="shared" si="0"/>
        <v>#DIV/0!</v>
      </c>
      <c r="S58" s="21">
        <f t="shared" si="1"/>
        <v>0</v>
      </c>
      <c r="T58" s="10"/>
      <c r="U58" s="3"/>
      <c r="V58" s="3"/>
      <c r="W58" s="3"/>
      <c r="X58" s="3"/>
      <c r="Y58" s="3"/>
      <c r="Z58" s="3"/>
    </row>
    <row r="59" spans="1:26" ht="13" x14ac:dyDescent="0.3">
      <c r="A59" s="2"/>
      <c r="B59" s="2"/>
      <c r="C59" s="11"/>
      <c r="D59" s="152" t="s">
        <v>24</v>
      </c>
      <c r="E59" s="153"/>
      <c r="F59" s="17">
        <f>ENERO!$T$17</f>
        <v>2500</v>
      </c>
      <c r="G59" s="18">
        <f>FEBRERO!$T17</f>
        <v>0</v>
      </c>
      <c r="H59" s="18">
        <f>MARZO!$T17</f>
        <v>0</v>
      </c>
      <c r="I59" s="18">
        <f>ABRIL!$T17</f>
        <v>0</v>
      </c>
      <c r="J59" s="18">
        <f>MAYO!$T17</f>
        <v>0</v>
      </c>
      <c r="K59" s="18">
        <f>JUNIO!$T17</f>
        <v>0</v>
      </c>
      <c r="L59" s="18">
        <f>JULIO!$T17</f>
        <v>0</v>
      </c>
      <c r="M59" s="18">
        <f>AGOSTO!$T17</f>
        <v>0</v>
      </c>
      <c r="N59" s="18">
        <f>SEPTIEMBRE!$T17</f>
        <v>0</v>
      </c>
      <c r="O59" s="18">
        <f>OCTUBRE!$T17</f>
        <v>0</v>
      </c>
      <c r="P59" s="18">
        <f>NOVIEMBRE!$T17</f>
        <v>0</v>
      </c>
      <c r="Q59" s="19">
        <f>DICIEMBRE!$T17</f>
        <v>0</v>
      </c>
      <c r="R59" s="20">
        <f t="shared" si="0"/>
        <v>2500</v>
      </c>
      <c r="S59" s="21">
        <f t="shared" si="1"/>
        <v>2500</v>
      </c>
      <c r="T59" s="10"/>
      <c r="U59" s="3"/>
      <c r="V59" s="3"/>
      <c r="W59" s="3"/>
      <c r="X59" s="3"/>
      <c r="Y59" s="3"/>
      <c r="Z59" s="3"/>
    </row>
    <row r="60" spans="1:26" ht="13" x14ac:dyDescent="0.3">
      <c r="A60" s="2"/>
      <c r="B60" s="2"/>
      <c r="C60" s="11"/>
      <c r="D60" s="154" t="s">
        <v>25</v>
      </c>
      <c r="E60" s="155"/>
      <c r="F60" s="17">
        <f>ENERO!$T$18</f>
        <v>0</v>
      </c>
      <c r="G60" s="18">
        <f>FEBRERO!$T18</f>
        <v>0</v>
      </c>
      <c r="H60" s="18">
        <f>MARZO!$T18</f>
        <v>0</v>
      </c>
      <c r="I60" s="18">
        <f>ABRIL!$T18</f>
        <v>0</v>
      </c>
      <c r="J60" s="18">
        <f>MAYO!$T18</f>
        <v>0</v>
      </c>
      <c r="K60" s="18">
        <f>JUNIO!$T18</f>
        <v>0</v>
      </c>
      <c r="L60" s="18">
        <f>JULIO!$T18</f>
        <v>0</v>
      </c>
      <c r="M60" s="18">
        <f>AGOSTO!$T18</f>
        <v>0</v>
      </c>
      <c r="N60" s="18">
        <f>SEPTIEMBRE!$T18</f>
        <v>0</v>
      </c>
      <c r="O60" s="18">
        <f>OCTUBRE!$T18</f>
        <v>0</v>
      </c>
      <c r="P60" s="18">
        <f>NOVIEMBRE!$T18</f>
        <v>0</v>
      </c>
      <c r="Q60" s="19">
        <f>DICIEMBRE!$T18</f>
        <v>0</v>
      </c>
      <c r="R60" s="20" t="e">
        <f t="shared" si="0"/>
        <v>#DIV/0!</v>
      </c>
      <c r="S60" s="21">
        <f t="shared" si="1"/>
        <v>0</v>
      </c>
      <c r="T60" s="10"/>
      <c r="U60" s="3"/>
      <c r="V60" s="3"/>
      <c r="W60" s="3"/>
      <c r="X60" s="3"/>
      <c r="Y60" s="3"/>
      <c r="Z60" s="3"/>
    </row>
    <row r="61" spans="1:26" ht="13" x14ac:dyDescent="0.3">
      <c r="A61" s="2"/>
      <c r="B61" s="2"/>
      <c r="C61" s="11"/>
      <c r="D61" s="156" t="s">
        <v>26</v>
      </c>
      <c r="E61" s="157"/>
      <c r="F61" s="17">
        <f>ENERO!$T$19</f>
        <v>0</v>
      </c>
      <c r="G61" s="18">
        <f>FEBRERO!$T19</f>
        <v>0</v>
      </c>
      <c r="H61" s="18">
        <f>MARZO!$T19</f>
        <v>0</v>
      </c>
      <c r="I61" s="18">
        <f>ABRIL!$T19</f>
        <v>0</v>
      </c>
      <c r="J61" s="18">
        <f>MAYO!$T19</f>
        <v>0</v>
      </c>
      <c r="K61" s="18">
        <f>JUNIO!$T19</f>
        <v>0</v>
      </c>
      <c r="L61" s="18">
        <f>JULIO!$T19</f>
        <v>0</v>
      </c>
      <c r="M61" s="18">
        <f>AGOSTO!$T19</f>
        <v>0</v>
      </c>
      <c r="N61" s="18">
        <f>SEPTIEMBRE!$T19</f>
        <v>0</v>
      </c>
      <c r="O61" s="18">
        <f>OCTUBRE!$T19</f>
        <v>0</v>
      </c>
      <c r="P61" s="18">
        <f>NOVIEMBRE!$T19</f>
        <v>0</v>
      </c>
      <c r="Q61" s="19">
        <f>DICIEMBRE!$T19</f>
        <v>0</v>
      </c>
      <c r="R61" s="20" t="e">
        <f t="shared" si="0"/>
        <v>#DIV/0!</v>
      </c>
      <c r="S61" s="21">
        <f t="shared" si="1"/>
        <v>0</v>
      </c>
      <c r="T61" s="10"/>
      <c r="U61" s="3"/>
      <c r="V61" s="3"/>
      <c r="W61" s="3"/>
      <c r="X61" s="3"/>
      <c r="Y61" s="3"/>
      <c r="Z61" s="3"/>
    </row>
    <row r="62" spans="1:26" ht="13" x14ac:dyDescent="0.3">
      <c r="A62" s="2"/>
      <c r="B62" s="2"/>
      <c r="C62" s="11"/>
      <c r="D62" s="158" t="s">
        <v>27</v>
      </c>
      <c r="E62" s="159"/>
      <c r="F62" s="17">
        <f>ENERO!$T$20</f>
        <v>500</v>
      </c>
      <c r="G62" s="18">
        <f>FEBRERO!$T20</f>
        <v>0</v>
      </c>
      <c r="H62" s="18">
        <f>MARZO!$T20</f>
        <v>0</v>
      </c>
      <c r="I62" s="18">
        <f>ABRIL!$T20</f>
        <v>0</v>
      </c>
      <c r="J62" s="18">
        <f>MAYO!$T20</f>
        <v>0</v>
      </c>
      <c r="K62" s="18">
        <f>JUNIO!$T20</f>
        <v>0</v>
      </c>
      <c r="L62" s="18">
        <f>JULIO!$T20</f>
        <v>0</v>
      </c>
      <c r="M62" s="18">
        <f>AGOSTO!$T20</f>
        <v>0</v>
      </c>
      <c r="N62" s="18">
        <f>SEPTIEMBRE!$T20</f>
        <v>0</v>
      </c>
      <c r="O62" s="18">
        <f>OCTUBRE!$T20</f>
        <v>0</v>
      </c>
      <c r="P62" s="18">
        <f>NOVIEMBRE!$T20</f>
        <v>0</v>
      </c>
      <c r="Q62" s="19">
        <f>DICIEMBRE!$T20</f>
        <v>0</v>
      </c>
      <c r="R62" s="20">
        <f t="shared" si="0"/>
        <v>500</v>
      </c>
      <c r="S62" s="21">
        <f t="shared" si="1"/>
        <v>500</v>
      </c>
      <c r="T62" s="10"/>
      <c r="U62" s="3"/>
      <c r="V62" s="3"/>
      <c r="W62" s="3"/>
      <c r="X62" s="3"/>
      <c r="Y62" s="3"/>
      <c r="Z62" s="3"/>
    </row>
    <row r="63" spans="1:26" ht="13" x14ac:dyDescent="0.3">
      <c r="A63" s="2"/>
      <c r="B63" s="2"/>
      <c r="C63" s="11"/>
      <c r="D63" s="160" t="s">
        <v>28</v>
      </c>
      <c r="E63" s="161"/>
      <c r="F63" s="17">
        <f>ENERO!$T$21</f>
        <v>0</v>
      </c>
      <c r="G63" s="18">
        <f>FEBRERO!$T21</f>
        <v>0</v>
      </c>
      <c r="H63" s="18">
        <f>MARZO!$T21</f>
        <v>0</v>
      </c>
      <c r="I63" s="18">
        <f>ABRIL!$T21</f>
        <v>0</v>
      </c>
      <c r="J63" s="18">
        <f>MAYO!$T21</f>
        <v>0</v>
      </c>
      <c r="K63" s="18">
        <f>JUNIO!$T21</f>
        <v>0</v>
      </c>
      <c r="L63" s="18">
        <f>JULIO!$T21</f>
        <v>0</v>
      </c>
      <c r="M63" s="18">
        <f>AGOSTO!$T21</f>
        <v>0</v>
      </c>
      <c r="N63" s="18">
        <f>SEPTIEMBRE!$T21</f>
        <v>0</v>
      </c>
      <c r="O63" s="18">
        <f>OCTUBRE!$T21</f>
        <v>0</v>
      </c>
      <c r="P63" s="18">
        <f>NOVIEMBRE!$T21</f>
        <v>0</v>
      </c>
      <c r="Q63" s="19">
        <f>DICIEMBRE!$T21</f>
        <v>0</v>
      </c>
      <c r="R63" s="20" t="e">
        <f t="shared" si="0"/>
        <v>#DIV/0!</v>
      </c>
      <c r="S63" s="21">
        <f t="shared" si="1"/>
        <v>0</v>
      </c>
      <c r="T63" s="10"/>
      <c r="U63" s="3"/>
      <c r="V63" s="3"/>
      <c r="W63" s="3"/>
      <c r="X63" s="3"/>
      <c r="Y63" s="3"/>
      <c r="Z63" s="3"/>
    </row>
    <row r="64" spans="1:26" ht="13" x14ac:dyDescent="0.3">
      <c r="A64" s="2"/>
      <c r="B64" s="2"/>
      <c r="C64" s="11"/>
      <c r="D64" s="162" t="s">
        <v>29</v>
      </c>
      <c r="E64" s="163"/>
      <c r="F64" s="17">
        <f>ENERO!$T$22</f>
        <v>0</v>
      </c>
      <c r="G64" s="18">
        <f>FEBRERO!$T22</f>
        <v>0</v>
      </c>
      <c r="H64" s="18">
        <f>MARZO!$T22</f>
        <v>0</v>
      </c>
      <c r="I64" s="18">
        <f>ABRIL!$T22</f>
        <v>0</v>
      </c>
      <c r="J64" s="18">
        <f>MAYO!$T22</f>
        <v>0</v>
      </c>
      <c r="K64" s="18">
        <f>JUNIO!$T22</f>
        <v>0</v>
      </c>
      <c r="L64" s="18">
        <f>JULIO!$T22</f>
        <v>0</v>
      </c>
      <c r="M64" s="18">
        <f>AGOSTO!$T22</f>
        <v>0</v>
      </c>
      <c r="N64" s="18">
        <f>SEPTIEMBRE!$T22</f>
        <v>0</v>
      </c>
      <c r="O64" s="18">
        <f>OCTUBRE!$T22</f>
        <v>0</v>
      </c>
      <c r="P64" s="18">
        <f>NOVIEMBRE!$T22</f>
        <v>0</v>
      </c>
      <c r="Q64" s="19">
        <f>DICIEMBRE!$T22</f>
        <v>0</v>
      </c>
      <c r="R64" s="20" t="e">
        <f t="shared" si="0"/>
        <v>#DIV/0!</v>
      </c>
      <c r="S64" s="21">
        <f t="shared" si="1"/>
        <v>0</v>
      </c>
      <c r="T64" s="10"/>
      <c r="U64" s="3"/>
      <c r="V64" s="3"/>
      <c r="W64" s="3"/>
      <c r="X64" s="3"/>
      <c r="Y64" s="3"/>
      <c r="Z64" s="3"/>
    </row>
    <row r="65" spans="1:26" ht="13" x14ac:dyDescent="0.3">
      <c r="A65" s="2"/>
      <c r="B65" s="2"/>
      <c r="C65" s="11"/>
      <c r="D65" s="164" t="s">
        <v>30</v>
      </c>
      <c r="E65" s="165"/>
      <c r="F65" s="17">
        <f>ENERO!$T$23</f>
        <v>0</v>
      </c>
      <c r="G65" s="18">
        <f>FEBRERO!$T23</f>
        <v>0</v>
      </c>
      <c r="H65" s="18">
        <f>MARZO!$T23</f>
        <v>0</v>
      </c>
      <c r="I65" s="18">
        <f>ABRIL!$T23</f>
        <v>0</v>
      </c>
      <c r="J65" s="18">
        <f>MAYO!$T23</f>
        <v>0</v>
      </c>
      <c r="K65" s="18">
        <f>JUNIO!$T23</f>
        <v>0</v>
      </c>
      <c r="L65" s="18">
        <f>JULIO!$T23</f>
        <v>0</v>
      </c>
      <c r="M65" s="18">
        <f>AGOSTO!$T23</f>
        <v>0</v>
      </c>
      <c r="N65" s="18">
        <f>SEPTIEMBRE!$T23</f>
        <v>0</v>
      </c>
      <c r="O65" s="18">
        <f>OCTUBRE!$T23</f>
        <v>0</v>
      </c>
      <c r="P65" s="18">
        <f>NOVIEMBRE!$T23</f>
        <v>0</v>
      </c>
      <c r="Q65" s="19">
        <f>DICIEMBRE!$T23</f>
        <v>0</v>
      </c>
      <c r="R65" s="20" t="e">
        <f t="shared" si="0"/>
        <v>#DIV/0!</v>
      </c>
      <c r="S65" s="21">
        <f t="shared" si="1"/>
        <v>0</v>
      </c>
      <c r="T65" s="10"/>
      <c r="U65" s="3"/>
      <c r="V65" s="3"/>
      <c r="W65" s="3"/>
      <c r="X65" s="3"/>
      <c r="Y65" s="3"/>
      <c r="Z65" s="3"/>
    </row>
    <row r="66" spans="1:26" ht="13" x14ac:dyDescent="0.3">
      <c r="A66" s="2"/>
      <c r="B66" s="2"/>
      <c r="C66" s="11"/>
      <c r="D66" s="166" t="s">
        <v>31</v>
      </c>
      <c r="E66" s="167"/>
      <c r="F66" s="17">
        <f>ENERO!$T$24</f>
        <v>0</v>
      </c>
      <c r="G66" s="18">
        <f>FEBRERO!$T24</f>
        <v>0</v>
      </c>
      <c r="H66" s="18">
        <f>MARZO!$T24</f>
        <v>0</v>
      </c>
      <c r="I66" s="18">
        <f>ABRIL!$T24</f>
        <v>0</v>
      </c>
      <c r="J66" s="18">
        <f>MAYO!$T24</f>
        <v>0</v>
      </c>
      <c r="K66" s="18">
        <f>JUNIO!$T24</f>
        <v>0</v>
      </c>
      <c r="L66" s="18">
        <f>JULIO!$T24</f>
        <v>0</v>
      </c>
      <c r="M66" s="18">
        <f>AGOSTO!$T24</f>
        <v>0</v>
      </c>
      <c r="N66" s="18">
        <f>SEPTIEMBRE!$T24</f>
        <v>0</v>
      </c>
      <c r="O66" s="18">
        <f>OCTUBRE!$T24</f>
        <v>0</v>
      </c>
      <c r="P66" s="18">
        <f>NOVIEMBRE!$T24</f>
        <v>0</v>
      </c>
      <c r="Q66" s="19">
        <f>DICIEMBRE!$T24</f>
        <v>0</v>
      </c>
      <c r="R66" s="20" t="e">
        <f t="shared" si="0"/>
        <v>#DIV/0!</v>
      </c>
      <c r="S66" s="21">
        <f t="shared" si="1"/>
        <v>0</v>
      </c>
      <c r="T66" s="10"/>
      <c r="U66" s="3"/>
      <c r="V66" s="3"/>
      <c r="W66" s="3"/>
      <c r="X66" s="3"/>
      <c r="Y66" s="3"/>
      <c r="Z66" s="3"/>
    </row>
    <row r="67" spans="1:26" ht="13" x14ac:dyDescent="0.3">
      <c r="A67" s="2"/>
      <c r="B67" s="2"/>
      <c r="C67" s="11"/>
      <c r="D67" s="168" t="s">
        <v>32</v>
      </c>
      <c r="E67" s="169"/>
      <c r="F67" s="17">
        <f>ENERO!$T$25</f>
        <v>0</v>
      </c>
      <c r="G67" s="18">
        <f>FEBRERO!$T25</f>
        <v>0</v>
      </c>
      <c r="H67" s="18">
        <f>MARZO!$T25</f>
        <v>0</v>
      </c>
      <c r="I67" s="18">
        <f>ABRIL!$T25</f>
        <v>0</v>
      </c>
      <c r="J67" s="18">
        <f>MAYO!$T25</f>
        <v>0</v>
      </c>
      <c r="K67" s="18">
        <f>JUNIO!$T25</f>
        <v>0</v>
      </c>
      <c r="L67" s="18">
        <f>JULIO!$T25</f>
        <v>0</v>
      </c>
      <c r="M67" s="18">
        <f>AGOSTO!$T25</f>
        <v>0</v>
      </c>
      <c r="N67" s="18">
        <f>SEPTIEMBRE!$T25</f>
        <v>0</v>
      </c>
      <c r="O67" s="18">
        <f>OCTUBRE!$T25</f>
        <v>0</v>
      </c>
      <c r="P67" s="18">
        <f>NOVIEMBRE!$T25</f>
        <v>0</v>
      </c>
      <c r="Q67" s="19">
        <f>DICIEMBRE!$T25</f>
        <v>0</v>
      </c>
      <c r="R67" s="20" t="e">
        <f t="shared" si="0"/>
        <v>#DIV/0!</v>
      </c>
      <c r="S67" s="21">
        <f t="shared" si="1"/>
        <v>0</v>
      </c>
      <c r="T67" s="10"/>
      <c r="U67" s="3"/>
      <c r="V67" s="3"/>
      <c r="W67" s="3"/>
      <c r="X67" s="3"/>
      <c r="Y67" s="3"/>
      <c r="Z67" s="3"/>
    </row>
    <row r="68" spans="1:26" ht="13" x14ac:dyDescent="0.3">
      <c r="A68" s="2"/>
      <c r="B68" s="2"/>
      <c r="C68" s="11"/>
      <c r="D68" s="170" t="s">
        <v>33</v>
      </c>
      <c r="E68" s="171"/>
      <c r="F68" s="17">
        <f>ENERO!$T$26</f>
        <v>0</v>
      </c>
      <c r="G68" s="18">
        <f>FEBRERO!$T26</f>
        <v>0</v>
      </c>
      <c r="H68" s="18">
        <f>MARZO!$T26</f>
        <v>0</v>
      </c>
      <c r="I68" s="18">
        <f>ABRIL!$T26</f>
        <v>0</v>
      </c>
      <c r="J68" s="18">
        <f>MAYO!$T26</f>
        <v>0</v>
      </c>
      <c r="K68" s="18">
        <f>JUNIO!$T26</f>
        <v>0</v>
      </c>
      <c r="L68" s="18">
        <f>JULIO!$T26</f>
        <v>0</v>
      </c>
      <c r="M68" s="18">
        <f>AGOSTO!$T26</f>
        <v>0</v>
      </c>
      <c r="N68" s="18">
        <f>SEPTIEMBRE!$T26</f>
        <v>0</v>
      </c>
      <c r="O68" s="18">
        <f>OCTUBRE!$T26</f>
        <v>0</v>
      </c>
      <c r="P68" s="18">
        <f>NOVIEMBRE!$T26</f>
        <v>0</v>
      </c>
      <c r="Q68" s="19">
        <f>DICIEMBRE!$T26</f>
        <v>0</v>
      </c>
      <c r="R68" s="20" t="e">
        <f t="shared" si="0"/>
        <v>#DIV/0!</v>
      </c>
      <c r="S68" s="21">
        <f t="shared" si="1"/>
        <v>0</v>
      </c>
      <c r="T68" s="10"/>
      <c r="U68" s="3"/>
      <c r="V68" s="3"/>
      <c r="W68" s="3"/>
      <c r="X68" s="3"/>
      <c r="Y68" s="3"/>
      <c r="Z68" s="3"/>
    </row>
    <row r="69" spans="1:26" ht="13" x14ac:dyDescent="0.3">
      <c r="A69" s="2"/>
      <c r="B69" s="2"/>
      <c r="C69" s="11"/>
      <c r="D69" s="172" t="s">
        <v>34</v>
      </c>
      <c r="E69" s="173"/>
      <c r="F69" s="17">
        <f>ENERO!$T$27</f>
        <v>0</v>
      </c>
      <c r="G69" s="18">
        <f>FEBRERO!$T27</f>
        <v>0</v>
      </c>
      <c r="H69" s="18">
        <f>MARZO!$T27</f>
        <v>0</v>
      </c>
      <c r="I69" s="18">
        <f>ABRIL!$T27</f>
        <v>0</v>
      </c>
      <c r="J69" s="18">
        <f>MAYO!$T27</f>
        <v>0</v>
      </c>
      <c r="K69" s="18">
        <f>JUNIO!$T27</f>
        <v>0</v>
      </c>
      <c r="L69" s="18">
        <f>JULIO!$T27</f>
        <v>0</v>
      </c>
      <c r="M69" s="18">
        <f>AGOSTO!$T27</f>
        <v>0</v>
      </c>
      <c r="N69" s="18">
        <f>SEPTIEMBRE!$T27</f>
        <v>0</v>
      </c>
      <c r="O69" s="18">
        <f>OCTUBRE!$T27</f>
        <v>0</v>
      </c>
      <c r="P69" s="18">
        <f>NOVIEMBRE!$T27</f>
        <v>0</v>
      </c>
      <c r="Q69" s="19">
        <f>DICIEMBRE!$T27</f>
        <v>0</v>
      </c>
      <c r="R69" s="20" t="e">
        <f t="shared" si="0"/>
        <v>#DIV/0!</v>
      </c>
      <c r="S69" s="21">
        <f t="shared" si="1"/>
        <v>0</v>
      </c>
      <c r="T69" s="10"/>
      <c r="U69" s="3"/>
      <c r="V69" s="3"/>
      <c r="W69" s="3"/>
      <c r="X69" s="3"/>
      <c r="Y69" s="3"/>
      <c r="Z69" s="3"/>
    </row>
    <row r="70" spans="1:26" ht="13" x14ac:dyDescent="0.3">
      <c r="A70" s="2"/>
      <c r="B70" s="2"/>
      <c r="C70" s="11"/>
      <c r="D70" s="174" t="s">
        <v>35</v>
      </c>
      <c r="E70" s="175"/>
      <c r="F70" s="17">
        <f>ENERO!$T$28</f>
        <v>0</v>
      </c>
      <c r="G70" s="18">
        <f>FEBRERO!$T28</f>
        <v>0</v>
      </c>
      <c r="H70" s="18">
        <f>MARZO!$T28</f>
        <v>0</v>
      </c>
      <c r="I70" s="18">
        <f>ABRIL!$T28</f>
        <v>0</v>
      </c>
      <c r="J70" s="18">
        <f>MAYO!$T28</f>
        <v>0</v>
      </c>
      <c r="K70" s="18">
        <f>JUNIO!$T28</f>
        <v>0</v>
      </c>
      <c r="L70" s="18">
        <f>JULIO!$T28</f>
        <v>0</v>
      </c>
      <c r="M70" s="18">
        <f>AGOSTO!$T28</f>
        <v>0</v>
      </c>
      <c r="N70" s="18">
        <f>SEPTIEMBRE!$T28</f>
        <v>0</v>
      </c>
      <c r="O70" s="18">
        <f>OCTUBRE!$T28</f>
        <v>0</v>
      </c>
      <c r="P70" s="18">
        <f>NOVIEMBRE!$T28</f>
        <v>0</v>
      </c>
      <c r="Q70" s="22">
        <f>DICIEMBRE!$T28</f>
        <v>0</v>
      </c>
      <c r="R70" s="20" t="e">
        <f t="shared" si="0"/>
        <v>#DIV/0!</v>
      </c>
      <c r="S70" s="21">
        <f t="shared" si="1"/>
        <v>0</v>
      </c>
      <c r="T70" s="10"/>
      <c r="U70" s="3"/>
      <c r="V70" s="3"/>
      <c r="W70" s="3"/>
      <c r="X70" s="3"/>
      <c r="Y70" s="3"/>
      <c r="Z70" s="3"/>
    </row>
    <row r="71" spans="1:26" ht="13" x14ac:dyDescent="0.3">
      <c r="A71" s="2"/>
      <c r="B71" s="2"/>
      <c r="C71" s="11"/>
      <c r="D71" s="179" t="s">
        <v>36</v>
      </c>
      <c r="E71" s="180"/>
      <c r="F71" s="17">
        <f>ENERO!$T$29</f>
        <v>0</v>
      </c>
      <c r="G71" s="18">
        <f>FEBRERO!$T29</f>
        <v>0</v>
      </c>
      <c r="H71" s="18">
        <f>MARZO!$T29</f>
        <v>0</v>
      </c>
      <c r="I71" s="18">
        <f>ABRIL!$T29</f>
        <v>0</v>
      </c>
      <c r="J71" s="18">
        <f>MAYO!$T29</f>
        <v>0</v>
      </c>
      <c r="K71" s="18">
        <f>JUNIO!$T29</f>
        <v>0</v>
      </c>
      <c r="L71" s="18">
        <f>JULIO!$T29</f>
        <v>0</v>
      </c>
      <c r="M71" s="18">
        <f>AGOSTO!$T29</f>
        <v>0</v>
      </c>
      <c r="N71" s="18">
        <f>SEPTIEMBRE!$T29</f>
        <v>0</v>
      </c>
      <c r="O71" s="18">
        <f>OCTUBRE!$T29</f>
        <v>0</v>
      </c>
      <c r="P71" s="18">
        <f>NOVIEMBRE!$T29</f>
        <v>0</v>
      </c>
      <c r="Q71" s="22">
        <f>DICIEMBRE!$T29</f>
        <v>0</v>
      </c>
      <c r="R71" s="20" t="e">
        <f t="shared" si="0"/>
        <v>#DIV/0!</v>
      </c>
      <c r="S71" s="21">
        <f t="shared" si="1"/>
        <v>0</v>
      </c>
      <c r="T71" s="10"/>
      <c r="U71" s="3"/>
      <c r="V71" s="3"/>
      <c r="W71" s="3"/>
      <c r="X71" s="3"/>
      <c r="Y71" s="3"/>
      <c r="Z71" s="3"/>
    </row>
    <row r="72" spans="1:26" ht="13" x14ac:dyDescent="0.3">
      <c r="A72" s="2"/>
      <c r="B72" s="2"/>
      <c r="C72" s="11"/>
      <c r="D72" s="181" t="s">
        <v>37</v>
      </c>
      <c r="E72" s="182"/>
      <c r="F72" s="17">
        <f>ENERO!$T$30</f>
        <v>0</v>
      </c>
      <c r="G72" s="18">
        <f>FEBRERO!$T30</f>
        <v>0</v>
      </c>
      <c r="H72" s="18">
        <f>MARZO!$T30</f>
        <v>0</v>
      </c>
      <c r="I72" s="18">
        <f>ABRIL!$T30</f>
        <v>0</v>
      </c>
      <c r="J72" s="18">
        <f>MAYO!$T30</f>
        <v>0</v>
      </c>
      <c r="K72" s="18">
        <f>JUNIO!$T30</f>
        <v>0</v>
      </c>
      <c r="L72" s="18">
        <f>JULIO!$T30</f>
        <v>0</v>
      </c>
      <c r="M72" s="18">
        <f>AGOSTO!$T30</f>
        <v>0</v>
      </c>
      <c r="N72" s="18">
        <f>SEPTIEMBRE!$T30</f>
        <v>0</v>
      </c>
      <c r="O72" s="18">
        <f>OCTUBRE!$T30</f>
        <v>0</v>
      </c>
      <c r="P72" s="18">
        <f>NOVIEMBRE!$T30</f>
        <v>0</v>
      </c>
      <c r="Q72" s="22">
        <f>DICIEMBRE!$T30</f>
        <v>0</v>
      </c>
      <c r="R72" s="20" t="e">
        <f t="shared" si="0"/>
        <v>#DIV/0!</v>
      </c>
      <c r="S72" s="21">
        <f t="shared" si="1"/>
        <v>0</v>
      </c>
      <c r="T72" s="10"/>
      <c r="U72" s="3"/>
      <c r="V72" s="3"/>
      <c r="W72" s="3"/>
      <c r="X72" s="3"/>
      <c r="Y72" s="3"/>
      <c r="Z72" s="3"/>
    </row>
    <row r="73" spans="1:26" ht="13" x14ac:dyDescent="0.3">
      <c r="A73" s="2"/>
      <c r="B73" s="2"/>
      <c r="C73" s="11"/>
      <c r="D73" s="183" t="s">
        <v>38</v>
      </c>
      <c r="E73" s="184"/>
      <c r="F73" s="17">
        <f>ENERO!$T$31</f>
        <v>0</v>
      </c>
      <c r="G73" s="18">
        <f>FEBRERO!$T31</f>
        <v>0</v>
      </c>
      <c r="H73" s="18">
        <f>MARZO!$T31</f>
        <v>0</v>
      </c>
      <c r="I73" s="18">
        <f>ABRIL!$T31</f>
        <v>0</v>
      </c>
      <c r="J73" s="18">
        <f>MAYO!$T31</f>
        <v>0</v>
      </c>
      <c r="K73" s="18">
        <f>JUNIO!$T31</f>
        <v>0</v>
      </c>
      <c r="L73" s="18">
        <f>JULIO!$T31</f>
        <v>0</v>
      </c>
      <c r="M73" s="18">
        <f>AGOSTO!$T31</f>
        <v>0</v>
      </c>
      <c r="N73" s="18">
        <f>SEPTIEMBRE!$T31</f>
        <v>0</v>
      </c>
      <c r="O73" s="18">
        <f>OCTUBRE!$T31</f>
        <v>0</v>
      </c>
      <c r="P73" s="18">
        <f>NOVIEMBRE!$T31</f>
        <v>0</v>
      </c>
      <c r="Q73" s="22">
        <f>DICIEMBRE!$T31</f>
        <v>0</v>
      </c>
      <c r="R73" s="20" t="e">
        <f t="shared" si="0"/>
        <v>#DIV/0!</v>
      </c>
      <c r="S73" s="21">
        <f t="shared" si="1"/>
        <v>0</v>
      </c>
      <c r="T73" s="10"/>
      <c r="U73" s="3"/>
      <c r="V73" s="3"/>
      <c r="W73" s="3"/>
      <c r="X73" s="3"/>
      <c r="Y73" s="3"/>
      <c r="Z73" s="3"/>
    </row>
    <row r="74" spans="1:26" ht="13" x14ac:dyDescent="0.3">
      <c r="A74" s="2"/>
      <c r="B74" s="2"/>
      <c r="C74" s="11"/>
      <c r="D74" s="185" t="s">
        <v>39</v>
      </c>
      <c r="E74" s="186"/>
      <c r="F74" s="17">
        <f>ENERO!$T$32</f>
        <v>0</v>
      </c>
      <c r="G74" s="18">
        <f>FEBRERO!$T32</f>
        <v>0</v>
      </c>
      <c r="H74" s="18">
        <f>MARZO!$T32</f>
        <v>0</v>
      </c>
      <c r="I74" s="18">
        <f>ABRIL!$T32</f>
        <v>0</v>
      </c>
      <c r="J74" s="18">
        <f>MAYO!$T32</f>
        <v>0</v>
      </c>
      <c r="K74" s="18">
        <f>JUNIO!$T32</f>
        <v>0</v>
      </c>
      <c r="L74" s="18">
        <f>JULIO!$T32</f>
        <v>0</v>
      </c>
      <c r="M74" s="18">
        <f>AGOSTO!$T32</f>
        <v>0</v>
      </c>
      <c r="N74" s="18">
        <f>SEPTIEMBRE!$T32</f>
        <v>0</v>
      </c>
      <c r="O74" s="18">
        <f>OCTUBRE!$T32</f>
        <v>0</v>
      </c>
      <c r="P74" s="18">
        <f>NOVIEMBRE!$T32</f>
        <v>0</v>
      </c>
      <c r="Q74" s="22">
        <f>DICIEMBRE!$T32</f>
        <v>0</v>
      </c>
      <c r="R74" s="20" t="e">
        <f t="shared" si="0"/>
        <v>#DIV/0!</v>
      </c>
      <c r="S74" s="21">
        <f t="shared" si="1"/>
        <v>0</v>
      </c>
      <c r="T74" s="10"/>
      <c r="U74" s="3"/>
      <c r="V74" s="3"/>
      <c r="W74" s="3"/>
      <c r="X74" s="3"/>
      <c r="Y74" s="3"/>
      <c r="Z74" s="3"/>
    </row>
    <row r="75" spans="1:26" ht="13" x14ac:dyDescent="0.3">
      <c r="A75" s="2"/>
      <c r="B75" s="2"/>
      <c r="C75" s="11"/>
      <c r="D75" s="152" t="s">
        <v>40</v>
      </c>
      <c r="E75" s="153"/>
      <c r="F75" s="17">
        <f>ENERO!$T$33</f>
        <v>0</v>
      </c>
      <c r="G75" s="18">
        <f>FEBRERO!$T33</f>
        <v>0</v>
      </c>
      <c r="H75" s="18">
        <f>MARZO!$T33</f>
        <v>0</v>
      </c>
      <c r="I75" s="18">
        <f>ABRIL!$T33</f>
        <v>0</v>
      </c>
      <c r="J75" s="18">
        <f>MAYO!$T33</f>
        <v>0</v>
      </c>
      <c r="K75" s="18">
        <f>JUNIO!$T33</f>
        <v>0</v>
      </c>
      <c r="L75" s="18">
        <f>JULIO!$T33</f>
        <v>0</v>
      </c>
      <c r="M75" s="18">
        <f>AGOSTO!$T33</f>
        <v>0</v>
      </c>
      <c r="N75" s="18">
        <f>SEPTIEMBRE!$T33</f>
        <v>0</v>
      </c>
      <c r="O75" s="18">
        <f>OCTUBRE!$T33</f>
        <v>0</v>
      </c>
      <c r="P75" s="18">
        <f>NOVIEMBRE!$T33</f>
        <v>0</v>
      </c>
      <c r="Q75" s="22">
        <f>DICIEMBRE!$T33</f>
        <v>0</v>
      </c>
      <c r="R75" s="20" t="e">
        <f t="shared" si="0"/>
        <v>#DIV/0!</v>
      </c>
      <c r="S75" s="21">
        <f t="shared" si="1"/>
        <v>0</v>
      </c>
      <c r="T75" s="10"/>
      <c r="U75" s="3"/>
      <c r="V75" s="3"/>
      <c r="W75" s="3"/>
      <c r="X75" s="3"/>
      <c r="Y75" s="3"/>
      <c r="Z75" s="3"/>
    </row>
    <row r="76" spans="1:26" ht="13" x14ac:dyDescent="0.3">
      <c r="A76" s="2"/>
      <c r="B76" s="2"/>
      <c r="C76" s="11"/>
      <c r="D76" s="187" t="s">
        <v>41</v>
      </c>
      <c r="E76" s="188"/>
      <c r="F76" s="17">
        <f>ENERO!$T$34</f>
        <v>0</v>
      </c>
      <c r="G76" s="18">
        <f>FEBRERO!$T34</f>
        <v>0</v>
      </c>
      <c r="H76" s="18">
        <f>MARZO!$T34</f>
        <v>0</v>
      </c>
      <c r="I76" s="18">
        <f>ABRIL!$T34</f>
        <v>0</v>
      </c>
      <c r="J76" s="18">
        <f>MAYO!$T34</f>
        <v>0</v>
      </c>
      <c r="K76" s="18">
        <f>JUNIO!$T34</f>
        <v>0</v>
      </c>
      <c r="L76" s="18">
        <f>JULIO!$T34</f>
        <v>0</v>
      </c>
      <c r="M76" s="18">
        <f>AGOSTO!$T34</f>
        <v>0</v>
      </c>
      <c r="N76" s="18">
        <f>SEPTIEMBRE!$T34</f>
        <v>0</v>
      </c>
      <c r="O76" s="18">
        <f>OCTUBRE!$T34</f>
        <v>0</v>
      </c>
      <c r="P76" s="18">
        <f>NOVIEMBRE!$T34</f>
        <v>0</v>
      </c>
      <c r="Q76" s="22">
        <f>DICIEMBRE!$T34</f>
        <v>0</v>
      </c>
      <c r="R76" s="20" t="e">
        <f t="shared" si="0"/>
        <v>#DIV/0!</v>
      </c>
      <c r="S76" s="21">
        <f t="shared" si="1"/>
        <v>0</v>
      </c>
      <c r="T76" s="10"/>
      <c r="U76" s="3"/>
      <c r="V76" s="3"/>
      <c r="W76" s="3"/>
      <c r="X76" s="3"/>
      <c r="Y76" s="3"/>
      <c r="Z76" s="3"/>
    </row>
    <row r="77" spans="1:26" ht="13" x14ac:dyDescent="0.3">
      <c r="A77" s="2"/>
      <c r="B77" s="2"/>
      <c r="C77" s="11"/>
      <c r="D77" s="189" t="s">
        <v>42</v>
      </c>
      <c r="E77" s="190"/>
      <c r="F77" s="17">
        <f>ENERO!$T$35</f>
        <v>0</v>
      </c>
      <c r="G77" s="18">
        <f>FEBRERO!$T35</f>
        <v>0</v>
      </c>
      <c r="H77" s="18">
        <f>MARZO!$T35</f>
        <v>0</v>
      </c>
      <c r="I77" s="18">
        <f>ABRIL!$T35</f>
        <v>0</v>
      </c>
      <c r="J77" s="18">
        <f>MAYO!$T35</f>
        <v>0</v>
      </c>
      <c r="K77" s="18">
        <f>JUNIO!$T35</f>
        <v>0</v>
      </c>
      <c r="L77" s="18">
        <f>JULIO!$T35</f>
        <v>0</v>
      </c>
      <c r="M77" s="18">
        <f>AGOSTO!$T35</f>
        <v>0</v>
      </c>
      <c r="N77" s="18">
        <f>SEPTIEMBRE!$T35</f>
        <v>0</v>
      </c>
      <c r="O77" s="18">
        <f>OCTUBRE!$T35</f>
        <v>0</v>
      </c>
      <c r="P77" s="18">
        <f>NOVIEMBRE!$T35</f>
        <v>0</v>
      </c>
      <c r="Q77" s="22">
        <f>DICIEMBRE!$T35</f>
        <v>0</v>
      </c>
      <c r="R77" s="20" t="e">
        <f t="shared" si="0"/>
        <v>#DIV/0!</v>
      </c>
      <c r="S77" s="21">
        <f t="shared" si="1"/>
        <v>0</v>
      </c>
      <c r="T77" s="10"/>
      <c r="U77" s="3"/>
      <c r="V77" s="3"/>
      <c r="W77" s="3"/>
      <c r="X77" s="3"/>
      <c r="Y77" s="3"/>
      <c r="Z77" s="3"/>
    </row>
    <row r="78" spans="1:26" ht="13" x14ac:dyDescent="0.3">
      <c r="A78" s="2"/>
      <c r="B78" s="2"/>
      <c r="C78" s="11"/>
      <c r="D78" s="176" t="s">
        <v>43</v>
      </c>
      <c r="E78" s="177"/>
      <c r="F78" s="17">
        <f>ENERO!$T$36</f>
        <v>0</v>
      </c>
      <c r="G78" s="18">
        <f>FEBRERO!$T36</f>
        <v>0</v>
      </c>
      <c r="H78" s="18">
        <f>MARZO!$T36</f>
        <v>0</v>
      </c>
      <c r="I78" s="18">
        <f>ABRIL!$T36</f>
        <v>0</v>
      </c>
      <c r="J78" s="18">
        <f>MAYO!$T36</f>
        <v>0</v>
      </c>
      <c r="K78" s="18">
        <f>JUNIO!$T36</f>
        <v>0</v>
      </c>
      <c r="L78" s="18">
        <f>JULIO!$T36</f>
        <v>0</v>
      </c>
      <c r="M78" s="18">
        <f>AGOSTO!$T36</f>
        <v>0</v>
      </c>
      <c r="N78" s="18">
        <f>SEPTIEMBRE!$T36</f>
        <v>0</v>
      </c>
      <c r="O78" s="18">
        <f>OCTUBRE!$T36</f>
        <v>0</v>
      </c>
      <c r="P78" s="18">
        <f>NOVIEMBRE!$T36</f>
        <v>0</v>
      </c>
      <c r="Q78" s="22">
        <f>DICIEMBRE!$T36</f>
        <v>0</v>
      </c>
      <c r="R78" s="20" t="e">
        <f t="shared" si="0"/>
        <v>#DIV/0!</v>
      </c>
      <c r="S78" s="21">
        <f t="shared" si="1"/>
        <v>0</v>
      </c>
      <c r="T78" s="10"/>
      <c r="U78" s="3"/>
      <c r="V78" s="3"/>
      <c r="W78" s="3"/>
      <c r="X78" s="3"/>
      <c r="Y78" s="3"/>
      <c r="Z78" s="3"/>
    </row>
    <row r="79" spans="1:26" ht="13" x14ac:dyDescent="0.3">
      <c r="A79" s="2"/>
      <c r="B79" s="2"/>
      <c r="C79" s="11"/>
      <c r="D79" s="178" t="s">
        <v>44</v>
      </c>
      <c r="E79" s="131"/>
      <c r="F79" s="23">
        <f>ENERO!$T$37</f>
        <v>0</v>
      </c>
      <c r="G79" s="24">
        <f>FEBRERO!$T37</f>
        <v>0</v>
      </c>
      <c r="H79" s="24">
        <f>MARZO!$T37</f>
        <v>0</v>
      </c>
      <c r="I79" s="24">
        <f>ABRIL!$T37</f>
        <v>0</v>
      </c>
      <c r="J79" s="24">
        <f>MAYO!$T37</f>
        <v>0</v>
      </c>
      <c r="K79" s="24">
        <f>JUNIO!$T37</f>
        <v>0</v>
      </c>
      <c r="L79" s="24">
        <f>JULIO!$T37</f>
        <v>0</v>
      </c>
      <c r="M79" s="24">
        <f>AGOSTO!$T37</f>
        <v>0</v>
      </c>
      <c r="N79" s="24">
        <f>SEPTIEMBRE!$T37</f>
        <v>0</v>
      </c>
      <c r="O79" s="24">
        <f>OCTUBRE!$T37</f>
        <v>0</v>
      </c>
      <c r="P79" s="24">
        <f>NOVIEMBRE!$T37</f>
        <v>0</v>
      </c>
      <c r="Q79" s="25">
        <f>DICIEMBRE!$T37</f>
        <v>0</v>
      </c>
      <c r="R79" s="26" t="e">
        <f t="shared" si="0"/>
        <v>#DIV/0!</v>
      </c>
      <c r="S79" s="27">
        <f t="shared" si="1"/>
        <v>0</v>
      </c>
      <c r="T79" s="10"/>
      <c r="U79" s="3"/>
      <c r="V79" s="3"/>
      <c r="W79" s="3"/>
      <c r="X79" s="3"/>
      <c r="Y79" s="3"/>
      <c r="Z79" s="3"/>
    </row>
    <row r="80" spans="1:26" ht="12.5" x14ac:dyDescent="0.25">
      <c r="A80" s="2"/>
      <c r="B80" s="2"/>
      <c r="C80" s="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3"/>
      <c r="U80" s="3"/>
      <c r="V80" s="3"/>
      <c r="W80" s="3"/>
      <c r="X80" s="3"/>
      <c r="Y80" s="3"/>
      <c r="Z80" s="3"/>
    </row>
    <row r="81" spans="1:26" ht="12.5" x14ac:dyDescent="0.25">
      <c r="A81" s="2"/>
      <c r="B81" s="2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5" x14ac:dyDescent="0.25">
      <c r="A82" s="2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5" x14ac:dyDescent="0.25">
      <c r="A83" s="2"/>
      <c r="B83" s="2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5" x14ac:dyDescent="0.25">
      <c r="A84" s="2"/>
      <c r="B84" s="2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5" x14ac:dyDescent="0.25">
      <c r="A85" s="2"/>
      <c r="B85" s="2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5" x14ac:dyDescent="0.25">
      <c r="A86" s="2"/>
      <c r="B86" s="2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5" x14ac:dyDescent="0.25">
      <c r="A87" s="2"/>
      <c r="B87" s="2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5" x14ac:dyDescent="0.25">
      <c r="A88" s="2"/>
      <c r="B88" s="2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5" x14ac:dyDescent="0.25">
      <c r="A89" s="2"/>
      <c r="B89" s="2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5" x14ac:dyDescent="0.25">
      <c r="A90" s="2"/>
      <c r="B90" s="2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5" x14ac:dyDescent="0.25">
      <c r="A91" s="2"/>
      <c r="B91" s="2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5" x14ac:dyDescent="0.25">
      <c r="A92" s="2"/>
      <c r="B92" s="2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5" x14ac:dyDescent="0.25">
      <c r="A93" s="2"/>
      <c r="B93" s="2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5" x14ac:dyDescent="0.25">
      <c r="A94" s="2"/>
      <c r="B94" s="2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5" x14ac:dyDescent="0.25">
      <c r="A95" s="2"/>
      <c r="B95" s="2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5" x14ac:dyDescent="0.25">
      <c r="A96" s="2"/>
      <c r="B96" s="2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5" x14ac:dyDescent="0.25">
      <c r="A97" s="2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5" x14ac:dyDescent="0.25">
      <c r="A98" s="2"/>
      <c r="B98" s="2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5" x14ac:dyDescent="0.25">
      <c r="A99" s="2"/>
      <c r="B99" s="2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5" x14ac:dyDescent="0.25">
      <c r="A100" s="2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5" x14ac:dyDescent="0.25">
      <c r="A101" s="2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5" x14ac:dyDescent="0.25">
      <c r="A102" s="2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5" x14ac:dyDescent="0.25">
      <c r="A103" s="2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5" x14ac:dyDescent="0.25">
      <c r="A104" s="2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5" x14ac:dyDescent="0.25">
      <c r="A105" s="2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5" x14ac:dyDescent="0.25">
      <c r="A106" s="2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5" x14ac:dyDescent="0.25">
      <c r="A107" s="2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5" x14ac:dyDescent="0.25">
      <c r="A108" s="2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5" x14ac:dyDescent="0.25">
      <c r="A109" s="2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5" x14ac:dyDescent="0.25">
      <c r="A110" s="2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5" x14ac:dyDescent="0.25">
      <c r="A111" s="2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5" x14ac:dyDescent="0.25">
      <c r="A112" s="2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5" x14ac:dyDescent="0.25">
      <c r="A113" s="2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5" x14ac:dyDescent="0.25">
      <c r="A114" s="2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5" x14ac:dyDescent="0.25">
      <c r="A115" s="2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5" x14ac:dyDescent="0.25">
      <c r="A116" s="2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5" x14ac:dyDescent="0.25">
      <c r="A117" s="2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5" x14ac:dyDescent="0.25">
      <c r="A118" s="2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5" x14ac:dyDescent="0.25">
      <c r="A119" s="2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5" x14ac:dyDescent="0.25">
      <c r="A120" s="2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5" x14ac:dyDescent="0.25">
      <c r="A121" s="2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5" x14ac:dyDescent="0.25">
      <c r="A122" s="2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5" x14ac:dyDescent="0.25">
      <c r="A123" s="2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5" x14ac:dyDescent="0.25">
      <c r="A124" s="2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5" x14ac:dyDescent="0.25">
      <c r="A125" s="2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5" x14ac:dyDescent="0.25">
      <c r="A126" s="2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5" x14ac:dyDescent="0.25">
      <c r="A127" s="2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5" x14ac:dyDescent="0.25">
      <c r="A128" s="2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5" x14ac:dyDescent="0.25">
      <c r="A129" s="2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5" x14ac:dyDescent="0.25">
      <c r="A130" s="2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5" x14ac:dyDescent="0.25">
      <c r="A131" s="2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5" x14ac:dyDescent="0.25">
      <c r="A132" s="2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5" x14ac:dyDescent="0.25">
      <c r="A133" s="2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5" x14ac:dyDescent="0.25">
      <c r="A134" s="2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5" x14ac:dyDescent="0.25">
      <c r="A135" s="2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5" x14ac:dyDescent="0.25">
      <c r="A136" s="2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5" x14ac:dyDescent="0.25">
      <c r="A137" s="2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5" x14ac:dyDescent="0.25">
      <c r="A138" s="2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5" x14ac:dyDescent="0.25">
      <c r="A139" s="2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5" x14ac:dyDescent="0.25">
      <c r="A140" s="2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5" x14ac:dyDescent="0.25">
      <c r="A141" s="2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5" x14ac:dyDescent="0.25">
      <c r="A142" s="2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5" x14ac:dyDescent="0.25">
      <c r="A143" s="2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5" x14ac:dyDescent="0.25">
      <c r="A144" s="2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5" x14ac:dyDescent="0.25">
      <c r="A145" s="2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5" x14ac:dyDescent="0.25">
      <c r="A146" s="2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5" x14ac:dyDescent="0.25">
      <c r="A147" s="2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5" x14ac:dyDescent="0.25">
      <c r="A148" s="2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5" x14ac:dyDescent="0.25">
      <c r="A149" s="2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5" x14ac:dyDescent="0.25">
      <c r="A150" s="2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5" x14ac:dyDescent="0.25">
      <c r="A151" s="2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5" x14ac:dyDescent="0.25">
      <c r="A152" s="2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5" x14ac:dyDescent="0.25">
      <c r="A153" s="2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5" x14ac:dyDescent="0.25">
      <c r="A154" s="2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5" x14ac:dyDescent="0.25">
      <c r="A155" s="2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5" x14ac:dyDescent="0.25">
      <c r="A156" s="2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5" x14ac:dyDescent="0.25">
      <c r="A157" s="2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5" x14ac:dyDescent="0.25">
      <c r="A158" s="2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5" x14ac:dyDescent="0.25">
      <c r="A159" s="2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5" x14ac:dyDescent="0.25">
      <c r="A160" s="2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5" x14ac:dyDescent="0.25">
      <c r="A161" s="2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5" x14ac:dyDescent="0.25">
      <c r="A162" s="2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5" x14ac:dyDescent="0.25">
      <c r="A163" s="2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5" x14ac:dyDescent="0.25">
      <c r="A164" s="2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5" x14ac:dyDescent="0.25">
      <c r="A165" s="2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5" x14ac:dyDescent="0.25">
      <c r="A166" s="2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5" x14ac:dyDescent="0.25">
      <c r="A167" s="2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</sheetData>
  <mergeCells count="137">
    <mergeCell ref="D55:E56"/>
    <mergeCell ref="F55:F56"/>
    <mergeCell ref="G55:G56"/>
    <mergeCell ref="H55:H56"/>
    <mergeCell ref="I55:I56"/>
    <mergeCell ref="J55:J56"/>
    <mergeCell ref="K55:K56"/>
    <mergeCell ref="S10:S11"/>
    <mergeCell ref="H1:O3"/>
    <mergeCell ref="K4:L5"/>
    <mergeCell ref="D10:E11"/>
    <mergeCell ref="F10:F11"/>
    <mergeCell ref="G10:G11"/>
    <mergeCell ref="H10:H11"/>
    <mergeCell ref="I10:I11"/>
    <mergeCell ref="L12:L13"/>
    <mergeCell ref="M12:M13"/>
    <mergeCell ref="N12:N13"/>
    <mergeCell ref="O12:O13"/>
    <mergeCell ref="P12:P13"/>
    <mergeCell ref="Q12:Q13"/>
    <mergeCell ref="R12:R13"/>
    <mergeCell ref="S12:S13"/>
    <mergeCell ref="D12:E13"/>
    <mergeCell ref="F12:F13"/>
    <mergeCell ref="G12:G13"/>
    <mergeCell ref="H12:H13"/>
    <mergeCell ref="I12:I13"/>
    <mergeCell ref="J12:J13"/>
    <mergeCell ref="K12:K13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D66:E66"/>
    <mergeCell ref="D67:E67"/>
    <mergeCell ref="D68:E68"/>
    <mergeCell ref="D69:E69"/>
    <mergeCell ref="D70:E70"/>
    <mergeCell ref="D78:E78"/>
    <mergeCell ref="D79:E79"/>
    <mergeCell ref="D71:E71"/>
    <mergeCell ref="D72:E72"/>
    <mergeCell ref="D73:E73"/>
    <mergeCell ref="D74:E74"/>
    <mergeCell ref="D75:E75"/>
    <mergeCell ref="D76:E76"/>
    <mergeCell ref="D77:E77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S55:S56"/>
    <mergeCell ref="T55:T56"/>
    <mergeCell ref="U55:U56"/>
    <mergeCell ref="V55:V56"/>
    <mergeCell ref="W55:W56"/>
    <mergeCell ref="X55:X56"/>
    <mergeCell ref="Y55:Y56"/>
    <mergeCell ref="Z55:Z56"/>
    <mergeCell ref="L55:L56"/>
    <mergeCell ref="M55:M56"/>
    <mergeCell ref="N55:N56"/>
    <mergeCell ref="O55:O56"/>
    <mergeCell ref="P55:P56"/>
    <mergeCell ref="Q55:Q56"/>
    <mergeCell ref="R55:R56"/>
    <mergeCell ref="L20:L21"/>
    <mergeCell ref="M20:M21"/>
    <mergeCell ref="N20:N21"/>
    <mergeCell ref="O20:O21"/>
    <mergeCell ref="P20:P21"/>
    <mergeCell ref="Q20:Q21"/>
    <mergeCell ref="R20:R21"/>
    <mergeCell ref="S20:S21"/>
    <mergeCell ref="D20:E21"/>
    <mergeCell ref="F20:F21"/>
    <mergeCell ref="G20:G21"/>
    <mergeCell ref="H20:H21"/>
    <mergeCell ref="I20:I21"/>
    <mergeCell ref="J20:J21"/>
    <mergeCell ref="K20:K21"/>
    <mergeCell ref="L18:L19"/>
    <mergeCell ref="M18:M19"/>
    <mergeCell ref="N18:N19"/>
    <mergeCell ref="O18:O19"/>
    <mergeCell ref="P18:P19"/>
    <mergeCell ref="Q18:Q19"/>
    <mergeCell ref="R18:R19"/>
    <mergeCell ref="S18:S19"/>
    <mergeCell ref="D18:E19"/>
    <mergeCell ref="F18:F19"/>
    <mergeCell ref="G18:G19"/>
    <mergeCell ref="H18:H19"/>
    <mergeCell ref="I18:I19"/>
    <mergeCell ref="J18:J19"/>
    <mergeCell ref="K18:K19"/>
    <mergeCell ref="L16:L17"/>
    <mergeCell ref="M16:M17"/>
    <mergeCell ref="N16:N17"/>
    <mergeCell ref="O16:O17"/>
    <mergeCell ref="P16:P17"/>
    <mergeCell ref="Q16:Q17"/>
    <mergeCell ref="R16:R17"/>
    <mergeCell ref="S16:S17"/>
    <mergeCell ref="D16:E17"/>
    <mergeCell ref="F16:F17"/>
    <mergeCell ref="G16:G17"/>
    <mergeCell ref="H16:H17"/>
    <mergeCell ref="I16:I17"/>
    <mergeCell ref="J16:J17"/>
    <mergeCell ref="K16:K17"/>
    <mergeCell ref="L14:L15"/>
    <mergeCell ref="M14:M15"/>
    <mergeCell ref="N14:N15"/>
    <mergeCell ref="O14:O15"/>
    <mergeCell ref="P14:P15"/>
    <mergeCell ref="Q14:Q15"/>
    <mergeCell ref="R14:R15"/>
    <mergeCell ref="S14:S15"/>
    <mergeCell ref="D14:E15"/>
    <mergeCell ref="F14:F15"/>
    <mergeCell ref="G14:G15"/>
    <mergeCell ref="H14:H15"/>
    <mergeCell ref="I14:I15"/>
    <mergeCell ref="J14:J15"/>
    <mergeCell ref="K14:K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D1044"/>
  <sheetViews>
    <sheetView tabSelected="1" topLeftCell="C1" zoomScale="73" zoomScaleNormal="73" workbookViewId="0">
      <selection activeCell="Y51" sqref="Y51"/>
    </sheetView>
  </sheetViews>
  <sheetFormatPr baseColWidth="10" defaultColWidth="12.6328125" defaultRowHeight="15.75" customHeight="1" x14ac:dyDescent="0.25"/>
  <cols>
    <col min="7" max="7" width="15" customWidth="1"/>
    <col min="14" max="14" width="17.6328125" customWidth="1"/>
    <col min="15" max="15" width="15.08984375" customWidth="1"/>
  </cols>
  <sheetData>
    <row r="1" spans="1:30" ht="15.7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8"/>
      <c r="O1" s="28"/>
      <c r="P1" s="28"/>
      <c r="Q1" s="28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x14ac:dyDescent="0.3">
      <c r="A2" s="2"/>
      <c r="B2" s="2"/>
      <c r="C2" s="2"/>
      <c r="D2" s="254" t="s">
        <v>45</v>
      </c>
      <c r="E2" s="200"/>
      <c r="F2" s="11"/>
      <c r="G2" s="244" t="s">
        <v>46</v>
      </c>
      <c r="H2" s="245"/>
      <c r="I2" s="245"/>
      <c r="J2" s="245"/>
      <c r="K2" s="245"/>
      <c r="L2" s="246"/>
      <c r="M2" s="29"/>
      <c r="N2" s="11"/>
      <c r="O2" s="11"/>
      <c r="P2" s="11"/>
      <c r="Q2" s="11"/>
      <c r="R2" s="11"/>
      <c r="S2" s="11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22" customHeight="1" x14ac:dyDescent="0.4">
      <c r="A3" s="2"/>
      <c r="B3" s="2"/>
      <c r="C3" s="2"/>
      <c r="D3" s="255">
        <f>CTAS!B3</f>
        <v>0</v>
      </c>
      <c r="E3" s="236"/>
      <c r="F3" s="2"/>
      <c r="G3" s="2"/>
      <c r="H3" s="2"/>
      <c r="I3" s="2"/>
      <c r="J3" s="2"/>
      <c r="K3" s="2"/>
      <c r="L3" s="2"/>
      <c r="M3" s="11"/>
      <c r="N3" s="256" t="s">
        <v>0</v>
      </c>
      <c r="O3" s="209"/>
      <c r="P3" s="209"/>
      <c r="Q3" s="129"/>
      <c r="R3" s="30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3">
      <c r="A4" s="2"/>
      <c r="B4" s="2"/>
      <c r="C4" s="2"/>
      <c r="D4" s="28"/>
      <c r="E4" s="28"/>
      <c r="F4" s="2"/>
      <c r="G4" s="28"/>
      <c r="H4" s="259" t="s">
        <v>15</v>
      </c>
      <c r="I4" s="224"/>
      <c r="J4" s="260" t="s">
        <v>47</v>
      </c>
      <c r="K4" s="119"/>
      <c r="L4" s="31" t="s">
        <v>14</v>
      </c>
      <c r="M4" s="32"/>
      <c r="N4" s="257"/>
      <c r="O4" s="197"/>
      <c r="P4" s="197"/>
      <c r="Q4" s="258"/>
      <c r="R4" s="30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x14ac:dyDescent="0.3">
      <c r="A5" s="2"/>
      <c r="B5" s="2"/>
      <c r="C5" s="2"/>
      <c r="D5" s="2"/>
      <c r="E5" s="2"/>
      <c r="F5" s="2"/>
      <c r="G5" s="33" t="s">
        <v>48</v>
      </c>
      <c r="H5" s="261">
        <f>H37</f>
        <v>10000</v>
      </c>
      <c r="I5" s="219"/>
      <c r="J5" s="243">
        <f>G39</f>
        <v>0</v>
      </c>
      <c r="K5" s="201"/>
      <c r="L5" s="34">
        <f>H5+J5</f>
        <v>10000</v>
      </c>
      <c r="M5" s="32"/>
      <c r="N5" s="257"/>
      <c r="O5" s="197"/>
      <c r="P5" s="197"/>
      <c r="Q5" s="258"/>
      <c r="R5" s="29"/>
      <c r="S5" s="244" t="s">
        <v>49</v>
      </c>
      <c r="T5" s="245"/>
      <c r="U5" s="245"/>
      <c r="V5" s="245"/>
      <c r="W5" s="245"/>
      <c r="X5" s="246"/>
      <c r="Y5" s="30"/>
      <c r="Z5" s="2"/>
      <c r="AA5" s="2"/>
      <c r="AB5" s="2"/>
      <c r="AC5" s="2"/>
      <c r="AD5" s="2"/>
    </row>
    <row r="6" spans="1:30" ht="15.75" customHeight="1" x14ac:dyDescent="0.25">
      <c r="A6" s="2"/>
      <c r="B6" s="2"/>
      <c r="C6" s="2"/>
      <c r="D6" s="35"/>
      <c r="E6" s="35"/>
      <c r="F6" s="2"/>
      <c r="G6" s="35"/>
      <c r="H6" s="2"/>
      <c r="I6" s="36"/>
      <c r="J6" s="37"/>
      <c r="K6" s="37"/>
      <c r="L6" s="37"/>
      <c r="M6" s="38"/>
      <c r="N6" s="248">
        <v>2026</v>
      </c>
      <c r="O6" s="218"/>
      <c r="P6" s="218"/>
      <c r="Q6" s="249"/>
      <c r="R6" s="30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x14ac:dyDescent="0.3">
      <c r="A7" s="2"/>
      <c r="B7" s="2"/>
      <c r="C7" s="2"/>
      <c r="D7" s="2"/>
      <c r="E7" s="2"/>
      <c r="F7" s="2"/>
      <c r="G7" s="2"/>
      <c r="H7" s="39" t="s">
        <v>50</v>
      </c>
      <c r="I7" s="39" t="s">
        <v>51</v>
      </c>
      <c r="J7" s="7" t="s">
        <v>19</v>
      </c>
      <c r="K7" s="7" t="s">
        <v>52</v>
      </c>
      <c r="L7" s="7" t="s">
        <v>14</v>
      </c>
      <c r="M7" s="40"/>
      <c r="N7" s="250" t="s">
        <v>53</v>
      </c>
      <c r="O7" s="224"/>
      <c r="P7" s="227"/>
      <c r="Q7" s="41">
        <v>46023</v>
      </c>
      <c r="R7" s="30"/>
      <c r="S7" s="251" t="s">
        <v>54</v>
      </c>
      <c r="T7" s="219"/>
      <c r="U7" s="252" t="s">
        <v>55</v>
      </c>
      <c r="V7" s="219"/>
      <c r="W7" s="253" t="s">
        <v>56</v>
      </c>
      <c r="X7" s="219"/>
      <c r="Y7" s="2"/>
      <c r="Z7" s="2"/>
      <c r="AA7" s="2"/>
      <c r="AB7" s="2"/>
      <c r="AC7" s="2"/>
      <c r="AD7" s="2"/>
    </row>
    <row r="8" spans="1:30" x14ac:dyDescent="0.3">
      <c r="A8" s="2"/>
      <c r="B8" s="2"/>
      <c r="C8" s="2"/>
      <c r="D8" s="2"/>
      <c r="E8" s="2"/>
      <c r="F8" s="2"/>
      <c r="G8" s="42" t="s">
        <v>55</v>
      </c>
      <c r="H8" s="43">
        <f>M40</f>
        <v>0</v>
      </c>
      <c r="I8" s="44">
        <f>O120</f>
        <v>3000</v>
      </c>
      <c r="J8" s="45">
        <f>H52</f>
        <v>0</v>
      </c>
      <c r="K8" s="45">
        <f>H53</f>
        <v>0</v>
      </c>
      <c r="L8" s="46">
        <f>SUM(H8:K8)</f>
        <v>3000</v>
      </c>
      <c r="M8" s="40"/>
      <c r="N8" s="250" t="s">
        <v>57</v>
      </c>
      <c r="O8" s="224"/>
      <c r="P8" s="227"/>
      <c r="Q8" s="41">
        <v>46053</v>
      </c>
      <c r="R8" s="30"/>
      <c r="S8" s="247">
        <f>L5</f>
        <v>10000</v>
      </c>
      <c r="T8" s="142"/>
      <c r="U8" s="247">
        <f>L8</f>
        <v>3000</v>
      </c>
      <c r="V8" s="142"/>
      <c r="W8" s="247">
        <f>S8-U8</f>
        <v>7000</v>
      </c>
      <c r="X8" s="142"/>
      <c r="Y8" s="2"/>
      <c r="Z8" s="2"/>
      <c r="AA8" s="2"/>
      <c r="AB8" s="2"/>
      <c r="AC8" s="2"/>
      <c r="AD8" s="2"/>
    </row>
    <row r="9" spans="1:30" ht="15.75" customHeight="1" x14ac:dyDescent="0.25">
      <c r="A9" s="2"/>
      <c r="B9" s="2"/>
      <c r="C9" s="2"/>
      <c r="D9" s="47"/>
      <c r="E9" s="47"/>
      <c r="F9" s="2"/>
      <c r="G9" s="2"/>
      <c r="H9" s="35"/>
      <c r="I9" s="35"/>
      <c r="J9" s="48"/>
      <c r="K9" s="48"/>
      <c r="L9" s="48"/>
      <c r="M9" s="49"/>
      <c r="N9" s="49"/>
      <c r="O9" s="49"/>
      <c r="P9" s="49"/>
      <c r="Q9" s="49"/>
      <c r="R9" s="49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15.75" customHeight="1" x14ac:dyDescent="0.25">
      <c r="A10" s="2"/>
      <c r="B10" s="2"/>
      <c r="C10" s="2"/>
      <c r="D10" s="35"/>
      <c r="E10" s="35"/>
      <c r="F10" s="2"/>
      <c r="G10" s="2"/>
      <c r="H10" s="2"/>
      <c r="I10" s="2"/>
      <c r="J10" s="49"/>
      <c r="K10" s="49"/>
      <c r="L10" s="49"/>
      <c r="M10" s="49"/>
      <c r="N10" s="49"/>
      <c r="O10" s="49"/>
      <c r="P10" s="49"/>
      <c r="Q10" s="49"/>
      <c r="R10" s="49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15.75" customHeight="1" x14ac:dyDescent="0.25">
      <c r="A11" s="2"/>
      <c r="B11" s="2"/>
      <c r="C11" s="2"/>
      <c r="D11" s="28"/>
      <c r="E11" s="28"/>
      <c r="F11" s="28"/>
      <c r="G11" s="28"/>
      <c r="H11" s="28"/>
      <c r="I11" s="2"/>
      <c r="J11" s="50"/>
      <c r="K11" s="50"/>
      <c r="L11" s="50"/>
      <c r="M11" s="50"/>
      <c r="N11" s="50"/>
      <c r="O11" s="50"/>
      <c r="P11" s="50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15.75" customHeight="1" x14ac:dyDescent="0.35">
      <c r="A12" s="2"/>
      <c r="B12" s="2"/>
      <c r="C12" s="11"/>
      <c r="D12" s="215" t="s">
        <v>58</v>
      </c>
      <c r="E12" s="209"/>
      <c r="F12" s="209"/>
      <c r="G12" s="209"/>
      <c r="H12" s="129"/>
      <c r="I12" s="29"/>
      <c r="J12" s="216" t="s">
        <v>16</v>
      </c>
      <c r="K12" s="209"/>
      <c r="L12" s="209"/>
      <c r="M12" s="209"/>
      <c r="N12" s="209"/>
      <c r="O12" s="209"/>
      <c r="P12" s="129"/>
      <c r="Q12" s="30"/>
      <c r="R12" s="208" t="s">
        <v>17</v>
      </c>
      <c r="S12" s="209"/>
      <c r="T12" s="209"/>
      <c r="U12" s="209"/>
      <c r="V12" s="129"/>
      <c r="X12" s="217" t="s">
        <v>18</v>
      </c>
      <c r="Y12" s="218"/>
      <c r="Z12" s="218"/>
      <c r="AA12" s="219"/>
      <c r="AB12" s="2"/>
      <c r="AC12" s="2"/>
      <c r="AD12" s="2"/>
    </row>
    <row r="13" spans="1:30" ht="15.75" customHeight="1" x14ac:dyDescent="0.25">
      <c r="A13" s="2"/>
      <c r="B13" s="2"/>
      <c r="C13" s="11"/>
      <c r="D13" s="130"/>
      <c r="E13" s="200"/>
      <c r="F13" s="200"/>
      <c r="G13" s="200"/>
      <c r="H13" s="131"/>
      <c r="I13" s="29"/>
      <c r="J13" s="130"/>
      <c r="K13" s="200"/>
      <c r="L13" s="200"/>
      <c r="M13" s="200"/>
      <c r="N13" s="200"/>
      <c r="O13" s="200"/>
      <c r="P13" s="131"/>
      <c r="Q13" s="30"/>
      <c r="R13" s="130"/>
      <c r="S13" s="200"/>
      <c r="T13" s="200"/>
      <c r="U13" s="200"/>
      <c r="V13" s="131"/>
      <c r="W13" s="2"/>
      <c r="X13" s="220" t="s">
        <v>59</v>
      </c>
      <c r="Y13" s="221"/>
      <c r="Z13" s="222">
        <f>M40</f>
        <v>0</v>
      </c>
      <c r="AA13" s="198"/>
      <c r="AB13" s="2"/>
      <c r="AC13" s="2"/>
      <c r="AD13" s="2"/>
    </row>
    <row r="14" spans="1:30" ht="31.5" customHeight="1" x14ac:dyDescent="0.25">
      <c r="A14" s="2"/>
      <c r="B14" s="2"/>
      <c r="C14" s="11"/>
      <c r="D14" s="223" t="s">
        <v>60</v>
      </c>
      <c r="E14" s="224"/>
      <c r="F14" s="224"/>
      <c r="G14" s="225"/>
      <c r="H14" s="51" t="s">
        <v>61</v>
      </c>
      <c r="I14" s="29"/>
      <c r="J14" s="266" t="s">
        <v>62</v>
      </c>
      <c r="K14" s="119"/>
      <c r="L14" s="52" t="s">
        <v>63</v>
      </c>
      <c r="M14" s="52" t="s">
        <v>64</v>
      </c>
      <c r="N14" s="52" t="s">
        <v>65</v>
      </c>
      <c r="O14" s="52" t="s">
        <v>66</v>
      </c>
      <c r="P14" s="52" t="s">
        <v>67</v>
      </c>
      <c r="Q14" s="29"/>
      <c r="R14" s="210" t="s">
        <v>68</v>
      </c>
      <c r="S14" s="119"/>
      <c r="T14" s="210" t="s">
        <v>69</v>
      </c>
      <c r="U14" s="119"/>
      <c r="V14" s="53" t="s">
        <v>70</v>
      </c>
      <c r="W14" s="29"/>
      <c r="X14" s="262" t="s">
        <v>71</v>
      </c>
      <c r="Y14" s="263"/>
      <c r="Z14" s="264">
        <f>O120</f>
        <v>3000</v>
      </c>
      <c r="AA14" s="265"/>
      <c r="AB14" s="30"/>
      <c r="AC14" s="2"/>
      <c r="AD14" s="2"/>
    </row>
    <row r="15" spans="1:30" ht="15.75" customHeight="1" x14ac:dyDescent="0.25">
      <c r="A15" s="2"/>
      <c r="B15" s="2"/>
      <c r="C15" s="11"/>
      <c r="D15" s="226"/>
      <c r="E15" s="224"/>
      <c r="F15" s="224"/>
      <c r="G15" s="227"/>
      <c r="H15" s="341" t="b">
        <v>0</v>
      </c>
      <c r="I15" s="29"/>
      <c r="J15" s="267"/>
      <c r="K15" s="142"/>
      <c r="L15" s="4"/>
      <c r="M15" s="4"/>
      <c r="N15" s="4"/>
      <c r="O15" s="55"/>
      <c r="P15" s="343" t="b">
        <v>0</v>
      </c>
      <c r="Q15" s="29"/>
      <c r="R15" s="231" t="s">
        <v>22</v>
      </c>
      <c r="S15" s="232"/>
      <c r="T15" s="233">
        <f t="shared" ref="T15:T37" si="0">SUMIF($K$59:$L$119,R15,$O$59:$P$119)</f>
        <v>0</v>
      </c>
      <c r="U15" s="232"/>
      <c r="V15" s="57">
        <f t="shared" ref="V15:V37" si="1">T15*1/$T$40</f>
        <v>0</v>
      </c>
      <c r="W15" s="30"/>
      <c r="X15" s="211" t="s">
        <v>73</v>
      </c>
      <c r="Y15" s="212"/>
      <c r="Z15" s="213">
        <f t="shared" ref="Z15:Z16" si="2">H52</f>
        <v>0</v>
      </c>
      <c r="AA15" s="214"/>
      <c r="AB15" s="2"/>
      <c r="AC15" s="2"/>
      <c r="AD15" s="2"/>
    </row>
    <row r="16" spans="1:30" ht="15.75" customHeight="1" x14ac:dyDescent="0.25">
      <c r="A16" s="2"/>
      <c r="B16" s="2"/>
      <c r="C16" s="2"/>
      <c r="D16" s="240"/>
      <c r="E16" s="224"/>
      <c r="F16" s="224"/>
      <c r="G16" s="241"/>
      <c r="H16" s="342" t="b">
        <v>0</v>
      </c>
      <c r="I16" s="11"/>
      <c r="J16" s="268"/>
      <c r="K16" s="269"/>
      <c r="L16" s="59"/>
      <c r="M16" s="59"/>
      <c r="N16" s="59"/>
      <c r="O16" s="60"/>
      <c r="P16" s="344" t="b">
        <v>0</v>
      </c>
      <c r="Q16" s="29"/>
      <c r="R16" s="234" t="s">
        <v>23</v>
      </c>
      <c r="S16" s="142"/>
      <c r="T16" s="235">
        <f t="shared" si="0"/>
        <v>0</v>
      </c>
      <c r="U16" s="236"/>
      <c r="V16" s="62">
        <f t="shared" si="1"/>
        <v>0</v>
      </c>
      <c r="W16" s="30"/>
      <c r="X16" s="237" t="s">
        <v>74</v>
      </c>
      <c r="Y16" s="238"/>
      <c r="Z16" s="228">
        <f t="shared" si="2"/>
        <v>0</v>
      </c>
      <c r="AA16" s="198"/>
      <c r="AB16" s="2"/>
      <c r="AC16" s="2"/>
      <c r="AD16" s="2"/>
    </row>
    <row r="17" spans="1:30" ht="13" x14ac:dyDescent="0.3">
      <c r="A17" s="2"/>
      <c r="B17" s="2"/>
      <c r="C17" s="2"/>
      <c r="D17" s="226"/>
      <c r="E17" s="224"/>
      <c r="F17" s="224"/>
      <c r="G17" s="227"/>
      <c r="H17" s="341" t="b">
        <v>0</v>
      </c>
      <c r="I17" s="11"/>
      <c r="J17" s="63"/>
      <c r="K17" s="3"/>
      <c r="L17" s="3"/>
      <c r="M17" s="3"/>
      <c r="N17" s="3"/>
      <c r="O17" s="3"/>
      <c r="P17" s="345" t="b">
        <v>0</v>
      </c>
      <c r="Q17" s="29"/>
      <c r="R17" s="231" t="s">
        <v>24</v>
      </c>
      <c r="S17" s="232"/>
      <c r="T17" s="233">
        <f t="shared" si="0"/>
        <v>2500</v>
      </c>
      <c r="U17" s="232"/>
      <c r="V17" s="57">
        <f t="shared" si="1"/>
        <v>0.83333333333333337</v>
      </c>
      <c r="W17" s="30"/>
      <c r="X17" s="65" t="s">
        <v>14</v>
      </c>
      <c r="Y17" s="65"/>
      <c r="Z17" s="229">
        <f>SUM(Z13:Z16)</f>
        <v>3000</v>
      </c>
      <c r="AA17" s="230"/>
      <c r="AB17" s="2"/>
      <c r="AC17" s="2"/>
      <c r="AD17" s="2"/>
    </row>
    <row r="18" spans="1:30" ht="15.75" customHeight="1" x14ac:dyDescent="0.25">
      <c r="A18" s="2"/>
      <c r="B18" s="2"/>
      <c r="C18" s="2"/>
      <c r="D18" s="240"/>
      <c r="E18" s="224"/>
      <c r="F18" s="224"/>
      <c r="G18" s="241"/>
      <c r="H18" s="342" t="b">
        <v>0</v>
      </c>
      <c r="I18" s="11"/>
      <c r="J18" s="66"/>
      <c r="K18" s="59"/>
      <c r="L18" s="59"/>
      <c r="M18" s="59"/>
      <c r="N18" s="59"/>
      <c r="O18" s="59"/>
      <c r="P18" s="344" t="b">
        <v>0</v>
      </c>
      <c r="Q18" s="29"/>
      <c r="R18" s="239" t="s">
        <v>25</v>
      </c>
      <c r="S18" s="236"/>
      <c r="T18" s="235">
        <f t="shared" si="0"/>
        <v>0</v>
      </c>
      <c r="U18" s="236"/>
      <c r="V18" s="62">
        <f t="shared" si="1"/>
        <v>0</v>
      </c>
      <c r="W18" s="30"/>
      <c r="X18" s="2"/>
      <c r="Y18" s="2"/>
      <c r="Z18" s="2"/>
      <c r="AA18" s="2"/>
      <c r="AB18" s="2"/>
      <c r="AC18" s="2"/>
      <c r="AD18" s="2"/>
    </row>
    <row r="19" spans="1:30" ht="15.75" customHeight="1" x14ac:dyDescent="0.25">
      <c r="A19" s="2"/>
      <c r="B19" s="2"/>
      <c r="C19" s="2"/>
      <c r="D19" s="226"/>
      <c r="E19" s="224"/>
      <c r="F19" s="224"/>
      <c r="G19" s="227"/>
      <c r="H19" s="341" t="b">
        <v>0</v>
      </c>
      <c r="I19" s="11"/>
      <c r="J19" s="63"/>
      <c r="K19" s="3"/>
      <c r="L19" s="3"/>
      <c r="M19" s="3"/>
      <c r="N19" s="3"/>
      <c r="O19" s="3"/>
      <c r="P19" s="345" t="b">
        <v>0</v>
      </c>
      <c r="Q19" s="29"/>
      <c r="R19" s="231" t="s">
        <v>26</v>
      </c>
      <c r="S19" s="232"/>
      <c r="T19" s="233">
        <f t="shared" si="0"/>
        <v>0</v>
      </c>
      <c r="U19" s="232"/>
      <c r="V19" s="57">
        <f t="shared" si="1"/>
        <v>0</v>
      </c>
      <c r="W19" s="30"/>
      <c r="X19" s="2"/>
      <c r="Y19" s="2"/>
      <c r="Z19" s="2"/>
      <c r="AA19" s="2"/>
      <c r="AB19" s="2"/>
      <c r="AC19" s="2"/>
      <c r="AD19" s="2"/>
    </row>
    <row r="20" spans="1:30" ht="15.75" customHeight="1" x14ac:dyDescent="0.25">
      <c r="A20" s="2"/>
      <c r="B20" s="2"/>
      <c r="C20" s="2"/>
      <c r="D20" s="240"/>
      <c r="E20" s="224"/>
      <c r="F20" s="224"/>
      <c r="G20" s="241"/>
      <c r="H20" s="342" t="b">
        <v>0</v>
      </c>
      <c r="I20" s="11"/>
      <c r="J20" s="66"/>
      <c r="K20" s="59"/>
      <c r="L20" s="59"/>
      <c r="M20" s="59"/>
      <c r="N20" s="59"/>
      <c r="O20" s="59"/>
      <c r="P20" s="344" t="b">
        <v>0</v>
      </c>
      <c r="Q20" s="29"/>
      <c r="R20" s="239" t="s">
        <v>27</v>
      </c>
      <c r="S20" s="236"/>
      <c r="T20" s="235">
        <f t="shared" si="0"/>
        <v>500</v>
      </c>
      <c r="U20" s="236"/>
      <c r="V20" s="62">
        <f t="shared" si="1"/>
        <v>0.16666666666666666</v>
      </c>
      <c r="W20" s="30"/>
      <c r="X20" s="2"/>
      <c r="Y20" s="2"/>
      <c r="Z20" s="2"/>
      <c r="AA20" s="2"/>
      <c r="AB20" s="2"/>
      <c r="AC20" s="2"/>
      <c r="AD20" s="2"/>
    </row>
    <row r="21" spans="1:30" ht="15.75" customHeight="1" x14ac:dyDescent="0.25">
      <c r="A21" s="2"/>
      <c r="B21" s="2"/>
      <c r="C21" s="2"/>
      <c r="D21" s="226"/>
      <c r="E21" s="224"/>
      <c r="F21" s="224"/>
      <c r="G21" s="227"/>
      <c r="H21" s="341" t="b">
        <v>0</v>
      </c>
      <c r="I21" s="11"/>
      <c r="J21" s="63"/>
      <c r="K21" s="3"/>
      <c r="L21" s="3"/>
      <c r="M21" s="3"/>
      <c r="N21" s="3"/>
      <c r="O21" s="3"/>
      <c r="P21" s="345" t="b">
        <v>0</v>
      </c>
      <c r="Q21" s="29"/>
      <c r="R21" s="231" t="s">
        <v>28</v>
      </c>
      <c r="S21" s="232"/>
      <c r="T21" s="233">
        <f t="shared" si="0"/>
        <v>0</v>
      </c>
      <c r="U21" s="232"/>
      <c r="V21" s="57">
        <f t="shared" si="1"/>
        <v>0</v>
      </c>
      <c r="W21" s="30"/>
      <c r="X21" s="2"/>
      <c r="Y21" s="2"/>
      <c r="Z21" s="2"/>
      <c r="AA21" s="2"/>
      <c r="AB21" s="2"/>
      <c r="AC21" s="2"/>
      <c r="AD21" s="2"/>
    </row>
    <row r="22" spans="1:30" ht="15.75" customHeight="1" x14ac:dyDescent="0.25">
      <c r="A22" s="2"/>
      <c r="B22" s="2"/>
      <c r="C22" s="2"/>
      <c r="D22" s="28"/>
      <c r="E22" s="28"/>
      <c r="F22" s="28"/>
      <c r="G22" s="28"/>
      <c r="H22" s="28"/>
      <c r="I22" s="11"/>
      <c r="J22" s="66"/>
      <c r="K22" s="59"/>
      <c r="L22" s="59"/>
      <c r="M22" s="59"/>
      <c r="N22" s="59"/>
      <c r="O22" s="59"/>
      <c r="P22" s="344" t="b">
        <v>0</v>
      </c>
      <c r="Q22" s="29"/>
      <c r="R22" s="239" t="s">
        <v>29</v>
      </c>
      <c r="S22" s="236"/>
      <c r="T22" s="235">
        <f t="shared" si="0"/>
        <v>0</v>
      </c>
      <c r="U22" s="236"/>
      <c r="V22" s="62">
        <f t="shared" si="1"/>
        <v>0</v>
      </c>
      <c r="W22" s="30"/>
      <c r="X22" s="2"/>
      <c r="Y22" s="2"/>
      <c r="Z22" s="2"/>
      <c r="AA22" s="2"/>
      <c r="AB22" s="2"/>
      <c r="AC22" s="2"/>
      <c r="AD22" s="2"/>
    </row>
    <row r="23" spans="1:30" ht="15.75" customHeight="1" x14ac:dyDescent="0.25">
      <c r="A23" s="2"/>
      <c r="B23" s="2"/>
      <c r="C23" s="11"/>
      <c r="D23" s="242" t="s">
        <v>15</v>
      </c>
      <c r="E23" s="209"/>
      <c r="F23" s="209"/>
      <c r="G23" s="209"/>
      <c r="H23" s="129"/>
      <c r="I23" s="29"/>
      <c r="J23" s="63"/>
      <c r="K23" s="3"/>
      <c r="L23" s="3"/>
      <c r="M23" s="3"/>
      <c r="N23" s="3"/>
      <c r="O23" s="3"/>
      <c r="P23" s="345" t="b">
        <v>0</v>
      </c>
      <c r="Q23" s="29"/>
      <c r="R23" s="231" t="s">
        <v>30</v>
      </c>
      <c r="S23" s="232"/>
      <c r="T23" s="233">
        <f t="shared" si="0"/>
        <v>0</v>
      </c>
      <c r="U23" s="232"/>
      <c r="V23" s="57">
        <f t="shared" si="1"/>
        <v>0</v>
      </c>
      <c r="W23" s="30"/>
      <c r="X23" s="2"/>
      <c r="Y23" s="2"/>
      <c r="Z23" s="2"/>
      <c r="AA23" s="2"/>
      <c r="AB23" s="2"/>
      <c r="AC23" s="2"/>
      <c r="AD23" s="2"/>
    </row>
    <row r="24" spans="1:30" ht="15.75" customHeight="1" x14ac:dyDescent="0.25">
      <c r="A24" s="2"/>
      <c r="B24" s="2"/>
      <c r="C24" s="11"/>
      <c r="D24" s="130"/>
      <c r="E24" s="200"/>
      <c r="F24" s="200"/>
      <c r="G24" s="200"/>
      <c r="H24" s="131"/>
      <c r="I24" s="29"/>
      <c r="J24" s="66"/>
      <c r="K24" s="59"/>
      <c r="L24" s="59"/>
      <c r="M24" s="59"/>
      <c r="N24" s="59"/>
      <c r="O24" s="59"/>
      <c r="P24" s="344" t="b">
        <v>0</v>
      </c>
      <c r="Q24" s="29"/>
      <c r="R24" s="239" t="s">
        <v>31</v>
      </c>
      <c r="S24" s="236"/>
      <c r="T24" s="235">
        <f t="shared" si="0"/>
        <v>0</v>
      </c>
      <c r="U24" s="236"/>
      <c r="V24" s="62">
        <f t="shared" si="1"/>
        <v>0</v>
      </c>
      <c r="W24" s="30"/>
      <c r="X24" s="67"/>
      <c r="Y24" s="67"/>
      <c r="Z24" s="67"/>
      <c r="AA24" s="67"/>
      <c r="AB24" s="2"/>
      <c r="AC24" s="2"/>
      <c r="AD24" s="2"/>
    </row>
    <row r="25" spans="1:30" ht="32" customHeight="1" x14ac:dyDescent="0.25">
      <c r="A25" s="2"/>
      <c r="B25" s="2"/>
      <c r="C25" s="11"/>
      <c r="D25" s="275" t="s">
        <v>62</v>
      </c>
      <c r="E25" s="224"/>
      <c r="F25" s="119"/>
      <c r="G25" s="68" t="s">
        <v>75</v>
      </c>
      <c r="H25" s="69" t="s">
        <v>76</v>
      </c>
      <c r="I25" s="29"/>
      <c r="J25" s="63"/>
      <c r="K25" s="3"/>
      <c r="L25" s="3"/>
      <c r="M25" s="3"/>
      <c r="N25" s="3"/>
      <c r="O25" s="3"/>
      <c r="P25" s="345" t="b">
        <v>0</v>
      </c>
      <c r="Q25" s="29"/>
      <c r="R25" s="231" t="s">
        <v>32</v>
      </c>
      <c r="S25" s="232"/>
      <c r="T25" s="233">
        <f t="shared" si="0"/>
        <v>0</v>
      </c>
      <c r="U25" s="232"/>
      <c r="V25" s="57">
        <f t="shared" si="1"/>
        <v>0</v>
      </c>
      <c r="W25" s="2"/>
      <c r="X25" s="2"/>
      <c r="Y25" s="2"/>
      <c r="Z25" s="2"/>
      <c r="AA25" s="2"/>
      <c r="AB25" s="2"/>
      <c r="AC25" s="2"/>
      <c r="AD25" s="2"/>
    </row>
    <row r="26" spans="1:30" ht="15.75" customHeight="1" x14ac:dyDescent="0.25">
      <c r="A26" s="2"/>
      <c r="B26" s="2"/>
      <c r="C26" s="11"/>
      <c r="D26" s="276"/>
      <c r="E26" s="277"/>
      <c r="F26" s="142"/>
      <c r="G26" s="70"/>
      <c r="H26" s="71">
        <v>10000</v>
      </c>
      <c r="I26" s="29"/>
      <c r="J26" s="66"/>
      <c r="K26" s="59"/>
      <c r="L26" s="59"/>
      <c r="M26" s="59"/>
      <c r="N26" s="59"/>
      <c r="O26" s="59"/>
      <c r="P26" s="344" t="b">
        <v>0</v>
      </c>
      <c r="Q26" s="29"/>
      <c r="R26" s="239" t="s">
        <v>33</v>
      </c>
      <c r="S26" s="236"/>
      <c r="T26" s="235">
        <f t="shared" si="0"/>
        <v>0</v>
      </c>
      <c r="U26" s="236"/>
      <c r="V26" s="62">
        <f t="shared" si="1"/>
        <v>0</v>
      </c>
      <c r="W26" s="29"/>
      <c r="X26" s="278" t="s">
        <v>77</v>
      </c>
      <c r="Y26" s="224"/>
      <c r="Z26" s="224"/>
      <c r="AA26" s="119"/>
      <c r="AB26" s="30"/>
      <c r="AC26" s="2"/>
      <c r="AD26" s="2"/>
    </row>
    <row r="27" spans="1:30" ht="13" x14ac:dyDescent="0.3">
      <c r="A27" s="2"/>
      <c r="B27" s="2"/>
      <c r="C27" s="11"/>
      <c r="D27" s="279"/>
      <c r="E27" s="245"/>
      <c r="F27" s="280"/>
      <c r="G27" s="72"/>
      <c r="H27" s="73"/>
      <c r="I27" s="29"/>
      <c r="J27" s="63"/>
      <c r="K27" s="3"/>
      <c r="L27" s="3"/>
      <c r="M27" s="3"/>
      <c r="N27" s="3"/>
      <c r="O27" s="3"/>
      <c r="P27" s="345" t="b">
        <v>0</v>
      </c>
      <c r="Q27" s="29"/>
      <c r="R27" s="231" t="s">
        <v>34</v>
      </c>
      <c r="S27" s="232"/>
      <c r="T27" s="233">
        <f t="shared" si="0"/>
        <v>0</v>
      </c>
      <c r="U27" s="232"/>
      <c r="V27" s="57">
        <f t="shared" si="1"/>
        <v>0</v>
      </c>
      <c r="W27" s="29"/>
      <c r="X27" s="270" t="s">
        <v>78</v>
      </c>
      <c r="Y27" s="119"/>
      <c r="Z27" s="74">
        <f>SUMIF(M59:N119,"Tarjeta de débito",O59:P119)+SUMIF(N15:N39,"Tarjeta de débito",M15:M39)</f>
        <v>0</v>
      </c>
      <c r="AA27" s="75">
        <f t="shared" ref="AA27:AA30" si="3">Z27*1/$U$8</f>
        <v>0</v>
      </c>
      <c r="AB27" s="30"/>
      <c r="AC27" s="2"/>
      <c r="AD27" s="2"/>
    </row>
    <row r="28" spans="1:30" ht="13" x14ac:dyDescent="0.3">
      <c r="A28" s="2"/>
      <c r="B28" s="2"/>
      <c r="C28" s="11"/>
      <c r="D28" s="286"/>
      <c r="E28" s="245"/>
      <c r="F28" s="236"/>
      <c r="G28" s="76"/>
      <c r="H28" s="77"/>
      <c r="I28" s="29"/>
      <c r="J28" s="66"/>
      <c r="K28" s="59"/>
      <c r="L28" s="59"/>
      <c r="M28" s="59"/>
      <c r="N28" s="59"/>
      <c r="O28" s="59"/>
      <c r="P28" s="344" t="b">
        <v>0</v>
      </c>
      <c r="Q28" s="29"/>
      <c r="R28" s="78" t="s">
        <v>35</v>
      </c>
      <c r="S28" s="79"/>
      <c r="T28" s="235">
        <f t="shared" si="0"/>
        <v>0</v>
      </c>
      <c r="U28" s="236"/>
      <c r="V28" s="62">
        <f t="shared" si="1"/>
        <v>0</v>
      </c>
      <c r="W28" s="29"/>
      <c r="X28" s="281" t="s">
        <v>31</v>
      </c>
      <c r="Y28" s="119"/>
      <c r="Z28" s="80">
        <f>SUMIF(M59:N119,"Tarjeta de crédito",O59:P119)+SUMIF(N15:N39,"Tarjeta de crédito",M15:M39)</f>
        <v>2500</v>
      </c>
      <c r="AA28" s="75">
        <f t="shared" si="3"/>
        <v>0.83333333333333337</v>
      </c>
      <c r="AB28" s="30"/>
      <c r="AC28" s="2"/>
      <c r="AD28" s="2"/>
    </row>
    <row r="29" spans="1:30" ht="13" x14ac:dyDescent="0.3">
      <c r="A29" s="2"/>
      <c r="B29" s="2"/>
      <c r="C29" s="11"/>
      <c r="D29" s="279"/>
      <c r="E29" s="245"/>
      <c r="F29" s="280"/>
      <c r="G29" s="72"/>
      <c r="H29" s="73"/>
      <c r="I29" s="29"/>
      <c r="J29" s="63"/>
      <c r="K29" s="3"/>
      <c r="L29" s="3"/>
      <c r="M29" s="3"/>
      <c r="N29" s="3"/>
      <c r="O29" s="3"/>
      <c r="P29" s="345" t="b">
        <v>0</v>
      </c>
      <c r="Q29" s="29"/>
      <c r="R29" s="231" t="s">
        <v>79</v>
      </c>
      <c r="S29" s="232"/>
      <c r="T29" s="233">
        <f t="shared" si="0"/>
        <v>0</v>
      </c>
      <c r="U29" s="232"/>
      <c r="V29" s="57">
        <f t="shared" si="1"/>
        <v>0</v>
      </c>
      <c r="W29" s="29"/>
      <c r="X29" s="282" t="s">
        <v>80</v>
      </c>
      <c r="Y29" s="119"/>
      <c r="Z29" s="80">
        <f>SUMIF(M59:N119,"Efectivo",O59:P119)+SUMIF(N15:N39,"Efectivo",M15:M39)</f>
        <v>500</v>
      </c>
      <c r="AA29" s="75">
        <f t="shared" si="3"/>
        <v>0.16666666666666666</v>
      </c>
      <c r="AB29" s="30"/>
      <c r="AC29" s="2"/>
      <c r="AD29" s="2"/>
    </row>
    <row r="30" spans="1:30" ht="13" x14ac:dyDescent="0.3">
      <c r="A30" s="2"/>
      <c r="B30" s="2"/>
      <c r="C30" s="11"/>
      <c r="D30" s="286"/>
      <c r="E30" s="245"/>
      <c r="F30" s="236"/>
      <c r="G30" s="76"/>
      <c r="H30" s="77"/>
      <c r="I30" s="29"/>
      <c r="J30" s="66"/>
      <c r="K30" s="59"/>
      <c r="L30" s="59"/>
      <c r="M30" s="59"/>
      <c r="N30" s="59"/>
      <c r="O30" s="59"/>
      <c r="P30" s="344" t="b">
        <v>0</v>
      </c>
      <c r="Q30" s="29"/>
      <c r="R30" s="78" t="s">
        <v>37</v>
      </c>
      <c r="S30" s="79"/>
      <c r="T30" s="235">
        <f t="shared" si="0"/>
        <v>0</v>
      </c>
      <c r="U30" s="236"/>
      <c r="V30" s="62">
        <f t="shared" si="1"/>
        <v>0</v>
      </c>
      <c r="W30" s="29"/>
      <c r="X30" s="283" t="s">
        <v>72</v>
      </c>
      <c r="Y30" s="119"/>
      <c r="Z30" s="74">
        <f>SUMIF(M59:N119,"Transferencia",O59:P119)+SUMIF(N15:N39,"Transferencia",M15:M39)</f>
        <v>0</v>
      </c>
      <c r="AA30" s="75">
        <f t="shared" si="3"/>
        <v>0</v>
      </c>
      <c r="AB30" s="30"/>
      <c r="AC30" s="2"/>
      <c r="AD30" s="2"/>
    </row>
    <row r="31" spans="1:30" ht="15.75" customHeight="1" x14ac:dyDescent="0.25">
      <c r="A31" s="2"/>
      <c r="B31" s="2"/>
      <c r="C31" s="11"/>
      <c r="D31" s="279"/>
      <c r="E31" s="245"/>
      <c r="F31" s="280"/>
      <c r="G31" s="72"/>
      <c r="H31" s="73"/>
      <c r="I31" s="29"/>
      <c r="J31" s="63"/>
      <c r="K31" s="3"/>
      <c r="L31" s="3"/>
      <c r="M31" s="3"/>
      <c r="N31" s="3"/>
      <c r="O31" s="3"/>
      <c r="P31" s="345" t="b">
        <v>0</v>
      </c>
      <c r="Q31" s="29"/>
      <c r="R31" s="231" t="s">
        <v>38</v>
      </c>
      <c r="S31" s="232"/>
      <c r="T31" s="233">
        <f t="shared" si="0"/>
        <v>0</v>
      </c>
      <c r="U31" s="232"/>
      <c r="V31" s="57">
        <f t="shared" si="1"/>
        <v>0</v>
      </c>
      <c r="W31" s="2"/>
      <c r="X31" s="28"/>
      <c r="Y31" s="28"/>
      <c r="Z31" s="28"/>
      <c r="AA31" s="28"/>
      <c r="AB31" s="2"/>
      <c r="AC31" s="2"/>
      <c r="AD31" s="2"/>
    </row>
    <row r="32" spans="1:30" ht="15.75" customHeight="1" x14ac:dyDescent="0.25">
      <c r="A32" s="2"/>
      <c r="B32" s="2"/>
      <c r="C32" s="11"/>
      <c r="D32" s="286"/>
      <c r="E32" s="245"/>
      <c r="F32" s="236"/>
      <c r="G32" s="76"/>
      <c r="H32" s="77"/>
      <c r="I32" s="29"/>
      <c r="J32" s="81"/>
      <c r="K32" s="82"/>
      <c r="L32" s="82"/>
      <c r="M32" s="82"/>
      <c r="N32" s="82"/>
      <c r="O32" s="82"/>
      <c r="P32" s="346" t="b">
        <v>0</v>
      </c>
      <c r="Q32" s="29"/>
      <c r="R32" s="78" t="s">
        <v>39</v>
      </c>
      <c r="S32" s="79"/>
      <c r="T32" s="235">
        <f t="shared" si="0"/>
        <v>0</v>
      </c>
      <c r="U32" s="236"/>
      <c r="V32" s="62">
        <f t="shared" si="1"/>
        <v>0</v>
      </c>
      <c r="W32" s="29"/>
      <c r="X32" s="284" t="s">
        <v>81</v>
      </c>
      <c r="Y32" s="209"/>
      <c r="Z32" s="209"/>
      <c r="AA32" s="129"/>
      <c r="AB32" s="30"/>
      <c r="AC32" s="2"/>
      <c r="AD32" s="2"/>
    </row>
    <row r="33" spans="1:30" ht="15.75" customHeight="1" x14ac:dyDescent="0.25">
      <c r="A33" s="2"/>
      <c r="B33" s="2"/>
      <c r="C33" s="11"/>
      <c r="D33" s="279"/>
      <c r="E33" s="245"/>
      <c r="F33" s="280"/>
      <c r="G33" s="72"/>
      <c r="H33" s="73"/>
      <c r="I33" s="29"/>
      <c r="J33" s="84"/>
      <c r="K33" s="85"/>
      <c r="L33" s="85"/>
      <c r="M33" s="85"/>
      <c r="N33" s="85"/>
      <c r="O33" s="85"/>
      <c r="P33" s="347" t="b">
        <v>0</v>
      </c>
      <c r="Q33" s="29"/>
      <c r="R33" s="231" t="s">
        <v>40</v>
      </c>
      <c r="S33" s="232"/>
      <c r="T33" s="233">
        <f t="shared" si="0"/>
        <v>0</v>
      </c>
      <c r="U33" s="232"/>
      <c r="V33" s="57">
        <f t="shared" si="1"/>
        <v>0</v>
      </c>
      <c r="W33" s="29"/>
      <c r="X33" s="130"/>
      <c r="Y33" s="200"/>
      <c r="Z33" s="200"/>
      <c r="AA33" s="131"/>
      <c r="AB33" s="30"/>
      <c r="AC33" s="2"/>
      <c r="AD33" s="2"/>
    </row>
    <row r="34" spans="1:30" ht="13" x14ac:dyDescent="0.3">
      <c r="A34" s="2"/>
      <c r="B34" s="2"/>
      <c r="C34" s="11"/>
      <c r="D34" s="287"/>
      <c r="E34" s="245"/>
      <c r="F34" s="236"/>
      <c r="G34" s="87"/>
      <c r="H34" s="88"/>
      <c r="I34" s="29"/>
      <c r="J34" s="81"/>
      <c r="K34" s="82"/>
      <c r="L34" s="82"/>
      <c r="M34" s="82"/>
      <c r="N34" s="82"/>
      <c r="O34" s="82"/>
      <c r="P34" s="346" t="b">
        <v>0</v>
      </c>
      <c r="Q34" s="29"/>
      <c r="R34" s="78" t="s">
        <v>41</v>
      </c>
      <c r="S34" s="79"/>
      <c r="T34" s="235">
        <f t="shared" si="0"/>
        <v>0</v>
      </c>
      <c r="U34" s="236"/>
      <c r="V34" s="62">
        <f t="shared" si="1"/>
        <v>0</v>
      </c>
      <c r="W34" s="29"/>
      <c r="X34" s="285" t="s">
        <v>82</v>
      </c>
      <c r="Y34" s="224"/>
      <c r="Z34" s="224"/>
      <c r="AA34" s="119"/>
      <c r="AB34" s="30"/>
      <c r="AC34" s="2"/>
      <c r="AD34" s="2"/>
    </row>
    <row r="35" spans="1:30" ht="15.75" customHeight="1" x14ac:dyDescent="0.25">
      <c r="A35" s="2"/>
      <c r="B35" s="2"/>
      <c r="C35" s="11"/>
      <c r="D35" s="304"/>
      <c r="E35" s="194"/>
      <c r="F35" s="305"/>
      <c r="G35" s="89"/>
      <c r="H35" s="90"/>
      <c r="I35" s="29"/>
      <c r="J35" s="84"/>
      <c r="K35" s="85"/>
      <c r="L35" s="85"/>
      <c r="M35" s="85"/>
      <c r="N35" s="85"/>
      <c r="O35" s="85"/>
      <c r="P35" s="347" t="b">
        <v>0</v>
      </c>
      <c r="Q35" s="29"/>
      <c r="R35" s="231" t="s">
        <v>42</v>
      </c>
      <c r="S35" s="232"/>
      <c r="T35" s="233">
        <f t="shared" si="0"/>
        <v>0</v>
      </c>
      <c r="U35" s="232"/>
      <c r="V35" s="57">
        <f t="shared" si="1"/>
        <v>0</v>
      </c>
      <c r="W35" s="29"/>
      <c r="X35" s="294" t="s">
        <v>83</v>
      </c>
      <c r="Y35" s="295"/>
      <c r="Z35" s="296">
        <f>W8</f>
        <v>7000</v>
      </c>
      <c r="AA35" s="258"/>
      <c r="AB35" s="30"/>
      <c r="AC35" s="2"/>
      <c r="AD35" s="2"/>
    </row>
    <row r="36" spans="1:30" ht="13" x14ac:dyDescent="0.3">
      <c r="A36" s="2"/>
      <c r="B36" s="2"/>
      <c r="C36" s="11"/>
      <c r="D36" s="306" t="s">
        <v>84</v>
      </c>
      <c r="E36" s="129"/>
      <c r="F36" s="307" t="s">
        <v>85</v>
      </c>
      <c r="G36" s="308"/>
      <c r="H36" s="91">
        <f>SUM(G26:G35)</f>
        <v>0</v>
      </c>
      <c r="I36" s="29"/>
      <c r="J36" s="81"/>
      <c r="K36" s="82"/>
      <c r="L36" s="82"/>
      <c r="M36" s="82"/>
      <c r="N36" s="82"/>
      <c r="O36" s="82"/>
      <c r="P36" s="346" t="b">
        <v>0</v>
      </c>
      <c r="Q36" s="29"/>
      <c r="R36" s="78" t="s">
        <v>43</v>
      </c>
      <c r="S36" s="79"/>
      <c r="T36" s="235">
        <f t="shared" si="0"/>
        <v>0</v>
      </c>
      <c r="U36" s="236"/>
      <c r="V36" s="62">
        <f t="shared" si="1"/>
        <v>0</v>
      </c>
      <c r="W36" s="29"/>
      <c r="X36" s="285" t="s">
        <v>86</v>
      </c>
      <c r="Y36" s="224"/>
      <c r="Z36" s="224"/>
      <c r="AA36" s="119"/>
      <c r="AB36" s="30"/>
      <c r="AC36" s="2"/>
      <c r="AD36" s="2"/>
    </row>
    <row r="37" spans="1:30" ht="13" x14ac:dyDescent="0.3">
      <c r="A37" s="2"/>
      <c r="B37" s="2"/>
      <c r="C37" s="11"/>
      <c r="D37" s="130"/>
      <c r="E37" s="131"/>
      <c r="F37" s="309" t="s">
        <v>87</v>
      </c>
      <c r="G37" s="310"/>
      <c r="H37" s="92">
        <f>SUM(H26:H35)</f>
        <v>10000</v>
      </c>
      <c r="I37" s="29"/>
      <c r="J37" s="84"/>
      <c r="K37" s="85"/>
      <c r="L37" s="85"/>
      <c r="M37" s="85"/>
      <c r="N37" s="85"/>
      <c r="O37" s="85"/>
      <c r="P37" s="347" t="b">
        <v>0</v>
      </c>
      <c r="Q37" s="29"/>
      <c r="R37" s="231" t="s">
        <v>88</v>
      </c>
      <c r="S37" s="232"/>
      <c r="T37" s="233">
        <f t="shared" si="0"/>
        <v>0</v>
      </c>
      <c r="U37" s="232"/>
      <c r="V37" s="57">
        <f t="shared" si="1"/>
        <v>0</v>
      </c>
      <c r="W37" s="29"/>
      <c r="X37" s="297" t="s">
        <v>89</v>
      </c>
      <c r="Y37" s="298"/>
      <c r="Z37" s="299"/>
      <c r="AA37" s="300"/>
      <c r="AB37" s="30"/>
      <c r="AC37" s="2"/>
      <c r="AD37" s="2"/>
    </row>
    <row r="38" spans="1:30" ht="12.5" x14ac:dyDescent="0.25">
      <c r="A38" s="2"/>
      <c r="B38" s="2"/>
      <c r="C38" s="2"/>
      <c r="D38" s="36"/>
      <c r="E38" s="36"/>
      <c r="F38" s="36"/>
      <c r="G38" s="36"/>
      <c r="H38" s="36"/>
      <c r="I38" s="11"/>
      <c r="J38" s="81"/>
      <c r="K38" s="82"/>
      <c r="L38" s="82"/>
      <c r="M38" s="82"/>
      <c r="N38" s="82"/>
      <c r="O38" s="82"/>
      <c r="P38" s="346" t="b">
        <v>0</v>
      </c>
      <c r="Q38" s="29"/>
      <c r="R38" s="93"/>
      <c r="S38" s="2"/>
      <c r="T38" s="2"/>
      <c r="U38" s="2"/>
      <c r="V38" s="94"/>
      <c r="W38" s="29"/>
      <c r="X38" s="301" t="s">
        <v>80</v>
      </c>
      <c r="Y38" s="302"/>
      <c r="Z38" s="288"/>
      <c r="AA38" s="289"/>
      <c r="AB38" s="30"/>
      <c r="AC38" s="2"/>
      <c r="AD38" s="2"/>
    </row>
    <row r="39" spans="1:30" ht="13" x14ac:dyDescent="0.25">
      <c r="A39" s="2"/>
      <c r="B39" s="2"/>
      <c r="C39" s="11"/>
      <c r="D39" s="311" t="s">
        <v>90</v>
      </c>
      <c r="E39" s="209"/>
      <c r="F39" s="209"/>
      <c r="G39" s="312"/>
      <c r="H39" s="129"/>
      <c r="I39" s="29"/>
      <c r="J39" s="84"/>
      <c r="K39" s="85"/>
      <c r="L39" s="85"/>
      <c r="M39" s="85"/>
      <c r="N39" s="85"/>
      <c r="O39" s="85"/>
      <c r="P39" s="347" t="b">
        <v>0</v>
      </c>
      <c r="Q39" s="29"/>
      <c r="R39" s="271"/>
      <c r="S39" s="232"/>
      <c r="T39" s="274"/>
      <c r="U39" s="232"/>
      <c r="V39" s="95"/>
      <c r="W39" s="29"/>
      <c r="X39" s="303" t="s">
        <v>91</v>
      </c>
      <c r="Y39" s="129"/>
      <c r="Z39" s="290">
        <f>(Z38+Z37)-Z35</f>
        <v>-7000</v>
      </c>
      <c r="AA39" s="119"/>
      <c r="AB39" s="30"/>
      <c r="AC39" s="2"/>
      <c r="AD39" s="2"/>
    </row>
    <row r="40" spans="1:30" ht="13" x14ac:dyDescent="0.3">
      <c r="A40" s="2"/>
      <c r="B40" s="2"/>
      <c r="C40" s="11"/>
      <c r="D40" s="130"/>
      <c r="E40" s="200"/>
      <c r="F40" s="200"/>
      <c r="G40" s="130"/>
      <c r="H40" s="131"/>
      <c r="I40" s="29"/>
      <c r="J40" s="96" t="s">
        <v>14</v>
      </c>
      <c r="K40" s="97"/>
      <c r="L40" s="97">
        <f t="shared" ref="L40:M40" si="4">SUM(L15:L39)</f>
        <v>0</v>
      </c>
      <c r="M40" s="97">
        <f t="shared" si="4"/>
        <v>0</v>
      </c>
      <c r="N40" s="97"/>
      <c r="O40" s="97"/>
      <c r="P40" s="98"/>
      <c r="Q40" s="29"/>
      <c r="R40" s="272" t="s">
        <v>14</v>
      </c>
      <c r="S40" s="273"/>
      <c r="T40" s="291">
        <f>SUM(T15:U39)</f>
        <v>3000</v>
      </c>
      <c r="U40" s="224"/>
      <c r="V40" s="119"/>
      <c r="W40" s="29"/>
      <c r="X40" s="130"/>
      <c r="Y40" s="131"/>
      <c r="Z40" s="290" t="str">
        <f>IF(Z39&lt;0,"Te falta dinero o anotar algo", "Te sobra dinero o anotar algo")</f>
        <v>Te falta dinero o anotar algo</v>
      </c>
      <c r="AA40" s="119"/>
      <c r="AB40" s="30"/>
      <c r="AC40" s="2"/>
      <c r="AD40" s="2"/>
    </row>
    <row r="41" spans="1:30" ht="12.5" x14ac:dyDescent="0.25">
      <c r="A41" s="2"/>
      <c r="B41" s="2"/>
      <c r="C41" s="2"/>
      <c r="D41" s="35"/>
      <c r="E41" s="35"/>
      <c r="F41" s="35"/>
      <c r="G41" s="35"/>
      <c r="H41" s="35"/>
      <c r="I41" s="2"/>
      <c r="J41" s="99"/>
      <c r="K41" s="99"/>
      <c r="L41" s="99"/>
      <c r="M41" s="99"/>
      <c r="N41" s="99"/>
      <c r="O41" s="99"/>
      <c r="P41" s="99"/>
      <c r="Q41" s="28"/>
      <c r="R41" s="36"/>
      <c r="S41" s="36"/>
      <c r="T41" s="36"/>
      <c r="U41" s="36"/>
      <c r="V41" s="36"/>
      <c r="W41" s="2"/>
      <c r="X41" s="35"/>
      <c r="Y41" s="35"/>
      <c r="Z41" s="35"/>
      <c r="AA41" s="35"/>
      <c r="AB41" s="2"/>
      <c r="AC41" s="2"/>
      <c r="AD41" s="2"/>
    </row>
    <row r="42" spans="1:30" ht="13" x14ac:dyDescent="0.3">
      <c r="A42" s="2"/>
      <c r="B42" s="2"/>
      <c r="C42" s="2"/>
      <c r="D42" s="313" t="s">
        <v>92</v>
      </c>
      <c r="E42" s="209"/>
      <c r="F42" s="209"/>
      <c r="G42" s="209"/>
      <c r="H42" s="129"/>
      <c r="I42" s="11"/>
      <c r="J42" s="292" t="s">
        <v>93</v>
      </c>
      <c r="K42" s="224"/>
      <c r="L42" s="224"/>
      <c r="M42" s="224"/>
      <c r="N42" s="224"/>
      <c r="O42" s="224"/>
      <c r="P42" s="224"/>
      <c r="Q42" s="224"/>
      <c r="R42" s="224"/>
      <c r="S42" s="100">
        <f>M40+O120</f>
        <v>3000</v>
      </c>
      <c r="T42" s="293"/>
      <c r="U42" s="224"/>
      <c r="V42" s="119"/>
      <c r="W42" s="30"/>
      <c r="X42" s="2"/>
      <c r="Y42" s="2"/>
      <c r="Z42" s="2"/>
      <c r="AA42" s="2"/>
      <c r="AB42" s="2"/>
      <c r="AC42" s="2"/>
      <c r="AD42" s="2"/>
    </row>
    <row r="43" spans="1:30" ht="12.5" x14ac:dyDescent="0.25">
      <c r="A43" s="2"/>
      <c r="B43" s="2"/>
      <c r="C43" s="2"/>
      <c r="D43" s="130"/>
      <c r="E43" s="200"/>
      <c r="F43" s="200"/>
      <c r="G43" s="200"/>
      <c r="H43" s="131"/>
      <c r="I43" s="2"/>
      <c r="J43" s="4"/>
      <c r="K43" s="4"/>
      <c r="L43" s="4"/>
      <c r="M43" s="4"/>
      <c r="N43" s="4"/>
      <c r="O43" s="4"/>
      <c r="P43" s="4"/>
      <c r="Q43" s="35"/>
      <c r="R43" s="35"/>
      <c r="S43" s="35"/>
      <c r="T43" s="35"/>
      <c r="U43" s="35"/>
      <c r="V43" s="35"/>
      <c r="W43" s="2"/>
      <c r="X43" s="2"/>
      <c r="Y43" s="2"/>
      <c r="Z43" s="2"/>
      <c r="AA43" s="2"/>
      <c r="AB43" s="2"/>
      <c r="AC43" s="2"/>
      <c r="AD43" s="2"/>
    </row>
    <row r="44" spans="1:30" ht="13" x14ac:dyDescent="0.25">
      <c r="A44" s="2"/>
      <c r="B44" s="2"/>
      <c r="C44" s="2"/>
      <c r="D44" s="324" t="s">
        <v>62</v>
      </c>
      <c r="E44" s="224"/>
      <c r="F44" s="325"/>
      <c r="G44" s="101" t="s">
        <v>94</v>
      </c>
      <c r="H44" s="102" t="s">
        <v>95</v>
      </c>
      <c r="I44" s="2"/>
      <c r="J44" s="3"/>
      <c r="K44" s="3"/>
      <c r="L44" s="3"/>
      <c r="M44" s="3"/>
      <c r="N44" s="3"/>
      <c r="O44" s="3"/>
      <c r="P44" s="3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2.5" x14ac:dyDescent="0.25">
      <c r="A45" s="2"/>
      <c r="B45" s="2"/>
      <c r="C45" s="11"/>
      <c r="D45" s="326"/>
      <c r="E45" s="327"/>
      <c r="F45" s="230"/>
      <c r="G45" s="103"/>
      <c r="H45" s="104"/>
      <c r="I45" s="30"/>
      <c r="J45" s="3"/>
      <c r="K45" s="3"/>
      <c r="L45" s="3"/>
      <c r="M45" s="3"/>
      <c r="N45" s="3"/>
      <c r="O45" s="3"/>
      <c r="P45" s="3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2.5" x14ac:dyDescent="0.25">
      <c r="A46" s="2"/>
      <c r="B46" s="2"/>
      <c r="C46" s="11"/>
      <c r="D46" s="328"/>
      <c r="E46" s="245"/>
      <c r="F46" s="329"/>
      <c r="G46" s="105"/>
      <c r="H46" s="106"/>
      <c r="I46" s="30"/>
      <c r="J46" s="3"/>
      <c r="K46" s="3"/>
      <c r="L46" s="3"/>
      <c r="M46" s="3"/>
      <c r="N46" s="3"/>
      <c r="O46" s="3"/>
      <c r="P46" s="3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2.5" x14ac:dyDescent="0.25">
      <c r="A47" s="2"/>
      <c r="B47" s="2"/>
      <c r="C47" s="11"/>
      <c r="D47" s="330"/>
      <c r="E47" s="245"/>
      <c r="F47" s="236"/>
      <c r="G47" s="2"/>
      <c r="H47" s="94"/>
      <c r="I47" s="30"/>
      <c r="J47" s="3"/>
      <c r="K47" s="3"/>
      <c r="L47" s="3"/>
      <c r="M47" s="3"/>
      <c r="N47" s="3"/>
      <c r="O47" s="3"/>
      <c r="P47" s="3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2.5" x14ac:dyDescent="0.25">
      <c r="A48" s="2"/>
      <c r="B48" s="2"/>
      <c r="C48" s="11"/>
      <c r="D48" s="328"/>
      <c r="E48" s="245"/>
      <c r="F48" s="329"/>
      <c r="G48" s="105"/>
      <c r="H48" s="106"/>
      <c r="I48" s="30"/>
      <c r="J48" s="3"/>
      <c r="K48" s="3"/>
      <c r="L48" s="3"/>
      <c r="M48" s="3"/>
      <c r="N48" s="3"/>
      <c r="O48" s="3"/>
      <c r="P48" s="3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2.5" x14ac:dyDescent="0.25">
      <c r="A49" s="2"/>
      <c r="B49" s="2"/>
      <c r="C49" s="11"/>
      <c r="D49" s="330"/>
      <c r="E49" s="245"/>
      <c r="F49" s="236"/>
      <c r="G49" s="2"/>
      <c r="H49" s="94"/>
      <c r="I49" s="30"/>
      <c r="J49" s="3"/>
      <c r="K49" s="3"/>
      <c r="L49" s="3"/>
      <c r="M49" s="3"/>
      <c r="N49" s="3"/>
      <c r="O49" s="3"/>
      <c r="P49" s="3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2.5" x14ac:dyDescent="0.25">
      <c r="A50" s="2"/>
      <c r="B50" s="2"/>
      <c r="C50" s="11"/>
      <c r="D50" s="328"/>
      <c r="E50" s="245"/>
      <c r="F50" s="329"/>
      <c r="G50" s="105"/>
      <c r="H50" s="106"/>
      <c r="I50" s="30"/>
      <c r="J50" s="3"/>
      <c r="K50" s="3"/>
      <c r="L50" s="3"/>
      <c r="M50" s="3"/>
      <c r="N50" s="3"/>
      <c r="O50" s="3"/>
      <c r="P50" s="3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2.5" x14ac:dyDescent="0.25">
      <c r="A51" s="2"/>
      <c r="B51" s="2"/>
      <c r="C51" s="11"/>
      <c r="D51" s="331"/>
      <c r="E51" s="218"/>
      <c r="F51" s="219"/>
      <c r="G51" s="47"/>
      <c r="H51" s="107"/>
      <c r="I51" s="30"/>
      <c r="J51" s="3"/>
      <c r="K51" s="3"/>
      <c r="L51" s="3"/>
      <c r="M51" s="3"/>
      <c r="N51" s="3"/>
      <c r="O51" s="3"/>
      <c r="P51" s="3"/>
      <c r="Q51" s="2"/>
      <c r="R51" s="2"/>
      <c r="S51" s="2"/>
      <c r="T51" s="2"/>
      <c r="U51" s="2"/>
      <c r="V51" s="2"/>
      <c r="X51" s="2"/>
      <c r="Y51" s="2"/>
      <c r="Z51" s="2"/>
      <c r="AA51" s="2"/>
      <c r="AB51" s="2"/>
      <c r="AC51" s="2"/>
      <c r="AD51" s="2"/>
    </row>
    <row r="52" spans="1:30" ht="13" x14ac:dyDescent="0.3">
      <c r="A52" s="2"/>
      <c r="B52" s="2"/>
      <c r="C52" s="11"/>
      <c r="D52" s="332" t="s">
        <v>96</v>
      </c>
      <c r="E52" s="224"/>
      <c r="F52" s="224"/>
      <c r="G52" s="325"/>
      <c r="H52" s="108">
        <f>SUMIF(G45:G51, "Ahorro", H45:H51)</f>
        <v>0</v>
      </c>
      <c r="I52" s="30"/>
      <c r="J52" s="3"/>
      <c r="K52" s="3"/>
      <c r="L52" s="3"/>
      <c r="M52" s="3"/>
      <c r="N52" s="3"/>
      <c r="O52" s="3"/>
      <c r="P52" s="3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3" x14ac:dyDescent="0.3">
      <c r="A53" s="2"/>
      <c r="B53" s="2"/>
      <c r="C53" s="11"/>
      <c r="D53" s="332" t="s">
        <v>97</v>
      </c>
      <c r="E53" s="224"/>
      <c r="F53" s="224"/>
      <c r="G53" s="325"/>
      <c r="H53" s="108">
        <f>SUMIF(G45:G51, "Inversión", H45:H51)</f>
        <v>0</v>
      </c>
      <c r="I53" s="30"/>
      <c r="J53" s="3"/>
      <c r="K53" s="3"/>
      <c r="L53" s="3"/>
      <c r="M53" s="3"/>
      <c r="N53" s="3"/>
      <c r="O53" s="3"/>
      <c r="P53" s="3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2.5" x14ac:dyDescent="0.25">
      <c r="A54" s="2"/>
      <c r="B54" s="2"/>
      <c r="C54" s="2"/>
      <c r="D54" s="35"/>
      <c r="E54" s="35"/>
      <c r="F54" s="35"/>
      <c r="G54" s="35"/>
      <c r="H54" s="35"/>
      <c r="I54" s="2"/>
      <c r="J54" s="3"/>
      <c r="K54" s="3"/>
      <c r="L54" s="3"/>
      <c r="M54" s="3"/>
      <c r="N54" s="3"/>
      <c r="O54" s="3"/>
      <c r="P54" s="3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2.5" x14ac:dyDescent="0.25">
      <c r="A55" s="2"/>
      <c r="B55" s="2"/>
      <c r="C55" s="2"/>
      <c r="D55" s="28"/>
      <c r="E55" s="28"/>
      <c r="F55" s="28"/>
      <c r="G55" s="28"/>
      <c r="H55" s="28"/>
      <c r="I55" s="28"/>
      <c r="J55" s="5"/>
      <c r="K55" s="5"/>
      <c r="L55" s="5"/>
      <c r="M55" s="5"/>
      <c r="N55" s="5"/>
      <c r="O55" s="5"/>
      <c r="P55" s="5"/>
      <c r="Q55" s="28"/>
      <c r="R55" s="28"/>
      <c r="S55" s="28"/>
      <c r="T55" s="28"/>
      <c r="U55" s="28"/>
      <c r="V55" s="28"/>
      <c r="W55" s="2"/>
      <c r="X55" s="2"/>
      <c r="Y55" s="2"/>
      <c r="Z55" s="2"/>
      <c r="AA55" s="2"/>
      <c r="AB55" s="2"/>
      <c r="AC55" s="2"/>
      <c r="AD55" s="2"/>
    </row>
    <row r="56" spans="1:30" ht="12.5" x14ac:dyDescent="0.25">
      <c r="A56" s="2"/>
      <c r="B56" s="2"/>
      <c r="C56" s="11"/>
      <c r="D56" s="208" t="s">
        <v>98</v>
      </c>
      <c r="E56" s="209"/>
      <c r="F56" s="209"/>
      <c r="G56" s="209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9"/>
      <c r="S56" s="209"/>
      <c r="T56" s="209"/>
      <c r="U56" s="209"/>
      <c r="V56" s="129"/>
      <c r="W56" s="30"/>
      <c r="X56" s="2"/>
      <c r="Y56" s="2"/>
      <c r="Z56" s="2"/>
      <c r="AA56" s="2"/>
      <c r="AB56" s="2"/>
      <c r="AC56" s="2"/>
      <c r="AD56" s="2"/>
    </row>
    <row r="57" spans="1:30" ht="12.5" x14ac:dyDescent="0.25">
      <c r="A57" s="2"/>
      <c r="B57" s="2"/>
      <c r="C57" s="11"/>
      <c r="D57" s="333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277"/>
      <c r="P57" s="277"/>
      <c r="Q57" s="277"/>
      <c r="R57" s="277"/>
      <c r="S57" s="277"/>
      <c r="T57" s="277"/>
      <c r="U57" s="277"/>
      <c r="V57" s="334"/>
      <c r="W57" s="30"/>
      <c r="X57" s="2"/>
      <c r="Y57" s="2"/>
      <c r="Z57" s="2"/>
      <c r="AA57" s="2"/>
      <c r="AB57" s="2"/>
      <c r="AC57" s="2"/>
      <c r="AD57" s="2"/>
    </row>
    <row r="58" spans="1:30" ht="13" x14ac:dyDescent="0.3">
      <c r="A58" s="2"/>
      <c r="B58" s="2"/>
      <c r="C58" s="11"/>
      <c r="D58" s="335" t="s">
        <v>62</v>
      </c>
      <c r="E58" s="224"/>
      <c r="F58" s="224"/>
      <c r="G58" s="224"/>
      <c r="H58" s="224"/>
      <c r="I58" s="119"/>
      <c r="J58" s="109" t="s">
        <v>99</v>
      </c>
      <c r="K58" s="319" t="s">
        <v>68</v>
      </c>
      <c r="L58" s="119"/>
      <c r="M58" s="319" t="s">
        <v>100</v>
      </c>
      <c r="N58" s="119"/>
      <c r="O58" s="319" t="s">
        <v>95</v>
      </c>
      <c r="P58" s="119"/>
      <c r="Q58" s="319" t="s">
        <v>101</v>
      </c>
      <c r="R58" s="224"/>
      <c r="S58" s="224"/>
      <c r="T58" s="224"/>
      <c r="U58" s="224"/>
      <c r="V58" s="119"/>
      <c r="W58" s="30"/>
      <c r="X58" s="2"/>
      <c r="Y58" s="2"/>
      <c r="Z58" s="2"/>
      <c r="AA58" s="2"/>
      <c r="AB58" s="2"/>
      <c r="AC58" s="2"/>
      <c r="AD58" s="2"/>
    </row>
    <row r="59" spans="1:30" ht="12.5" x14ac:dyDescent="0.25">
      <c r="A59" s="2"/>
      <c r="B59" s="2"/>
      <c r="C59" s="11"/>
      <c r="D59" s="336" t="s">
        <v>102</v>
      </c>
      <c r="E59" s="277"/>
      <c r="F59" s="277"/>
      <c r="G59" s="277"/>
      <c r="H59" s="277"/>
      <c r="I59" s="142"/>
      <c r="J59" s="55">
        <v>45659</v>
      </c>
      <c r="K59" s="314" t="s">
        <v>24</v>
      </c>
      <c r="L59" s="142"/>
      <c r="M59" s="314" t="s">
        <v>31</v>
      </c>
      <c r="N59" s="142"/>
      <c r="O59" s="315">
        <v>2500</v>
      </c>
      <c r="P59" s="142"/>
      <c r="Q59" s="247"/>
      <c r="R59" s="277"/>
      <c r="S59" s="277"/>
      <c r="T59" s="277"/>
      <c r="U59" s="277"/>
      <c r="V59" s="334"/>
      <c r="W59" s="30"/>
      <c r="X59" s="2"/>
      <c r="Y59" s="2"/>
      <c r="Z59" s="2"/>
      <c r="AA59" s="2"/>
      <c r="AB59" s="2"/>
      <c r="AC59" s="2"/>
      <c r="AD59" s="2"/>
    </row>
    <row r="60" spans="1:30" ht="12.5" x14ac:dyDescent="0.25">
      <c r="A60" s="2"/>
      <c r="B60" s="2"/>
      <c r="C60" s="11"/>
      <c r="D60" s="337" t="s">
        <v>103</v>
      </c>
      <c r="E60" s="277"/>
      <c r="F60" s="277"/>
      <c r="G60" s="277"/>
      <c r="H60" s="277"/>
      <c r="I60" s="338"/>
      <c r="J60" s="110">
        <v>45665</v>
      </c>
      <c r="K60" s="316" t="s">
        <v>27</v>
      </c>
      <c r="L60" s="232"/>
      <c r="M60" s="316" t="s">
        <v>80</v>
      </c>
      <c r="N60" s="232"/>
      <c r="O60" s="317">
        <v>500</v>
      </c>
      <c r="P60" s="232"/>
      <c r="Q60" s="274"/>
      <c r="R60" s="245"/>
      <c r="S60" s="245"/>
      <c r="T60" s="245"/>
      <c r="U60" s="245"/>
      <c r="V60" s="246"/>
      <c r="W60" s="30"/>
      <c r="X60" s="2"/>
      <c r="Y60" s="2"/>
      <c r="Z60" s="2"/>
      <c r="AA60" s="2"/>
      <c r="AB60" s="2"/>
      <c r="AC60" s="2"/>
      <c r="AD60" s="2"/>
    </row>
    <row r="61" spans="1:30" ht="12.5" x14ac:dyDescent="0.25">
      <c r="A61" s="2"/>
      <c r="B61" s="2"/>
      <c r="C61" s="11"/>
      <c r="D61" s="336"/>
      <c r="E61" s="277"/>
      <c r="F61" s="277"/>
      <c r="G61" s="277"/>
      <c r="H61" s="277"/>
      <c r="I61" s="142"/>
      <c r="J61" s="3"/>
      <c r="K61" s="314"/>
      <c r="L61" s="142"/>
      <c r="M61" s="314"/>
      <c r="N61" s="142"/>
      <c r="O61" s="320"/>
      <c r="P61" s="236"/>
      <c r="Q61" s="318"/>
      <c r="R61" s="245"/>
      <c r="S61" s="245"/>
      <c r="T61" s="245"/>
      <c r="U61" s="245"/>
      <c r="V61" s="246"/>
      <c r="W61" s="30"/>
      <c r="X61" s="2"/>
      <c r="Y61" s="2"/>
      <c r="Z61" s="2"/>
      <c r="AA61" s="2"/>
      <c r="AB61" s="2"/>
      <c r="AC61" s="2"/>
      <c r="AD61" s="2"/>
    </row>
    <row r="62" spans="1:30" ht="12.5" x14ac:dyDescent="0.25">
      <c r="A62" s="2"/>
      <c r="B62" s="2"/>
      <c r="C62" s="11"/>
      <c r="D62" s="337"/>
      <c r="E62" s="277"/>
      <c r="F62" s="277"/>
      <c r="G62" s="277"/>
      <c r="H62" s="277"/>
      <c r="I62" s="338"/>
      <c r="J62" s="111"/>
      <c r="K62" s="316"/>
      <c r="L62" s="232"/>
      <c r="M62" s="316"/>
      <c r="N62" s="232"/>
      <c r="O62" s="317"/>
      <c r="P62" s="232"/>
      <c r="Q62" s="274"/>
      <c r="R62" s="245"/>
      <c r="S62" s="245"/>
      <c r="T62" s="245"/>
      <c r="U62" s="245"/>
      <c r="V62" s="246"/>
      <c r="W62" s="30"/>
      <c r="X62" s="2"/>
      <c r="Y62" s="2"/>
      <c r="Z62" s="2"/>
      <c r="AA62" s="2"/>
      <c r="AB62" s="2"/>
      <c r="AC62" s="2"/>
      <c r="AD62" s="2"/>
    </row>
    <row r="63" spans="1:30" ht="12.5" x14ac:dyDescent="0.25">
      <c r="A63" s="2"/>
      <c r="B63" s="2"/>
      <c r="C63" s="11"/>
      <c r="D63" s="336"/>
      <c r="E63" s="277"/>
      <c r="F63" s="277"/>
      <c r="G63" s="277"/>
      <c r="H63" s="277"/>
      <c r="I63" s="142"/>
      <c r="J63" s="3"/>
      <c r="K63" s="314"/>
      <c r="L63" s="142"/>
      <c r="M63" s="314"/>
      <c r="N63" s="142"/>
      <c r="O63" s="320"/>
      <c r="P63" s="236"/>
      <c r="Q63" s="318"/>
      <c r="R63" s="245"/>
      <c r="S63" s="245"/>
      <c r="T63" s="245"/>
      <c r="U63" s="245"/>
      <c r="V63" s="246"/>
      <c r="W63" s="30"/>
      <c r="X63" s="2"/>
      <c r="Y63" s="2"/>
      <c r="Z63" s="2"/>
      <c r="AA63" s="2"/>
      <c r="AB63" s="2"/>
      <c r="AC63" s="2"/>
      <c r="AD63" s="2"/>
    </row>
    <row r="64" spans="1:30" ht="14" x14ac:dyDescent="0.3">
      <c r="A64" s="2"/>
      <c r="B64" s="2"/>
      <c r="C64" s="11"/>
      <c r="D64" s="337"/>
      <c r="E64" s="277"/>
      <c r="F64" s="277"/>
      <c r="G64" s="277"/>
      <c r="H64" s="277"/>
      <c r="I64" s="338"/>
      <c r="J64" s="111"/>
      <c r="K64" s="316"/>
      <c r="L64" s="232"/>
      <c r="M64" s="316"/>
      <c r="N64" s="232"/>
      <c r="O64" s="321"/>
      <c r="P64" s="232"/>
      <c r="Q64" s="274"/>
      <c r="R64" s="245"/>
      <c r="S64" s="245"/>
      <c r="T64" s="245"/>
      <c r="U64" s="245"/>
      <c r="V64" s="246"/>
      <c r="W64" s="30"/>
      <c r="X64" s="2"/>
      <c r="Y64" s="2"/>
      <c r="Z64" s="2"/>
      <c r="AA64" s="2"/>
      <c r="AB64" s="2"/>
      <c r="AC64" s="2"/>
      <c r="AD64" s="2"/>
    </row>
    <row r="65" spans="1:30" ht="12.5" x14ac:dyDescent="0.25">
      <c r="A65" s="2"/>
      <c r="B65" s="2"/>
      <c r="C65" s="11"/>
      <c r="D65" s="93"/>
      <c r="E65" s="2"/>
      <c r="F65" s="2"/>
      <c r="G65" s="2"/>
      <c r="H65" s="2"/>
      <c r="I65" s="2"/>
      <c r="J65" s="3"/>
      <c r="K65" s="314"/>
      <c r="L65" s="142"/>
      <c r="M65" s="314"/>
      <c r="N65" s="142"/>
      <c r="O65" s="320"/>
      <c r="P65" s="236"/>
      <c r="Q65" s="318"/>
      <c r="R65" s="245"/>
      <c r="S65" s="245"/>
      <c r="T65" s="245"/>
      <c r="U65" s="245"/>
      <c r="V65" s="246"/>
      <c r="W65" s="30"/>
      <c r="X65" s="2"/>
      <c r="Y65" s="2"/>
      <c r="Z65" s="2"/>
      <c r="AA65" s="2"/>
      <c r="AB65" s="2"/>
      <c r="AC65" s="2"/>
      <c r="AD65" s="2"/>
    </row>
    <row r="66" spans="1:30" ht="12.5" x14ac:dyDescent="0.25">
      <c r="A66" s="2"/>
      <c r="B66" s="2"/>
      <c r="C66" s="11"/>
      <c r="D66" s="337"/>
      <c r="E66" s="277"/>
      <c r="F66" s="277"/>
      <c r="G66" s="277"/>
      <c r="H66" s="277"/>
      <c r="I66" s="338"/>
      <c r="J66" s="111"/>
      <c r="K66" s="316"/>
      <c r="L66" s="232"/>
      <c r="M66" s="316"/>
      <c r="N66" s="232"/>
      <c r="O66" s="317"/>
      <c r="P66" s="232"/>
      <c r="Q66" s="274"/>
      <c r="R66" s="245"/>
      <c r="S66" s="245"/>
      <c r="T66" s="245"/>
      <c r="U66" s="245"/>
      <c r="V66" s="246"/>
      <c r="W66" s="30"/>
      <c r="X66" s="2"/>
      <c r="Y66" s="2"/>
      <c r="Z66" s="2"/>
      <c r="AA66" s="2"/>
      <c r="AB66" s="2"/>
      <c r="AC66" s="2"/>
      <c r="AD66" s="2"/>
    </row>
    <row r="67" spans="1:30" ht="12.5" x14ac:dyDescent="0.25">
      <c r="A67" s="2"/>
      <c r="B67" s="2"/>
      <c r="C67" s="11"/>
      <c r="D67" s="93"/>
      <c r="E67" s="2"/>
      <c r="F67" s="2"/>
      <c r="G67" s="2"/>
      <c r="H67" s="2"/>
      <c r="I67" s="2"/>
      <c r="J67" s="3"/>
      <c r="K67" s="314"/>
      <c r="L67" s="142"/>
      <c r="M67" s="314"/>
      <c r="N67" s="142"/>
      <c r="O67" s="320"/>
      <c r="P67" s="236"/>
      <c r="Q67" s="318"/>
      <c r="R67" s="245"/>
      <c r="S67" s="245"/>
      <c r="T67" s="245"/>
      <c r="U67" s="245"/>
      <c r="V67" s="246"/>
      <c r="W67" s="30"/>
      <c r="X67" s="2"/>
      <c r="Y67" s="2"/>
      <c r="Z67" s="2"/>
      <c r="AA67" s="2"/>
      <c r="AB67" s="2"/>
      <c r="AC67" s="2"/>
      <c r="AD67" s="2"/>
    </row>
    <row r="68" spans="1:30" ht="12.5" x14ac:dyDescent="0.25">
      <c r="A68" s="2"/>
      <c r="B68" s="2"/>
      <c r="C68" s="11"/>
      <c r="D68" s="337"/>
      <c r="E68" s="277"/>
      <c r="F68" s="277"/>
      <c r="G68" s="277"/>
      <c r="H68" s="277"/>
      <c r="I68" s="338"/>
      <c r="J68" s="111"/>
      <c r="K68" s="316"/>
      <c r="L68" s="232"/>
      <c r="M68" s="316"/>
      <c r="N68" s="232"/>
      <c r="O68" s="317"/>
      <c r="P68" s="232"/>
      <c r="Q68" s="274"/>
      <c r="R68" s="245"/>
      <c r="S68" s="245"/>
      <c r="T68" s="245"/>
      <c r="U68" s="245"/>
      <c r="V68" s="246"/>
      <c r="W68" s="30"/>
      <c r="X68" s="2"/>
      <c r="Y68" s="2"/>
      <c r="Z68" s="2"/>
      <c r="AA68" s="2"/>
      <c r="AB68" s="2"/>
      <c r="AC68" s="2"/>
      <c r="AD68" s="2"/>
    </row>
    <row r="69" spans="1:30" ht="12.5" x14ac:dyDescent="0.25">
      <c r="A69" s="2"/>
      <c r="B69" s="2"/>
      <c r="C69" s="11"/>
      <c r="D69" s="93"/>
      <c r="E69" s="2"/>
      <c r="F69" s="2"/>
      <c r="G69" s="2"/>
      <c r="H69" s="2"/>
      <c r="I69" s="2"/>
      <c r="J69" s="3"/>
      <c r="K69" s="314"/>
      <c r="L69" s="142"/>
      <c r="M69" s="314"/>
      <c r="N69" s="142"/>
      <c r="O69" s="320"/>
      <c r="P69" s="236"/>
      <c r="Q69" s="318"/>
      <c r="R69" s="245"/>
      <c r="S69" s="245"/>
      <c r="T69" s="245"/>
      <c r="U69" s="245"/>
      <c r="V69" s="246"/>
      <c r="W69" s="30"/>
      <c r="X69" s="2"/>
      <c r="Y69" s="2"/>
      <c r="Z69" s="2"/>
      <c r="AA69" s="2"/>
      <c r="AB69" s="2"/>
      <c r="AC69" s="2"/>
      <c r="AD69" s="2"/>
    </row>
    <row r="70" spans="1:30" ht="12.5" x14ac:dyDescent="0.25">
      <c r="A70" s="2"/>
      <c r="B70" s="2"/>
      <c r="C70" s="11"/>
      <c r="D70" s="337"/>
      <c r="E70" s="277"/>
      <c r="F70" s="277"/>
      <c r="G70" s="277"/>
      <c r="H70" s="277"/>
      <c r="I70" s="338"/>
      <c r="J70" s="111"/>
      <c r="K70" s="316"/>
      <c r="L70" s="232"/>
      <c r="M70" s="316"/>
      <c r="N70" s="232"/>
      <c r="O70" s="317"/>
      <c r="P70" s="232"/>
      <c r="Q70" s="274"/>
      <c r="R70" s="245"/>
      <c r="S70" s="245"/>
      <c r="T70" s="245"/>
      <c r="U70" s="245"/>
      <c r="V70" s="246"/>
      <c r="W70" s="30"/>
      <c r="X70" s="2"/>
      <c r="Y70" s="2"/>
      <c r="Z70" s="2"/>
      <c r="AA70" s="2"/>
      <c r="AB70" s="2"/>
      <c r="AC70" s="2"/>
      <c r="AD70" s="2"/>
    </row>
    <row r="71" spans="1:30" ht="12.5" x14ac:dyDescent="0.25">
      <c r="A71" s="2"/>
      <c r="B71" s="2"/>
      <c r="C71" s="11"/>
      <c r="D71" s="93"/>
      <c r="E71" s="2"/>
      <c r="F71" s="2"/>
      <c r="G71" s="2"/>
      <c r="H71" s="2"/>
      <c r="I71" s="2"/>
      <c r="J71" s="3"/>
      <c r="K71" s="314"/>
      <c r="L71" s="142"/>
      <c r="M71" s="314"/>
      <c r="N71" s="142"/>
      <c r="O71" s="320"/>
      <c r="P71" s="236"/>
      <c r="Q71" s="318"/>
      <c r="R71" s="245"/>
      <c r="S71" s="245"/>
      <c r="T71" s="245"/>
      <c r="U71" s="245"/>
      <c r="V71" s="246"/>
      <c r="W71" s="30"/>
      <c r="X71" s="2"/>
      <c r="Y71" s="2"/>
      <c r="Z71" s="2"/>
      <c r="AA71" s="2"/>
      <c r="AB71" s="2"/>
      <c r="AC71" s="2"/>
      <c r="AD71" s="2"/>
    </row>
    <row r="72" spans="1:30" ht="12.5" x14ac:dyDescent="0.25">
      <c r="A72" s="2"/>
      <c r="B72" s="2"/>
      <c r="C72" s="11"/>
      <c r="D72" s="337"/>
      <c r="E72" s="277"/>
      <c r="F72" s="277"/>
      <c r="G72" s="277"/>
      <c r="H72" s="277"/>
      <c r="I72" s="338"/>
      <c r="J72" s="111"/>
      <c r="K72" s="316"/>
      <c r="L72" s="232"/>
      <c r="M72" s="316"/>
      <c r="N72" s="232"/>
      <c r="O72" s="317"/>
      <c r="P72" s="232"/>
      <c r="Q72" s="274"/>
      <c r="R72" s="245"/>
      <c r="S72" s="245"/>
      <c r="T72" s="245"/>
      <c r="U72" s="245"/>
      <c r="V72" s="246"/>
      <c r="W72" s="30"/>
      <c r="X72" s="2"/>
      <c r="Y72" s="2"/>
      <c r="Z72" s="2"/>
      <c r="AA72" s="2"/>
      <c r="AB72" s="2"/>
      <c r="AC72" s="2"/>
      <c r="AD72" s="2"/>
    </row>
    <row r="73" spans="1:30" ht="12.5" x14ac:dyDescent="0.25">
      <c r="A73" s="2"/>
      <c r="B73" s="2"/>
      <c r="C73" s="11"/>
      <c r="D73" s="93"/>
      <c r="E73" s="2"/>
      <c r="F73" s="2"/>
      <c r="G73" s="2"/>
      <c r="H73" s="2"/>
      <c r="I73" s="2"/>
      <c r="J73" s="3"/>
      <c r="K73" s="314"/>
      <c r="L73" s="142"/>
      <c r="M73" s="314"/>
      <c r="N73" s="142"/>
      <c r="O73" s="320"/>
      <c r="P73" s="236"/>
      <c r="Q73" s="318"/>
      <c r="R73" s="245"/>
      <c r="S73" s="245"/>
      <c r="T73" s="245"/>
      <c r="U73" s="245"/>
      <c r="V73" s="246"/>
      <c r="W73" s="30"/>
      <c r="X73" s="2"/>
      <c r="Y73" s="2"/>
      <c r="Z73" s="2"/>
      <c r="AA73" s="2"/>
      <c r="AB73" s="2"/>
      <c r="AC73" s="2"/>
      <c r="AD73" s="2"/>
    </row>
    <row r="74" spans="1:30" ht="12.5" x14ac:dyDescent="0.25">
      <c r="A74" s="2"/>
      <c r="B74" s="2"/>
      <c r="C74" s="11"/>
      <c r="D74" s="337"/>
      <c r="E74" s="277"/>
      <c r="F74" s="277"/>
      <c r="G74" s="277"/>
      <c r="H74" s="277"/>
      <c r="I74" s="338"/>
      <c r="J74" s="111"/>
      <c r="K74" s="316"/>
      <c r="L74" s="232"/>
      <c r="M74" s="316"/>
      <c r="N74" s="232"/>
      <c r="O74" s="317"/>
      <c r="P74" s="232"/>
      <c r="Q74" s="274"/>
      <c r="R74" s="245"/>
      <c r="S74" s="245"/>
      <c r="T74" s="245"/>
      <c r="U74" s="245"/>
      <c r="V74" s="246"/>
      <c r="W74" s="30"/>
      <c r="X74" s="2"/>
      <c r="Y74" s="2"/>
      <c r="Z74" s="2"/>
      <c r="AA74" s="2"/>
      <c r="AB74" s="2"/>
      <c r="AC74" s="2"/>
      <c r="AD74" s="2"/>
    </row>
    <row r="75" spans="1:30" ht="12.5" x14ac:dyDescent="0.25">
      <c r="A75" s="2"/>
      <c r="B75" s="2"/>
      <c r="C75" s="11"/>
      <c r="D75" s="93"/>
      <c r="E75" s="2"/>
      <c r="F75" s="2"/>
      <c r="G75" s="2"/>
      <c r="H75" s="2"/>
      <c r="I75" s="2"/>
      <c r="J75" s="3"/>
      <c r="K75" s="314"/>
      <c r="L75" s="142"/>
      <c r="M75" s="314"/>
      <c r="N75" s="142"/>
      <c r="O75" s="320"/>
      <c r="P75" s="236"/>
      <c r="Q75" s="318"/>
      <c r="R75" s="245"/>
      <c r="S75" s="245"/>
      <c r="T75" s="245"/>
      <c r="U75" s="245"/>
      <c r="V75" s="246"/>
      <c r="W75" s="30"/>
      <c r="X75" s="2"/>
      <c r="Y75" s="2"/>
      <c r="Z75" s="2"/>
      <c r="AA75" s="2"/>
      <c r="AB75" s="2"/>
      <c r="AC75" s="2"/>
      <c r="AD75" s="2"/>
    </row>
    <row r="76" spans="1:30" ht="12.5" x14ac:dyDescent="0.25">
      <c r="A76" s="2"/>
      <c r="B76" s="2"/>
      <c r="C76" s="11"/>
      <c r="D76" s="337"/>
      <c r="E76" s="277"/>
      <c r="F76" s="277"/>
      <c r="G76" s="277"/>
      <c r="H76" s="277"/>
      <c r="I76" s="338"/>
      <c r="J76" s="111"/>
      <c r="K76" s="316"/>
      <c r="L76" s="232"/>
      <c r="M76" s="316"/>
      <c r="N76" s="232"/>
      <c r="O76" s="317"/>
      <c r="P76" s="232"/>
      <c r="Q76" s="274"/>
      <c r="R76" s="245"/>
      <c r="S76" s="245"/>
      <c r="T76" s="245"/>
      <c r="U76" s="245"/>
      <c r="V76" s="246"/>
      <c r="W76" s="30"/>
      <c r="X76" s="2"/>
      <c r="Y76" s="2"/>
      <c r="Z76" s="2"/>
      <c r="AA76" s="2"/>
      <c r="AB76" s="2"/>
      <c r="AC76" s="2"/>
      <c r="AD76" s="2"/>
    </row>
    <row r="77" spans="1:30" ht="12.5" x14ac:dyDescent="0.25">
      <c r="A77" s="2"/>
      <c r="B77" s="2"/>
      <c r="C77" s="11"/>
      <c r="D77" s="93"/>
      <c r="E77" s="2"/>
      <c r="F77" s="2"/>
      <c r="G77" s="2"/>
      <c r="H77" s="2"/>
      <c r="I77" s="2"/>
      <c r="J77" s="3"/>
      <c r="K77" s="314"/>
      <c r="L77" s="142"/>
      <c r="M77" s="314"/>
      <c r="N77" s="142"/>
      <c r="O77" s="320"/>
      <c r="P77" s="236"/>
      <c r="Q77" s="318"/>
      <c r="R77" s="245"/>
      <c r="S77" s="245"/>
      <c r="T77" s="245"/>
      <c r="U77" s="245"/>
      <c r="V77" s="246"/>
      <c r="W77" s="30"/>
      <c r="X77" s="2"/>
      <c r="Y77" s="2"/>
      <c r="Z77" s="2"/>
      <c r="AA77" s="2"/>
      <c r="AB77" s="2"/>
      <c r="AC77" s="2"/>
      <c r="AD77" s="2"/>
    </row>
    <row r="78" spans="1:30" ht="12.5" x14ac:dyDescent="0.25">
      <c r="A78" s="2"/>
      <c r="B78" s="2"/>
      <c r="C78" s="11"/>
      <c r="D78" s="337"/>
      <c r="E78" s="277"/>
      <c r="F78" s="277"/>
      <c r="G78" s="277"/>
      <c r="H78" s="277"/>
      <c r="I78" s="338"/>
      <c r="J78" s="111"/>
      <c r="K78" s="316"/>
      <c r="L78" s="232"/>
      <c r="M78" s="316"/>
      <c r="N78" s="232"/>
      <c r="O78" s="317"/>
      <c r="P78" s="232"/>
      <c r="Q78" s="274"/>
      <c r="R78" s="245"/>
      <c r="S78" s="245"/>
      <c r="T78" s="245"/>
      <c r="U78" s="245"/>
      <c r="V78" s="246"/>
      <c r="W78" s="30"/>
      <c r="X78" s="2"/>
      <c r="Y78" s="2"/>
      <c r="Z78" s="2"/>
      <c r="AA78" s="2"/>
      <c r="AB78" s="2"/>
      <c r="AC78" s="2"/>
      <c r="AD78" s="2"/>
    </row>
    <row r="79" spans="1:30" ht="12.5" x14ac:dyDescent="0.25">
      <c r="A79" s="2"/>
      <c r="B79" s="2"/>
      <c r="C79" s="11"/>
      <c r="D79" s="93"/>
      <c r="E79" s="2"/>
      <c r="F79" s="2"/>
      <c r="G79" s="2"/>
      <c r="H79" s="2"/>
      <c r="I79" s="2"/>
      <c r="J79" s="3"/>
      <c r="K79" s="314"/>
      <c r="L79" s="142"/>
      <c r="M79" s="314"/>
      <c r="N79" s="142"/>
      <c r="O79" s="320"/>
      <c r="P79" s="236"/>
      <c r="Q79" s="318"/>
      <c r="R79" s="245"/>
      <c r="S79" s="245"/>
      <c r="T79" s="245"/>
      <c r="U79" s="245"/>
      <c r="V79" s="246"/>
      <c r="W79" s="30"/>
      <c r="X79" s="2"/>
      <c r="Y79" s="2"/>
      <c r="Z79" s="2"/>
      <c r="AA79" s="2"/>
      <c r="AB79" s="2"/>
      <c r="AC79" s="2"/>
      <c r="AD79" s="2"/>
    </row>
    <row r="80" spans="1:30" ht="12.5" x14ac:dyDescent="0.25">
      <c r="A80" s="2"/>
      <c r="B80" s="2"/>
      <c r="C80" s="11"/>
      <c r="D80" s="337"/>
      <c r="E80" s="277"/>
      <c r="F80" s="277"/>
      <c r="G80" s="277"/>
      <c r="H80" s="277"/>
      <c r="I80" s="338"/>
      <c r="J80" s="111"/>
      <c r="K80" s="316"/>
      <c r="L80" s="232"/>
      <c r="M80" s="316"/>
      <c r="N80" s="232"/>
      <c r="O80" s="317"/>
      <c r="P80" s="232"/>
      <c r="Q80" s="274"/>
      <c r="R80" s="245"/>
      <c r="S80" s="245"/>
      <c r="T80" s="245"/>
      <c r="U80" s="245"/>
      <c r="V80" s="246"/>
      <c r="W80" s="30"/>
      <c r="X80" s="2"/>
      <c r="Y80" s="2"/>
      <c r="Z80" s="2"/>
      <c r="AA80" s="2"/>
      <c r="AB80" s="2"/>
      <c r="AC80" s="2"/>
      <c r="AD80" s="2"/>
    </row>
    <row r="81" spans="1:30" ht="12.5" x14ac:dyDescent="0.25">
      <c r="A81" s="2"/>
      <c r="B81" s="2"/>
      <c r="C81" s="11"/>
      <c r="D81" s="93"/>
      <c r="E81" s="2"/>
      <c r="F81" s="2"/>
      <c r="G81" s="2"/>
      <c r="H81" s="2"/>
      <c r="I81" s="2"/>
      <c r="J81" s="3"/>
      <c r="K81" s="314"/>
      <c r="L81" s="142"/>
      <c r="M81" s="314"/>
      <c r="N81" s="142"/>
      <c r="O81" s="320"/>
      <c r="P81" s="236"/>
      <c r="Q81" s="318"/>
      <c r="R81" s="245"/>
      <c r="S81" s="245"/>
      <c r="T81" s="245"/>
      <c r="U81" s="245"/>
      <c r="V81" s="246"/>
      <c r="W81" s="30"/>
      <c r="X81" s="2"/>
      <c r="Y81" s="2"/>
      <c r="Z81" s="2"/>
      <c r="AA81" s="2"/>
      <c r="AB81" s="2"/>
      <c r="AC81" s="2"/>
      <c r="AD81" s="2"/>
    </row>
    <row r="82" spans="1:30" ht="12.5" x14ac:dyDescent="0.25">
      <c r="A82" s="2"/>
      <c r="B82" s="2"/>
      <c r="C82" s="11"/>
      <c r="D82" s="337"/>
      <c r="E82" s="277"/>
      <c r="F82" s="277"/>
      <c r="G82" s="277"/>
      <c r="H82" s="277"/>
      <c r="I82" s="338"/>
      <c r="J82" s="111"/>
      <c r="K82" s="316"/>
      <c r="L82" s="232"/>
      <c r="M82" s="316"/>
      <c r="N82" s="232"/>
      <c r="O82" s="317"/>
      <c r="P82" s="232"/>
      <c r="Q82" s="274"/>
      <c r="R82" s="245"/>
      <c r="S82" s="245"/>
      <c r="T82" s="245"/>
      <c r="U82" s="245"/>
      <c r="V82" s="246"/>
      <c r="W82" s="30"/>
      <c r="X82" s="2"/>
      <c r="Y82" s="2"/>
      <c r="Z82" s="2"/>
      <c r="AA82" s="2"/>
      <c r="AB82" s="2"/>
      <c r="AC82" s="2"/>
      <c r="AD82" s="2"/>
    </row>
    <row r="83" spans="1:30" ht="12.5" x14ac:dyDescent="0.25">
      <c r="A83" s="2"/>
      <c r="B83" s="2"/>
      <c r="C83" s="11"/>
      <c r="D83" s="93"/>
      <c r="E83" s="2"/>
      <c r="F83" s="2"/>
      <c r="G83" s="2"/>
      <c r="H83" s="2"/>
      <c r="I83" s="2"/>
      <c r="J83" s="3"/>
      <c r="K83" s="314"/>
      <c r="L83" s="142"/>
      <c r="M83" s="314"/>
      <c r="N83" s="142"/>
      <c r="O83" s="320"/>
      <c r="P83" s="236"/>
      <c r="Q83" s="318"/>
      <c r="R83" s="245"/>
      <c r="S83" s="245"/>
      <c r="T83" s="245"/>
      <c r="U83" s="245"/>
      <c r="V83" s="246"/>
      <c r="W83" s="30"/>
      <c r="X83" s="2"/>
      <c r="Y83" s="2"/>
      <c r="Z83" s="2"/>
      <c r="AA83" s="2"/>
      <c r="AB83" s="2"/>
      <c r="AC83" s="2"/>
      <c r="AD83" s="2"/>
    </row>
    <row r="84" spans="1:30" ht="12.5" x14ac:dyDescent="0.25">
      <c r="A84" s="2"/>
      <c r="B84" s="2"/>
      <c r="C84" s="11"/>
      <c r="D84" s="337"/>
      <c r="E84" s="277"/>
      <c r="F84" s="277"/>
      <c r="G84" s="277"/>
      <c r="H84" s="277"/>
      <c r="I84" s="338"/>
      <c r="J84" s="111"/>
      <c r="K84" s="316"/>
      <c r="L84" s="232"/>
      <c r="M84" s="316"/>
      <c r="N84" s="232"/>
      <c r="O84" s="317"/>
      <c r="P84" s="232"/>
      <c r="Q84" s="274"/>
      <c r="R84" s="245"/>
      <c r="S84" s="245"/>
      <c r="T84" s="245"/>
      <c r="U84" s="245"/>
      <c r="V84" s="246"/>
      <c r="W84" s="30"/>
      <c r="X84" s="2"/>
      <c r="Y84" s="2"/>
      <c r="Z84" s="2"/>
      <c r="AA84" s="2"/>
      <c r="AB84" s="2"/>
      <c r="AC84" s="2"/>
      <c r="AD84" s="2"/>
    </row>
    <row r="85" spans="1:30" ht="12.5" x14ac:dyDescent="0.25">
      <c r="A85" s="2"/>
      <c r="B85" s="2"/>
      <c r="C85" s="11"/>
      <c r="D85" s="93"/>
      <c r="E85" s="2"/>
      <c r="F85" s="2"/>
      <c r="G85" s="2"/>
      <c r="H85" s="2"/>
      <c r="I85" s="2"/>
      <c r="J85" s="3"/>
      <c r="K85" s="314"/>
      <c r="L85" s="142"/>
      <c r="M85" s="314"/>
      <c r="N85" s="142"/>
      <c r="O85" s="320"/>
      <c r="P85" s="236"/>
      <c r="Q85" s="318"/>
      <c r="R85" s="245"/>
      <c r="S85" s="245"/>
      <c r="T85" s="245"/>
      <c r="U85" s="245"/>
      <c r="V85" s="246"/>
      <c r="W85" s="30"/>
      <c r="X85" s="2"/>
      <c r="Y85" s="2"/>
      <c r="Z85" s="2"/>
      <c r="AA85" s="2"/>
      <c r="AB85" s="2"/>
      <c r="AC85" s="2"/>
      <c r="AD85" s="2"/>
    </row>
    <row r="86" spans="1:30" ht="12.5" x14ac:dyDescent="0.25">
      <c r="A86" s="2"/>
      <c r="B86" s="2"/>
      <c r="C86" s="11"/>
      <c r="D86" s="337"/>
      <c r="E86" s="277"/>
      <c r="F86" s="277"/>
      <c r="G86" s="277"/>
      <c r="H86" s="277"/>
      <c r="I86" s="338"/>
      <c r="J86" s="111"/>
      <c r="K86" s="316"/>
      <c r="L86" s="232"/>
      <c r="M86" s="316"/>
      <c r="N86" s="232"/>
      <c r="O86" s="317"/>
      <c r="P86" s="232"/>
      <c r="Q86" s="274"/>
      <c r="R86" s="245"/>
      <c r="S86" s="245"/>
      <c r="T86" s="245"/>
      <c r="U86" s="245"/>
      <c r="V86" s="246"/>
      <c r="W86" s="30"/>
      <c r="X86" s="2"/>
      <c r="Y86" s="2"/>
      <c r="Z86" s="2"/>
      <c r="AA86" s="2"/>
      <c r="AB86" s="2"/>
      <c r="AC86" s="2"/>
      <c r="AD86" s="2"/>
    </row>
    <row r="87" spans="1:30" ht="12.5" x14ac:dyDescent="0.25">
      <c r="A87" s="2"/>
      <c r="B87" s="2"/>
      <c r="C87" s="11"/>
      <c r="D87" s="93"/>
      <c r="E87" s="2"/>
      <c r="F87" s="2"/>
      <c r="G87" s="2"/>
      <c r="H87" s="2"/>
      <c r="I87" s="2"/>
      <c r="J87" s="3"/>
      <c r="K87" s="314"/>
      <c r="L87" s="142"/>
      <c r="M87" s="314"/>
      <c r="N87" s="142"/>
      <c r="O87" s="320"/>
      <c r="P87" s="236"/>
      <c r="Q87" s="318"/>
      <c r="R87" s="245"/>
      <c r="S87" s="245"/>
      <c r="T87" s="245"/>
      <c r="U87" s="245"/>
      <c r="V87" s="246"/>
      <c r="W87" s="30"/>
      <c r="X87" s="2"/>
      <c r="Y87" s="2"/>
      <c r="Z87" s="2"/>
      <c r="AA87" s="2"/>
      <c r="AB87" s="2"/>
      <c r="AC87" s="2"/>
      <c r="AD87" s="2"/>
    </row>
    <row r="88" spans="1:30" ht="12.5" x14ac:dyDescent="0.25">
      <c r="A88" s="2"/>
      <c r="B88" s="2"/>
      <c r="C88" s="11"/>
      <c r="D88" s="337"/>
      <c r="E88" s="277"/>
      <c r="F88" s="277"/>
      <c r="G88" s="277"/>
      <c r="H88" s="277"/>
      <c r="I88" s="338"/>
      <c r="J88" s="111"/>
      <c r="K88" s="316"/>
      <c r="L88" s="232"/>
      <c r="M88" s="316"/>
      <c r="N88" s="232"/>
      <c r="O88" s="317"/>
      <c r="P88" s="232"/>
      <c r="Q88" s="274"/>
      <c r="R88" s="245"/>
      <c r="S88" s="245"/>
      <c r="T88" s="245"/>
      <c r="U88" s="245"/>
      <c r="V88" s="246"/>
      <c r="W88" s="30"/>
      <c r="X88" s="2"/>
      <c r="Y88" s="2"/>
      <c r="Z88" s="2"/>
      <c r="AA88" s="2"/>
      <c r="AB88" s="2"/>
      <c r="AC88" s="2"/>
      <c r="AD88" s="2"/>
    </row>
    <row r="89" spans="1:30" ht="12.5" x14ac:dyDescent="0.25">
      <c r="A89" s="2"/>
      <c r="B89" s="2"/>
      <c r="C89" s="11"/>
      <c r="D89" s="93"/>
      <c r="E89" s="2"/>
      <c r="F89" s="2"/>
      <c r="G89" s="2"/>
      <c r="H89" s="2"/>
      <c r="I89" s="2"/>
      <c r="J89" s="3"/>
      <c r="K89" s="314"/>
      <c r="L89" s="142"/>
      <c r="M89" s="314"/>
      <c r="N89" s="142"/>
      <c r="O89" s="320"/>
      <c r="P89" s="236"/>
      <c r="Q89" s="318"/>
      <c r="R89" s="245"/>
      <c r="S89" s="245"/>
      <c r="T89" s="245"/>
      <c r="U89" s="245"/>
      <c r="V89" s="246"/>
      <c r="W89" s="30"/>
      <c r="X89" s="2"/>
      <c r="Y89" s="2"/>
      <c r="Z89" s="2"/>
      <c r="AA89" s="2"/>
      <c r="AB89" s="2"/>
      <c r="AC89" s="2"/>
      <c r="AD89" s="2"/>
    </row>
    <row r="90" spans="1:30" ht="12.5" x14ac:dyDescent="0.25">
      <c r="A90" s="2"/>
      <c r="B90" s="2"/>
      <c r="C90" s="11"/>
      <c r="D90" s="337"/>
      <c r="E90" s="277"/>
      <c r="F90" s="277"/>
      <c r="G90" s="277"/>
      <c r="H90" s="277"/>
      <c r="I90" s="338"/>
      <c r="J90" s="111"/>
      <c r="K90" s="316"/>
      <c r="L90" s="232"/>
      <c r="M90" s="316"/>
      <c r="N90" s="232"/>
      <c r="O90" s="317"/>
      <c r="P90" s="232"/>
      <c r="Q90" s="274"/>
      <c r="R90" s="245"/>
      <c r="S90" s="245"/>
      <c r="T90" s="245"/>
      <c r="U90" s="245"/>
      <c r="V90" s="246"/>
      <c r="W90" s="30"/>
      <c r="X90" s="2"/>
      <c r="Y90" s="2"/>
      <c r="Z90" s="2"/>
      <c r="AA90" s="2"/>
      <c r="AB90" s="2"/>
      <c r="AC90" s="2"/>
      <c r="AD90" s="2"/>
    </row>
    <row r="91" spans="1:30" ht="12.5" x14ac:dyDescent="0.25">
      <c r="A91" s="2"/>
      <c r="B91" s="2"/>
      <c r="C91" s="11"/>
      <c r="D91" s="93"/>
      <c r="E91" s="2"/>
      <c r="F91" s="2"/>
      <c r="G91" s="2"/>
      <c r="H91" s="2"/>
      <c r="I91" s="2"/>
      <c r="J91" s="3"/>
      <c r="K91" s="314"/>
      <c r="L91" s="142"/>
      <c r="M91" s="314"/>
      <c r="N91" s="142"/>
      <c r="O91" s="320"/>
      <c r="P91" s="236"/>
      <c r="Q91" s="318"/>
      <c r="R91" s="245"/>
      <c r="S91" s="245"/>
      <c r="T91" s="245"/>
      <c r="U91" s="245"/>
      <c r="V91" s="246"/>
      <c r="W91" s="30"/>
      <c r="X91" s="2"/>
      <c r="Y91" s="2"/>
      <c r="Z91" s="2"/>
      <c r="AA91" s="2"/>
      <c r="AB91" s="2"/>
      <c r="AC91" s="2"/>
      <c r="AD91" s="2"/>
    </row>
    <row r="92" spans="1:30" ht="12.5" x14ac:dyDescent="0.25">
      <c r="A92" s="2"/>
      <c r="B92" s="2"/>
      <c r="C92" s="11"/>
      <c r="D92" s="337"/>
      <c r="E92" s="277"/>
      <c r="F92" s="277"/>
      <c r="G92" s="277"/>
      <c r="H92" s="277"/>
      <c r="I92" s="338"/>
      <c r="J92" s="111"/>
      <c r="K92" s="316"/>
      <c r="L92" s="232"/>
      <c r="M92" s="316"/>
      <c r="N92" s="232"/>
      <c r="O92" s="317"/>
      <c r="P92" s="232"/>
      <c r="Q92" s="274"/>
      <c r="R92" s="245"/>
      <c r="S92" s="245"/>
      <c r="T92" s="245"/>
      <c r="U92" s="245"/>
      <c r="V92" s="246"/>
      <c r="W92" s="30"/>
      <c r="X92" s="2"/>
      <c r="Y92" s="2"/>
      <c r="Z92" s="2"/>
      <c r="AA92" s="2"/>
      <c r="AB92" s="2"/>
      <c r="AC92" s="2"/>
      <c r="AD92" s="2"/>
    </row>
    <row r="93" spans="1:30" ht="12.5" x14ac:dyDescent="0.25">
      <c r="A93" s="2"/>
      <c r="B93" s="2"/>
      <c r="C93" s="11"/>
      <c r="D93" s="93"/>
      <c r="E93" s="2"/>
      <c r="F93" s="2"/>
      <c r="G93" s="2"/>
      <c r="H93" s="2"/>
      <c r="I93" s="2"/>
      <c r="J93" s="3"/>
      <c r="K93" s="314"/>
      <c r="L93" s="142"/>
      <c r="M93" s="314"/>
      <c r="N93" s="142"/>
      <c r="O93" s="320"/>
      <c r="P93" s="236"/>
      <c r="Q93" s="318"/>
      <c r="R93" s="245"/>
      <c r="S93" s="245"/>
      <c r="T93" s="245"/>
      <c r="U93" s="245"/>
      <c r="V93" s="246"/>
      <c r="W93" s="30"/>
      <c r="X93" s="2"/>
      <c r="Y93" s="2"/>
      <c r="Z93" s="2"/>
      <c r="AA93" s="2"/>
      <c r="AB93" s="2"/>
      <c r="AC93" s="2"/>
      <c r="AD93" s="2"/>
    </row>
    <row r="94" spans="1:30" ht="12.5" x14ac:dyDescent="0.25">
      <c r="A94" s="2"/>
      <c r="B94" s="2"/>
      <c r="C94" s="11"/>
      <c r="D94" s="337"/>
      <c r="E94" s="277"/>
      <c r="F94" s="277"/>
      <c r="G94" s="277"/>
      <c r="H94" s="277"/>
      <c r="I94" s="338"/>
      <c r="J94" s="111"/>
      <c r="K94" s="316"/>
      <c r="L94" s="232"/>
      <c r="M94" s="316"/>
      <c r="N94" s="232"/>
      <c r="O94" s="317"/>
      <c r="P94" s="232"/>
      <c r="Q94" s="274"/>
      <c r="R94" s="245"/>
      <c r="S94" s="245"/>
      <c r="T94" s="245"/>
      <c r="U94" s="245"/>
      <c r="V94" s="246"/>
      <c r="W94" s="30"/>
      <c r="X94" s="2"/>
      <c r="Y94" s="2"/>
      <c r="Z94" s="2"/>
      <c r="AA94" s="2"/>
      <c r="AB94" s="2"/>
      <c r="AC94" s="2"/>
      <c r="AD94" s="2"/>
    </row>
    <row r="95" spans="1:30" ht="12.5" x14ac:dyDescent="0.25">
      <c r="A95" s="2"/>
      <c r="B95" s="2"/>
      <c r="C95" s="11"/>
      <c r="D95" s="93"/>
      <c r="E95" s="2"/>
      <c r="F95" s="2"/>
      <c r="G95" s="2"/>
      <c r="H95" s="2"/>
      <c r="I95" s="2"/>
      <c r="J95" s="3"/>
      <c r="K95" s="314"/>
      <c r="L95" s="142"/>
      <c r="M95" s="314"/>
      <c r="N95" s="142"/>
      <c r="O95" s="320"/>
      <c r="P95" s="236"/>
      <c r="Q95" s="318"/>
      <c r="R95" s="245"/>
      <c r="S95" s="245"/>
      <c r="T95" s="245"/>
      <c r="U95" s="245"/>
      <c r="V95" s="246"/>
      <c r="W95" s="30"/>
      <c r="X95" s="2"/>
      <c r="Y95" s="2"/>
      <c r="Z95" s="2"/>
      <c r="AA95" s="2"/>
      <c r="AB95" s="2"/>
      <c r="AC95" s="2"/>
      <c r="AD95" s="2"/>
    </row>
    <row r="96" spans="1:30" ht="12.5" x14ac:dyDescent="0.25">
      <c r="A96" s="2"/>
      <c r="B96" s="2"/>
      <c r="C96" s="11"/>
      <c r="D96" s="337"/>
      <c r="E96" s="277"/>
      <c r="F96" s="277"/>
      <c r="G96" s="277"/>
      <c r="H96" s="277"/>
      <c r="I96" s="338"/>
      <c r="J96" s="111"/>
      <c r="K96" s="316"/>
      <c r="L96" s="232"/>
      <c r="M96" s="316"/>
      <c r="N96" s="232"/>
      <c r="O96" s="317"/>
      <c r="P96" s="232"/>
      <c r="Q96" s="274"/>
      <c r="R96" s="245"/>
      <c r="S96" s="245"/>
      <c r="T96" s="245"/>
      <c r="U96" s="245"/>
      <c r="V96" s="246"/>
      <c r="W96" s="30"/>
      <c r="X96" s="2"/>
      <c r="Y96" s="2"/>
      <c r="Z96" s="2"/>
      <c r="AA96" s="2"/>
      <c r="AB96" s="2"/>
      <c r="AC96" s="2"/>
      <c r="AD96" s="2"/>
    </row>
    <row r="97" spans="1:30" ht="12.5" x14ac:dyDescent="0.25">
      <c r="A97" s="2"/>
      <c r="B97" s="2"/>
      <c r="C97" s="11"/>
      <c r="D97" s="93"/>
      <c r="E97" s="2"/>
      <c r="F97" s="2"/>
      <c r="G97" s="2"/>
      <c r="H97" s="2"/>
      <c r="I97" s="2"/>
      <c r="J97" s="3"/>
      <c r="K97" s="314"/>
      <c r="L97" s="142"/>
      <c r="M97" s="314"/>
      <c r="N97" s="142"/>
      <c r="O97" s="320"/>
      <c r="P97" s="236"/>
      <c r="Q97" s="318"/>
      <c r="R97" s="245"/>
      <c r="S97" s="245"/>
      <c r="T97" s="245"/>
      <c r="U97" s="245"/>
      <c r="V97" s="246"/>
      <c r="W97" s="30"/>
      <c r="X97" s="2"/>
      <c r="Y97" s="2"/>
      <c r="Z97" s="2"/>
      <c r="AA97" s="2"/>
      <c r="AB97" s="2"/>
      <c r="AC97" s="2"/>
      <c r="AD97" s="2"/>
    </row>
    <row r="98" spans="1:30" ht="12.5" x14ac:dyDescent="0.25">
      <c r="A98" s="2"/>
      <c r="B98" s="2"/>
      <c r="C98" s="11"/>
      <c r="D98" s="337"/>
      <c r="E98" s="277"/>
      <c r="F98" s="277"/>
      <c r="G98" s="277"/>
      <c r="H98" s="277"/>
      <c r="I98" s="338"/>
      <c r="J98" s="111"/>
      <c r="K98" s="316"/>
      <c r="L98" s="232"/>
      <c r="M98" s="316"/>
      <c r="N98" s="232"/>
      <c r="O98" s="317"/>
      <c r="P98" s="232"/>
      <c r="Q98" s="274"/>
      <c r="R98" s="245"/>
      <c r="S98" s="245"/>
      <c r="T98" s="245"/>
      <c r="U98" s="245"/>
      <c r="V98" s="246"/>
      <c r="W98" s="30"/>
      <c r="X98" s="2"/>
      <c r="Y98" s="2"/>
      <c r="Z98" s="2"/>
      <c r="AA98" s="2"/>
      <c r="AB98" s="2"/>
      <c r="AC98" s="2"/>
      <c r="AD98" s="2"/>
    </row>
    <row r="99" spans="1:30" ht="12.5" x14ac:dyDescent="0.25">
      <c r="A99" s="2"/>
      <c r="B99" s="2"/>
      <c r="C99" s="11"/>
      <c r="D99" s="93"/>
      <c r="E99" s="2"/>
      <c r="F99" s="2"/>
      <c r="G99" s="2"/>
      <c r="H99" s="2"/>
      <c r="I99" s="2"/>
      <c r="J99" s="3"/>
      <c r="K99" s="314"/>
      <c r="L99" s="142"/>
      <c r="M99" s="314"/>
      <c r="N99" s="142"/>
      <c r="O99" s="320"/>
      <c r="P99" s="236"/>
      <c r="Q99" s="318"/>
      <c r="R99" s="245"/>
      <c r="S99" s="245"/>
      <c r="T99" s="245"/>
      <c r="U99" s="245"/>
      <c r="V99" s="246"/>
      <c r="W99" s="30"/>
      <c r="X99" s="2"/>
      <c r="Y99" s="2"/>
      <c r="Z99" s="2"/>
      <c r="AA99" s="2"/>
      <c r="AB99" s="2"/>
      <c r="AC99" s="2"/>
      <c r="AD99" s="2"/>
    </row>
    <row r="100" spans="1:30" ht="12.5" x14ac:dyDescent="0.25">
      <c r="A100" s="2"/>
      <c r="B100" s="2"/>
      <c r="C100" s="11"/>
      <c r="D100" s="337"/>
      <c r="E100" s="277"/>
      <c r="F100" s="277"/>
      <c r="G100" s="277"/>
      <c r="H100" s="277"/>
      <c r="I100" s="338"/>
      <c r="J100" s="111"/>
      <c r="K100" s="316"/>
      <c r="L100" s="232"/>
      <c r="M100" s="316"/>
      <c r="N100" s="232"/>
      <c r="O100" s="317"/>
      <c r="P100" s="232"/>
      <c r="Q100" s="274"/>
      <c r="R100" s="245"/>
      <c r="S100" s="245"/>
      <c r="T100" s="245"/>
      <c r="U100" s="245"/>
      <c r="V100" s="246"/>
      <c r="W100" s="30"/>
      <c r="X100" s="2"/>
      <c r="Y100" s="2"/>
      <c r="Z100" s="2"/>
      <c r="AA100" s="2"/>
      <c r="AB100" s="2"/>
      <c r="AC100" s="2"/>
      <c r="AD100" s="2"/>
    </row>
    <row r="101" spans="1:30" ht="12.5" x14ac:dyDescent="0.25">
      <c r="A101" s="2"/>
      <c r="B101" s="2"/>
      <c r="C101" s="11"/>
      <c r="D101" s="93"/>
      <c r="E101" s="2"/>
      <c r="F101" s="2"/>
      <c r="G101" s="2"/>
      <c r="H101" s="2"/>
      <c r="I101" s="2"/>
      <c r="J101" s="3"/>
      <c r="K101" s="314"/>
      <c r="L101" s="142"/>
      <c r="M101" s="314"/>
      <c r="N101" s="142"/>
      <c r="O101" s="320"/>
      <c r="P101" s="236"/>
      <c r="Q101" s="318"/>
      <c r="R101" s="245"/>
      <c r="S101" s="245"/>
      <c r="T101" s="245"/>
      <c r="U101" s="245"/>
      <c r="V101" s="246"/>
      <c r="W101" s="30"/>
      <c r="X101" s="2"/>
      <c r="Y101" s="2"/>
      <c r="Z101" s="2"/>
      <c r="AA101" s="2"/>
      <c r="AB101" s="2"/>
      <c r="AC101" s="2"/>
      <c r="AD101" s="2"/>
    </row>
    <row r="102" spans="1:30" ht="12.5" x14ac:dyDescent="0.25">
      <c r="A102" s="2"/>
      <c r="B102" s="2"/>
      <c r="C102" s="11"/>
      <c r="D102" s="337"/>
      <c r="E102" s="277"/>
      <c r="F102" s="277"/>
      <c r="G102" s="277"/>
      <c r="H102" s="277"/>
      <c r="I102" s="338"/>
      <c r="J102" s="111"/>
      <c r="K102" s="316"/>
      <c r="L102" s="232"/>
      <c r="M102" s="316"/>
      <c r="N102" s="232"/>
      <c r="O102" s="317"/>
      <c r="P102" s="232"/>
      <c r="Q102" s="274"/>
      <c r="R102" s="245"/>
      <c r="S102" s="245"/>
      <c r="T102" s="245"/>
      <c r="U102" s="245"/>
      <c r="V102" s="246"/>
      <c r="W102" s="30"/>
      <c r="X102" s="2"/>
      <c r="Y102" s="2"/>
      <c r="Z102" s="2"/>
      <c r="AA102" s="2"/>
      <c r="AB102" s="2"/>
      <c r="AC102" s="2"/>
      <c r="AD102" s="2"/>
    </row>
    <row r="103" spans="1:30" ht="12.5" x14ac:dyDescent="0.25">
      <c r="A103" s="2"/>
      <c r="B103" s="2"/>
      <c r="C103" s="11"/>
      <c r="D103" s="93"/>
      <c r="E103" s="2"/>
      <c r="F103" s="2"/>
      <c r="G103" s="2"/>
      <c r="H103" s="2"/>
      <c r="I103" s="2"/>
      <c r="J103" s="3"/>
      <c r="K103" s="314"/>
      <c r="L103" s="142"/>
      <c r="M103" s="314"/>
      <c r="N103" s="142"/>
      <c r="O103" s="320"/>
      <c r="P103" s="236"/>
      <c r="Q103" s="318"/>
      <c r="R103" s="245"/>
      <c r="S103" s="245"/>
      <c r="T103" s="245"/>
      <c r="U103" s="245"/>
      <c r="V103" s="246"/>
      <c r="W103" s="30"/>
      <c r="X103" s="2"/>
      <c r="Y103" s="2"/>
      <c r="Z103" s="2"/>
      <c r="AA103" s="2"/>
      <c r="AB103" s="2"/>
      <c r="AC103" s="2"/>
      <c r="AD103" s="2"/>
    </row>
    <row r="104" spans="1:30" ht="12.5" x14ac:dyDescent="0.25">
      <c r="A104" s="2"/>
      <c r="B104" s="2"/>
      <c r="C104" s="11"/>
      <c r="D104" s="337"/>
      <c r="E104" s="277"/>
      <c r="F104" s="277"/>
      <c r="G104" s="277"/>
      <c r="H104" s="277"/>
      <c r="I104" s="338"/>
      <c r="J104" s="111"/>
      <c r="K104" s="316"/>
      <c r="L104" s="232"/>
      <c r="M104" s="316"/>
      <c r="N104" s="232"/>
      <c r="O104" s="317"/>
      <c r="P104" s="232"/>
      <c r="Q104" s="274"/>
      <c r="R104" s="245"/>
      <c r="S104" s="245"/>
      <c r="T104" s="245"/>
      <c r="U104" s="245"/>
      <c r="V104" s="246"/>
      <c r="W104" s="30"/>
      <c r="X104" s="2"/>
      <c r="Y104" s="2"/>
      <c r="Z104" s="2"/>
      <c r="AA104" s="2"/>
      <c r="AB104" s="2"/>
      <c r="AC104" s="2"/>
      <c r="AD104" s="2"/>
    </row>
    <row r="105" spans="1:30" ht="12.5" x14ac:dyDescent="0.25">
      <c r="A105" s="2"/>
      <c r="B105" s="2"/>
      <c r="C105" s="11"/>
      <c r="D105" s="93"/>
      <c r="E105" s="2"/>
      <c r="F105" s="2"/>
      <c r="G105" s="2"/>
      <c r="H105" s="2"/>
      <c r="I105" s="2"/>
      <c r="J105" s="3"/>
      <c r="K105" s="314"/>
      <c r="L105" s="142"/>
      <c r="M105" s="314"/>
      <c r="N105" s="142"/>
      <c r="O105" s="320"/>
      <c r="P105" s="236"/>
      <c r="Q105" s="318"/>
      <c r="R105" s="245"/>
      <c r="S105" s="245"/>
      <c r="T105" s="245"/>
      <c r="U105" s="245"/>
      <c r="V105" s="246"/>
      <c r="W105" s="30"/>
      <c r="X105" s="2"/>
      <c r="Y105" s="2"/>
      <c r="Z105" s="2"/>
      <c r="AA105" s="2"/>
      <c r="AB105" s="2"/>
      <c r="AC105" s="2"/>
      <c r="AD105" s="2"/>
    </row>
    <row r="106" spans="1:30" ht="12.5" x14ac:dyDescent="0.25">
      <c r="A106" s="2"/>
      <c r="B106" s="2"/>
      <c r="C106" s="11"/>
      <c r="D106" s="337"/>
      <c r="E106" s="277"/>
      <c r="F106" s="277"/>
      <c r="G106" s="277"/>
      <c r="H106" s="277"/>
      <c r="I106" s="338"/>
      <c r="J106" s="111"/>
      <c r="K106" s="316"/>
      <c r="L106" s="232"/>
      <c r="M106" s="316"/>
      <c r="N106" s="232"/>
      <c r="O106" s="317"/>
      <c r="P106" s="232"/>
      <c r="Q106" s="274"/>
      <c r="R106" s="245"/>
      <c r="S106" s="245"/>
      <c r="T106" s="245"/>
      <c r="U106" s="245"/>
      <c r="V106" s="246"/>
      <c r="W106" s="30"/>
      <c r="X106" s="2"/>
      <c r="Y106" s="2"/>
      <c r="Z106" s="2"/>
      <c r="AA106" s="2"/>
      <c r="AB106" s="2"/>
      <c r="AC106" s="2"/>
      <c r="AD106" s="2"/>
    </row>
    <row r="107" spans="1:30" ht="12.5" x14ac:dyDescent="0.25">
      <c r="A107" s="2"/>
      <c r="B107" s="2"/>
      <c r="C107" s="11"/>
      <c r="D107" s="93"/>
      <c r="E107" s="2"/>
      <c r="F107" s="2"/>
      <c r="G107" s="2"/>
      <c r="H107" s="2"/>
      <c r="I107" s="2"/>
      <c r="J107" s="3"/>
      <c r="K107" s="314"/>
      <c r="L107" s="142"/>
      <c r="M107" s="314"/>
      <c r="N107" s="142"/>
      <c r="O107" s="320"/>
      <c r="P107" s="236"/>
      <c r="Q107" s="318"/>
      <c r="R107" s="245"/>
      <c r="S107" s="245"/>
      <c r="T107" s="245"/>
      <c r="U107" s="245"/>
      <c r="V107" s="246"/>
      <c r="W107" s="30"/>
      <c r="X107" s="2"/>
      <c r="Y107" s="2"/>
      <c r="Z107" s="2"/>
      <c r="AA107" s="2"/>
      <c r="AB107" s="2"/>
      <c r="AC107" s="2"/>
      <c r="AD107" s="2"/>
    </row>
    <row r="108" spans="1:30" ht="12.5" x14ac:dyDescent="0.25">
      <c r="A108" s="2"/>
      <c r="B108" s="2"/>
      <c r="C108" s="11"/>
      <c r="D108" s="337"/>
      <c r="E108" s="277"/>
      <c r="F108" s="277"/>
      <c r="G108" s="277"/>
      <c r="H108" s="277"/>
      <c r="I108" s="338"/>
      <c r="J108" s="111"/>
      <c r="K108" s="316"/>
      <c r="L108" s="232"/>
      <c r="M108" s="316"/>
      <c r="N108" s="232"/>
      <c r="O108" s="317"/>
      <c r="P108" s="232"/>
      <c r="Q108" s="274"/>
      <c r="R108" s="245"/>
      <c r="S108" s="245"/>
      <c r="T108" s="245"/>
      <c r="U108" s="245"/>
      <c r="V108" s="246"/>
      <c r="W108" s="30"/>
      <c r="X108" s="2"/>
      <c r="Y108" s="2"/>
      <c r="Z108" s="2"/>
      <c r="AA108" s="2"/>
      <c r="AB108" s="2"/>
      <c r="AC108" s="2"/>
      <c r="AD108" s="2"/>
    </row>
    <row r="109" spans="1:30" ht="12.5" x14ac:dyDescent="0.25">
      <c r="A109" s="2"/>
      <c r="B109" s="2"/>
      <c r="C109" s="11"/>
      <c r="D109" s="93"/>
      <c r="E109" s="2"/>
      <c r="F109" s="2"/>
      <c r="G109" s="2"/>
      <c r="H109" s="2"/>
      <c r="I109" s="2"/>
      <c r="J109" s="3"/>
      <c r="K109" s="314"/>
      <c r="L109" s="142"/>
      <c r="M109" s="314"/>
      <c r="N109" s="142"/>
      <c r="O109" s="320"/>
      <c r="P109" s="236"/>
      <c r="Q109" s="318"/>
      <c r="R109" s="245"/>
      <c r="S109" s="245"/>
      <c r="T109" s="245"/>
      <c r="U109" s="245"/>
      <c r="V109" s="246"/>
      <c r="W109" s="30"/>
      <c r="X109" s="2"/>
      <c r="Y109" s="2"/>
      <c r="Z109" s="2"/>
      <c r="AA109" s="2"/>
      <c r="AB109" s="2"/>
      <c r="AC109" s="2"/>
      <c r="AD109" s="2"/>
    </row>
    <row r="110" spans="1:30" ht="12.5" x14ac:dyDescent="0.25">
      <c r="A110" s="2"/>
      <c r="B110" s="2"/>
      <c r="C110" s="11"/>
      <c r="D110" s="337"/>
      <c r="E110" s="277"/>
      <c r="F110" s="277"/>
      <c r="G110" s="277"/>
      <c r="H110" s="277"/>
      <c r="I110" s="338"/>
      <c r="J110" s="111"/>
      <c r="K110" s="316"/>
      <c r="L110" s="232"/>
      <c r="M110" s="316"/>
      <c r="N110" s="232"/>
      <c r="O110" s="317"/>
      <c r="P110" s="232"/>
      <c r="Q110" s="274"/>
      <c r="R110" s="245"/>
      <c r="S110" s="245"/>
      <c r="T110" s="245"/>
      <c r="U110" s="245"/>
      <c r="V110" s="246"/>
      <c r="W110" s="30"/>
      <c r="X110" s="2"/>
      <c r="Y110" s="2"/>
      <c r="Z110" s="2"/>
      <c r="AA110" s="2"/>
      <c r="AB110" s="2"/>
      <c r="AC110" s="2"/>
      <c r="AD110" s="2"/>
    </row>
    <row r="111" spans="1:30" ht="12.5" x14ac:dyDescent="0.25">
      <c r="A111" s="2"/>
      <c r="B111" s="2"/>
      <c r="C111" s="11"/>
      <c r="D111" s="93"/>
      <c r="E111" s="2"/>
      <c r="F111" s="2"/>
      <c r="G111" s="2"/>
      <c r="H111" s="2"/>
      <c r="I111" s="2"/>
      <c r="J111" s="3"/>
      <c r="K111" s="314"/>
      <c r="L111" s="142"/>
      <c r="M111" s="314"/>
      <c r="N111" s="142"/>
      <c r="O111" s="320"/>
      <c r="P111" s="236"/>
      <c r="Q111" s="318"/>
      <c r="R111" s="245"/>
      <c r="S111" s="245"/>
      <c r="T111" s="245"/>
      <c r="U111" s="245"/>
      <c r="V111" s="246"/>
      <c r="W111" s="30"/>
      <c r="X111" s="2"/>
      <c r="Y111" s="2"/>
      <c r="Z111" s="2"/>
      <c r="AA111" s="2"/>
      <c r="AB111" s="2"/>
      <c r="AC111" s="2"/>
      <c r="AD111" s="2"/>
    </row>
    <row r="112" spans="1:30" ht="12.5" x14ac:dyDescent="0.25">
      <c r="A112" s="2"/>
      <c r="B112" s="2"/>
      <c r="C112" s="11"/>
      <c r="D112" s="337"/>
      <c r="E112" s="277"/>
      <c r="F112" s="277"/>
      <c r="G112" s="277"/>
      <c r="H112" s="277"/>
      <c r="I112" s="338"/>
      <c r="J112" s="111"/>
      <c r="K112" s="316"/>
      <c r="L112" s="232"/>
      <c r="M112" s="316"/>
      <c r="N112" s="232"/>
      <c r="O112" s="317"/>
      <c r="P112" s="232"/>
      <c r="Q112" s="274"/>
      <c r="R112" s="245"/>
      <c r="S112" s="245"/>
      <c r="T112" s="245"/>
      <c r="U112" s="245"/>
      <c r="V112" s="246"/>
      <c r="W112" s="30"/>
      <c r="X112" s="2"/>
      <c r="Y112" s="2"/>
      <c r="Z112" s="2"/>
      <c r="AA112" s="2"/>
      <c r="AB112" s="2"/>
      <c r="AC112" s="2"/>
      <c r="AD112" s="2"/>
    </row>
    <row r="113" spans="1:30" ht="12.5" x14ac:dyDescent="0.25">
      <c r="A113" s="2"/>
      <c r="B113" s="2"/>
      <c r="C113" s="11"/>
      <c r="D113" s="93"/>
      <c r="E113" s="2"/>
      <c r="F113" s="2"/>
      <c r="G113" s="2"/>
      <c r="H113" s="2"/>
      <c r="I113" s="2"/>
      <c r="J113" s="3"/>
      <c r="K113" s="314"/>
      <c r="L113" s="142"/>
      <c r="M113" s="314"/>
      <c r="N113" s="142"/>
      <c r="O113" s="320"/>
      <c r="P113" s="236"/>
      <c r="Q113" s="318"/>
      <c r="R113" s="245"/>
      <c r="S113" s="245"/>
      <c r="T113" s="245"/>
      <c r="U113" s="245"/>
      <c r="V113" s="246"/>
      <c r="W113" s="30"/>
      <c r="X113" s="2"/>
      <c r="Y113" s="2"/>
      <c r="Z113" s="2"/>
      <c r="AA113" s="2"/>
      <c r="AB113" s="2"/>
      <c r="AC113" s="2"/>
      <c r="AD113" s="2"/>
    </row>
    <row r="114" spans="1:30" ht="12.5" x14ac:dyDescent="0.25">
      <c r="A114" s="2"/>
      <c r="B114" s="2"/>
      <c r="C114" s="11"/>
      <c r="D114" s="337"/>
      <c r="E114" s="277"/>
      <c r="F114" s="277"/>
      <c r="G114" s="277"/>
      <c r="H114" s="277"/>
      <c r="I114" s="338"/>
      <c r="J114" s="111"/>
      <c r="K114" s="316"/>
      <c r="L114" s="232"/>
      <c r="M114" s="316"/>
      <c r="N114" s="232"/>
      <c r="O114" s="317"/>
      <c r="P114" s="232"/>
      <c r="Q114" s="274"/>
      <c r="R114" s="245"/>
      <c r="S114" s="245"/>
      <c r="T114" s="245"/>
      <c r="U114" s="245"/>
      <c r="V114" s="246"/>
      <c r="W114" s="30"/>
      <c r="X114" s="2"/>
      <c r="Y114" s="2"/>
      <c r="Z114" s="2"/>
      <c r="AA114" s="2"/>
      <c r="AB114" s="2"/>
      <c r="AC114" s="2"/>
      <c r="AD114" s="2"/>
    </row>
    <row r="115" spans="1:30" ht="12.5" x14ac:dyDescent="0.25">
      <c r="A115" s="2"/>
      <c r="B115" s="2"/>
      <c r="C115" s="11"/>
      <c r="D115" s="93"/>
      <c r="E115" s="2"/>
      <c r="F115" s="2"/>
      <c r="G115" s="2"/>
      <c r="H115" s="2"/>
      <c r="I115" s="2"/>
      <c r="J115" s="3"/>
      <c r="K115" s="314"/>
      <c r="L115" s="142"/>
      <c r="M115" s="314"/>
      <c r="N115" s="142"/>
      <c r="O115" s="320"/>
      <c r="P115" s="236"/>
      <c r="Q115" s="318"/>
      <c r="R115" s="245"/>
      <c r="S115" s="245"/>
      <c r="T115" s="245"/>
      <c r="U115" s="245"/>
      <c r="V115" s="246"/>
      <c r="W115" s="30"/>
      <c r="X115" s="2"/>
      <c r="Y115" s="2"/>
      <c r="Z115" s="2"/>
      <c r="AA115" s="2"/>
      <c r="AB115" s="2"/>
      <c r="AC115" s="2"/>
      <c r="AD115" s="2"/>
    </row>
    <row r="116" spans="1:30" ht="12.5" x14ac:dyDescent="0.25">
      <c r="A116" s="2"/>
      <c r="B116" s="2"/>
      <c r="C116" s="11"/>
      <c r="D116" s="337"/>
      <c r="E116" s="277"/>
      <c r="F116" s="277"/>
      <c r="G116" s="277"/>
      <c r="H116" s="277"/>
      <c r="I116" s="338"/>
      <c r="J116" s="111"/>
      <c r="K116" s="316"/>
      <c r="L116" s="232"/>
      <c r="M116" s="316"/>
      <c r="N116" s="232"/>
      <c r="O116" s="317"/>
      <c r="P116" s="232"/>
      <c r="Q116" s="274"/>
      <c r="R116" s="245"/>
      <c r="S116" s="245"/>
      <c r="T116" s="245"/>
      <c r="U116" s="245"/>
      <c r="V116" s="246"/>
      <c r="W116" s="30"/>
      <c r="X116" s="2"/>
      <c r="Y116" s="2"/>
      <c r="Z116" s="2"/>
      <c r="AA116" s="2"/>
      <c r="AB116" s="2"/>
      <c r="AC116" s="2"/>
      <c r="AD116" s="2"/>
    </row>
    <row r="117" spans="1:30" ht="12.5" x14ac:dyDescent="0.25">
      <c r="A117" s="2"/>
      <c r="B117" s="2"/>
      <c r="C117" s="11"/>
      <c r="D117" s="93"/>
      <c r="E117" s="2"/>
      <c r="F117" s="2"/>
      <c r="G117" s="2"/>
      <c r="H117" s="2"/>
      <c r="I117" s="2"/>
      <c r="J117" s="3"/>
      <c r="K117" s="314"/>
      <c r="L117" s="142"/>
      <c r="M117" s="314"/>
      <c r="N117" s="142"/>
      <c r="O117" s="320"/>
      <c r="P117" s="236"/>
      <c r="Q117" s="318"/>
      <c r="R117" s="245"/>
      <c r="S117" s="245"/>
      <c r="T117" s="245"/>
      <c r="U117" s="245"/>
      <c r="V117" s="246"/>
      <c r="W117" s="30"/>
      <c r="X117" s="2"/>
      <c r="Y117" s="2"/>
      <c r="Z117" s="2"/>
      <c r="AA117" s="2"/>
      <c r="AB117" s="2"/>
      <c r="AC117" s="2"/>
      <c r="AD117" s="2"/>
    </row>
    <row r="118" spans="1:30" ht="12.5" x14ac:dyDescent="0.25">
      <c r="A118" s="2"/>
      <c r="B118" s="2"/>
      <c r="C118" s="11"/>
      <c r="D118" s="337"/>
      <c r="E118" s="277"/>
      <c r="F118" s="277"/>
      <c r="G118" s="277"/>
      <c r="H118" s="277"/>
      <c r="I118" s="338"/>
      <c r="J118" s="111"/>
      <c r="K118" s="316"/>
      <c r="L118" s="232"/>
      <c r="M118" s="316"/>
      <c r="N118" s="232"/>
      <c r="O118" s="317"/>
      <c r="P118" s="232"/>
      <c r="Q118" s="274"/>
      <c r="R118" s="245"/>
      <c r="S118" s="245"/>
      <c r="T118" s="245"/>
      <c r="U118" s="245"/>
      <c r="V118" s="246"/>
      <c r="W118" s="30"/>
      <c r="X118" s="2"/>
      <c r="Y118" s="2"/>
      <c r="Z118" s="2"/>
      <c r="AA118" s="2"/>
      <c r="AB118" s="2"/>
      <c r="AC118" s="2"/>
      <c r="AD118" s="2"/>
    </row>
    <row r="119" spans="1:30" ht="12.5" x14ac:dyDescent="0.25">
      <c r="A119" s="2"/>
      <c r="B119" s="2"/>
      <c r="C119" s="11"/>
      <c r="D119" s="112"/>
      <c r="E119" s="28"/>
      <c r="F119" s="28"/>
      <c r="G119" s="28"/>
      <c r="H119" s="28"/>
      <c r="I119" s="28"/>
      <c r="J119" s="5"/>
      <c r="K119" s="339"/>
      <c r="L119" s="198"/>
      <c r="M119" s="339"/>
      <c r="N119" s="198"/>
      <c r="O119" s="320"/>
      <c r="P119" s="236"/>
      <c r="Q119" s="322"/>
      <c r="R119" s="194"/>
      <c r="S119" s="194"/>
      <c r="T119" s="194"/>
      <c r="U119" s="194"/>
      <c r="V119" s="323"/>
      <c r="W119" s="30"/>
      <c r="X119" s="2"/>
      <c r="Y119" s="2"/>
      <c r="Z119" s="2"/>
      <c r="AA119" s="2"/>
      <c r="AB119" s="2"/>
      <c r="AC119" s="2"/>
      <c r="AD119" s="2"/>
    </row>
    <row r="120" spans="1:30" ht="13" x14ac:dyDescent="0.3">
      <c r="A120" s="2"/>
      <c r="B120" s="2"/>
      <c r="C120" s="11"/>
      <c r="D120" s="335" t="s">
        <v>14</v>
      </c>
      <c r="E120" s="224"/>
      <c r="F120" s="224"/>
      <c r="G120" s="224"/>
      <c r="H120" s="224"/>
      <c r="I120" s="224"/>
      <c r="J120" s="224"/>
      <c r="K120" s="224"/>
      <c r="L120" s="224"/>
      <c r="M120" s="224"/>
      <c r="N120" s="273"/>
      <c r="O120" s="340">
        <f>SUM(O59:P119)</f>
        <v>3000</v>
      </c>
      <c r="P120" s="273"/>
      <c r="Q120" s="113"/>
      <c r="R120" s="113"/>
      <c r="S120" s="113"/>
      <c r="T120" s="113"/>
      <c r="U120" s="113"/>
      <c r="V120" s="114"/>
      <c r="W120" s="30"/>
      <c r="X120" s="2"/>
      <c r="Y120" s="2"/>
      <c r="Z120" s="2"/>
      <c r="AA120" s="2"/>
      <c r="AB120" s="2"/>
      <c r="AC120" s="2"/>
      <c r="AD120" s="2"/>
    </row>
    <row r="121" spans="1:30" ht="12.5" x14ac:dyDescent="0.25">
      <c r="A121" s="2"/>
      <c r="B121" s="2"/>
      <c r="C121" s="2"/>
      <c r="D121" s="35"/>
      <c r="E121" s="35"/>
      <c r="F121" s="35"/>
      <c r="G121" s="35"/>
      <c r="H121" s="35"/>
      <c r="I121" s="35"/>
      <c r="J121" s="4"/>
      <c r="K121" s="4"/>
      <c r="L121" s="4"/>
      <c r="M121" s="4"/>
      <c r="N121" s="4"/>
      <c r="O121" s="4"/>
      <c r="P121" s="4"/>
      <c r="Q121" s="35"/>
      <c r="R121" s="35"/>
      <c r="S121" s="35"/>
      <c r="T121" s="35"/>
      <c r="U121" s="35"/>
      <c r="V121" s="35"/>
      <c r="W121" s="2"/>
      <c r="X121" s="2"/>
      <c r="Y121" s="2"/>
      <c r="Z121" s="2"/>
      <c r="AA121" s="2"/>
      <c r="AB121" s="2"/>
      <c r="AC121" s="2"/>
      <c r="AD121" s="2"/>
    </row>
    <row r="122" spans="1:30" ht="12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3"/>
      <c r="K122" s="3"/>
      <c r="L122" s="3"/>
      <c r="M122" s="3"/>
      <c r="N122" s="3"/>
      <c r="O122" s="3"/>
      <c r="P122" s="3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2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3"/>
      <c r="K123" s="3"/>
      <c r="L123" s="3"/>
      <c r="M123" s="3"/>
      <c r="N123" s="3"/>
      <c r="O123" s="3"/>
      <c r="P123" s="3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2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3"/>
      <c r="K124" s="3"/>
      <c r="L124" s="3"/>
      <c r="M124" s="3"/>
      <c r="N124" s="3"/>
      <c r="O124" s="3"/>
      <c r="P124" s="3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2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3"/>
      <c r="K125" s="3"/>
      <c r="L125" s="3"/>
      <c r="M125" s="3"/>
      <c r="N125" s="3"/>
      <c r="O125" s="3"/>
      <c r="P125" s="3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2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3"/>
      <c r="K126" s="3"/>
      <c r="L126" s="3"/>
      <c r="M126" s="3"/>
      <c r="N126" s="3"/>
      <c r="O126" s="3"/>
      <c r="P126" s="3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2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3"/>
      <c r="K127" s="3"/>
      <c r="L127" s="3"/>
      <c r="M127" s="3"/>
      <c r="N127" s="3"/>
      <c r="O127" s="3"/>
      <c r="P127" s="3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2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3"/>
      <c r="K128" s="3"/>
      <c r="L128" s="3"/>
      <c r="M128" s="3"/>
      <c r="N128" s="3"/>
      <c r="O128" s="3"/>
      <c r="P128" s="3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2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3"/>
      <c r="K129" s="3"/>
      <c r="L129" s="3"/>
      <c r="M129" s="3"/>
      <c r="N129" s="3"/>
      <c r="O129" s="3"/>
      <c r="P129" s="3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2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3"/>
      <c r="K130" s="3"/>
      <c r="L130" s="3"/>
      <c r="M130" s="3"/>
      <c r="N130" s="3"/>
      <c r="O130" s="3"/>
      <c r="P130" s="3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2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3"/>
      <c r="K131" s="3"/>
      <c r="L131" s="3"/>
      <c r="M131" s="3"/>
      <c r="N131" s="3"/>
      <c r="O131" s="3"/>
      <c r="P131" s="3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2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3"/>
      <c r="K132" s="3"/>
      <c r="L132" s="3"/>
      <c r="M132" s="3"/>
      <c r="N132" s="3"/>
      <c r="O132" s="3"/>
      <c r="P132" s="3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2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3"/>
      <c r="K133" s="3"/>
      <c r="L133" s="3"/>
      <c r="M133" s="3"/>
      <c r="N133" s="3"/>
      <c r="O133" s="3"/>
      <c r="P133" s="3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2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3"/>
      <c r="K134" s="3"/>
      <c r="L134" s="3"/>
      <c r="M134" s="3"/>
      <c r="N134" s="3"/>
      <c r="O134" s="3"/>
      <c r="P134" s="3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2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3"/>
      <c r="K135" s="3"/>
      <c r="L135" s="3"/>
      <c r="M135" s="3"/>
      <c r="N135" s="3"/>
      <c r="O135" s="3"/>
      <c r="P135" s="3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2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3"/>
      <c r="K136" s="3"/>
      <c r="L136" s="3"/>
      <c r="M136" s="3"/>
      <c r="N136" s="3"/>
      <c r="O136" s="3"/>
      <c r="P136" s="3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2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3"/>
      <c r="K137" s="3"/>
      <c r="L137" s="3"/>
      <c r="M137" s="3"/>
      <c r="N137" s="3"/>
      <c r="O137" s="3"/>
      <c r="P137" s="3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2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3"/>
      <c r="K138" s="3"/>
      <c r="L138" s="3"/>
      <c r="M138" s="3"/>
      <c r="N138" s="3"/>
      <c r="O138" s="3"/>
      <c r="P138" s="3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2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3"/>
      <c r="K139" s="3"/>
      <c r="L139" s="3"/>
      <c r="M139" s="3"/>
      <c r="N139" s="3"/>
      <c r="O139" s="3"/>
      <c r="P139" s="3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2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3"/>
      <c r="K140" s="3"/>
      <c r="L140" s="3"/>
      <c r="M140" s="3"/>
      <c r="N140" s="3"/>
      <c r="O140" s="3"/>
      <c r="P140" s="3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2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3"/>
      <c r="K141" s="3"/>
      <c r="L141" s="3"/>
      <c r="M141" s="3"/>
      <c r="N141" s="3"/>
      <c r="O141" s="3"/>
      <c r="P141" s="3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2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3"/>
      <c r="K142" s="3"/>
      <c r="L142" s="3"/>
      <c r="M142" s="3"/>
      <c r="N142" s="3"/>
      <c r="O142" s="3"/>
      <c r="P142" s="3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2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3"/>
      <c r="K143" s="3"/>
      <c r="L143" s="3"/>
      <c r="M143" s="3"/>
      <c r="N143" s="3"/>
      <c r="O143" s="3"/>
      <c r="P143" s="3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2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3"/>
      <c r="K144" s="3"/>
      <c r="L144" s="3"/>
      <c r="M144" s="3"/>
      <c r="N144" s="3"/>
      <c r="O144" s="3"/>
      <c r="P144" s="3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2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3"/>
      <c r="K145" s="3"/>
      <c r="L145" s="3"/>
      <c r="M145" s="3"/>
      <c r="N145" s="3"/>
      <c r="O145" s="3"/>
      <c r="P145" s="3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2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3"/>
      <c r="K146" s="3"/>
      <c r="L146" s="3"/>
      <c r="M146" s="3"/>
      <c r="N146" s="3"/>
      <c r="O146" s="3"/>
      <c r="P146" s="3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2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3"/>
      <c r="K147" s="3"/>
      <c r="L147" s="3"/>
      <c r="M147" s="3"/>
      <c r="N147" s="3"/>
      <c r="O147" s="3"/>
      <c r="P147" s="3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2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3"/>
      <c r="K148" s="3"/>
      <c r="L148" s="3"/>
      <c r="M148" s="3"/>
      <c r="N148" s="3"/>
      <c r="O148" s="3"/>
      <c r="P148" s="3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2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3"/>
      <c r="K149" s="3"/>
      <c r="L149" s="3"/>
      <c r="M149" s="3"/>
      <c r="N149" s="3"/>
      <c r="O149" s="3"/>
      <c r="P149" s="3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2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3"/>
      <c r="K150" s="3"/>
      <c r="L150" s="3"/>
      <c r="M150" s="3"/>
      <c r="N150" s="3"/>
      <c r="O150" s="3"/>
      <c r="P150" s="3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2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3"/>
      <c r="K151" s="3"/>
      <c r="L151" s="3"/>
      <c r="M151" s="3"/>
      <c r="N151" s="3"/>
      <c r="O151" s="3"/>
      <c r="P151" s="3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2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3"/>
      <c r="K152" s="3"/>
      <c r="L152" s="3"/>
      <c r="M152" s="3"/>
      <c r="N152" s="3"/>
      <c r="O152" s="3"/>
      <c r="P152" s="3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2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3"/>
      <c r="K153" s="3"/>
      <c r="L153" s="3"/>
      <c r="M153" s="3"/>
      <c r="N153" s="3"/>
      <c r="O153" s="3"/>
      <c r="P153" s="3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2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3"/>
      <c r="K154" s="3"/>
      <c r="L154" s="3"/>
      <c r="M154" s="3"/>
      <c r="N154" s="3"/>
      <c r="O154" s="3"/>
      <c r="P154" s="3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2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3"/>
      <c r="K155" s="3"/>
      <c r="L155" s="3"/>
      <c r="M155" s="3"/>
      <c r="N155" s="3"/>
      <c r="O155" s="3"/>
      <c r="P155" s="3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2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3"/>
      <c r="K156" s="3"/>
      <c r="L156" s="3"/>
      <c r="M156" s="3"/>
      <c r="N156" s="3"/>
      <c r="O156" s="3"/>
      <c r="P156" s="3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2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3"/>
      <c r="K157" s="3"/>
      <c r="L157" s="3"/>
      <c r="M157" s="3"/>
      <c r="N157" s="3"/>
      <c r="O157" s="3"/>
      <c r="P157" s="3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2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3"/>
      <c r="K158" s="3"/>
      <c r="L158" s="3"/>
      <c r="M158" s="3"/>
      <c r="N158" s="3"/>
      <c r="O158" s="3"/>
      <c r="P158" s="3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2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3"/>
      <c r="K159" s="3"/>
      <c r="L159" s="3"/>
      <c r="M159" s="3"/>
      <c r="N159" s="3"/>
      <c r="O159" s="3"/>
      <c r="P159" s="3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2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3"/>
      <c r="K160" s="3"/>
      <c r="L160" s="3"/>
      <c r="M160" s="3"/>
      <c r="N160" s="3"/>
      <c r="O160" s="3"/>
      <c r="P160" s="3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2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3"/>
      <c r="K161" s="3"/>
      <c r="L161" s="3"/>
      <c r="M161" s="3"/>
      <c r="N161" s="3"/>
      <c r="O161" s="3"/>
      <c r="P161" s="3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2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3"/>
      <c r="K162" s="3"/>
      <c r="L162" s="3"/>
      <c r="M162" s="3"/>
      <c r="N162" s="3"/>
      <c r="O162" s="3"/>
      <c r="P162" s="3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2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3"/>
      <c r="K163" s="3"/>
      <c r="L163" s="3"/>
      <c r="M163" s="3"/>
      <c r="N163" s="3"/>
      <c r="O163" s="3"/>
      <c r="P163" s="3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2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3"/>
      <c r="K164" s="3"/>
      <c r="L164" s="3"/>
      <c r="M164" s="3"/>
      <c r="N164" s="3"/>
      <c r="O164" s="3"/>
      <c r="P164" s="3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2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3"/>
      <c r="K165" s="3"/>
      <c r="L165" s="3"/>
      <c r="M165" s="3"/>
      <c r="N165" s="3"/>
      <c r="O165" s="3"/>
      <c r="P165" s="3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2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3"/>
      <c r="K166" s="3"/>
      <c r="L166" s="3"/>
      <c r="M166" s="3"/>
      <c r="N166" s="3"/>
      <c r="O166" s="3"/>
      <c r="P166" s="3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2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3"/>
      <c r="K167" s="3"/>
      <c r="L167" s="3"/>
      <c r="M167" s="3"/>
      <c r="N167" s="3"/>
      <c r="O167" s="3"/>
      <c r="P167" s="3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2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3"/>
      <c r="K168" s="3"/>
      <c r="L168" s="3"/>
      <c r="M168" s="3"/>
      <c r="N168" s="3"/>
      <c r="O168" s="3"/>
      <c r="P168" s="3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2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3"/>
      <c r="K169" s="3"/>
      <c r="L169" s="3"/>
      <c r="M169" s="3"/>
      <c r="N169" s="3"/>
      <c r="O169" s="3"/>
      <c r="P169" s="3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2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3"/>
      <c r="K170" s="3"/>
      <c r="L170" s="3"/>
      <c r="M170" s="3"/>
      <c r="N170" s="3"/>
      <c r="O170" s="3"/>
      <c r="P170" s="3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2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3"/>
      <c r="K171" s="3"/>
      <c r="L171" s="3"/>
      <c r="M171" s="3"/>
      <c r="N171" s="3"/>
      <c r="O171" s="3"/>
      <c r="P171" s="3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2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3"/>
      <c r="K172" s="3"/>
      <c r="L172" s="3"/>
      <c r="M172" s="3"/>
      <c r="N172" s="3"/>
      <c r="O172" s="3"/>
      <c r="P172" s="3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2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3"/>
      <c r="K173" s="3"/>
      <c r="L173" s="3"/>
      <c r="M173" s="3"/>
      <c r="N173" s="3"/>
      <c r="O173" s="3"/>
      <c r="P173" s="3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2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3"/>
      <c r="K174" s="3"/>
      <c r="L174" s="3"/>
      <c r="M174" s="3"/>
      <c r="N174" s="3"/>
      <c r="O174" s="3"/>
      <c r="P174" s="3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2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3"/>
      <c r="K175" s="3"/>
      <c r="L175" s="3"/>
      <c r="M175" s="3"/>
      <c r="N175" s="3"/>
      <c r="O175" s="3"/>
      <c r="P175" s="3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2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3"/>
      <c r="K176" s="3"/>
      <c r="L176" s="3"/>
      <c r="M176" s="3"/>
      <c r="N176" s="3"/>
      <c r="O176" s="3"/>
      <c r="P176" s="3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2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3"/>
      <c r="K177" s="3"/>
      <c r="L177" s="3"/>
      <c r="M177" s="3"/>
      <c r="N177" s="3"/>
      <c r="O177" s="3"/>
      <c r="P177" s="3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2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3"/>
      <c r="K178" s="3"/>
      <c r="L178" s="3"/>
      <c r="M178" s="3"/>
      <c r="N178" s="3"/>
      <c r="O178" s="3"/>
      <c r="P178" s="3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2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3"/>
      <c r="K179" s="3"/>
      <c r="L179" s="3"/>
      <c r="M179" s="3"/>
      <c r="N179" s="3"/>
      <c r="O179" s="3"/>
      <c r="P179" s="3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2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3"/>
      <c r="K180" s="3"/>
      <c r="L180" s="3"/>
      <c r="M180" s="3"/>
      <c r="N180" s="3"/>
      <c r="O180" s="3"/>
      <c r="P180" s="3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2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3"/>
      <c r="K181" s="3"/>
      <c r="L181" s="3"/>
      <c r="M181" s="3"/>
      <c r="N181" s="3"/>
      <c r="O181" s="3"/>
      <c r="P181" s="3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2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3"/>
      <c r="K182" s="3"/>
      <c r="L182" s="3"/>
      <c r="M182" s="3"/>
      <c r="N182" s="3"/>
      <c r="O182" s="3"/>
      <c r="P182" s="3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2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3"/>
      <c r="K183" s="3"/>
      <c r="L183" s="3"/>
      <c r="M183" s="3"/>
      <c r="N183" s="3"/>
      <c r="O183" s="3"/>
      <c r="P183" s="3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2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3"/>
      <c r="K184" s="3"/>
      <c r="L184" s="3"/>
      <c r="M184" s="3"/>
      <c r="N184" s="3"/>
      <c r="O184" s="3"/>
      <c r="P184" s="3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2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3"/>
      <c r="K185" s="3"/>
      <c r="L185" s="3"/>
      <c r="M185" s="3"/>
      <c r="N185" s="3"/>
      <c r="O185" s="3"/>
      <c r="P185" s="3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2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3"/>
      <c r="K186" s="3"/>
      <c r="L186" s="3"/>
      <c r="M186" s="3"/>
      <c r="N186" s="3"/>
      <c r="O186" s="3"/>
      <c r="P186" s="3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2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3"/>
      <c r="K187" s="3"/>
      <c r="L187" s="3"/>
      <c r="M187" s="3"/>
      <c r="N187" s="3"/>
      <c r="O187" s="3"/>
      <c r="P187" s="3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2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3"/>
      <c r="K188" s="3"/>
      <c r="L188" s="3"/>
      <c r="M188" s="3"/>
      <c r="N188" s="3"/>
      <c r="O188" s="3"/>
      <c r="P188" s="3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2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3"/>
      <c r="K189" s="3"/>
      <c r="L189" s="3"/>
      <c r="M189" s="3"/>
      <c r="N189" s="3"/>
      <c r="O189" s="3"/>
      <c r="P189" s="3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2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3"/>
      <c r="K190" s="3"/>
      <c r="L190" s="3"/>
      <c r="M190" s="3"/>
      <c r="N190" s="3"/>
      <c r="O190" s="3"/>
      <c r="P190" s="3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2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3"/>
      <c r="K191" s="3"/>
      <c r="L191" s="3"/>
      <c r="M191" s="3"/>
      <c r="N191" s="3"/>
      <c r="O191" s="3"/>
      <c r="P191" s="3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3"/>
      <c r="K192" s="3"/>
      <c r="L192" s="3"/>
      <c r="M192" s="3"/>
      <c r="N192" s="3"/>
      <c r="O192" s="3"/>
      <c r="P192" s="3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3"/>
      <c r="K193" s="3"/>
      <c r="L193" s="3"/>
      <c r="M193" s="3"/>
      <c r="N193" s="3"/>
      <c r="O193" s="3"/>
      <c r="P193" s="3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3"/>
      <c r="K194" s="3"/>
      <c r="L194" s="3"/>
      <c r="M194" s="3"/>
      <c r="N194" s="3"/>
      <c r="O194" s="3"/>
      <c r="P194" s="3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3"/>
      <c r="K195" s="3"/>
      <c r="L195" s="3"/>
      <c r="M195" s="3"/>
      <c r="N195" s="3"/>
      <c r="O195" s="3"/>
      <c r="P195" s="3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3"/>
      <c r="K196" s="3"/>
      <c r="L196" s="3"/>
      <c r="M196" s="3"/>
      <c r="N196" s="3"/>
      <c r="O196" s="3"/>
      <c r="P196" s="3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3"/>
      <c r="K197" s="3"/>
      <c r="L197" s="3"/>
      <c r="M197" s="3"/>
      <c r="N197" s="3"/>
      <c r="O197" s="3"/>
      <c r="P197" s="3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3"/>
      <c r="K198" s="3"/>
      <c r="L198" s="3"/>
      <c r="M198" s="3"/>
      <c r="N198" s="3"/>
      <c r="O198" s="3"/>
      <c r="P198" s="3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3"/>
      <c r="K199" s="3"/>
      <c r="L199" s="3"/>
      <c r="M199" s="3"/>
      <c r="N199" s="3"/>
      <c r="O199" s="3"/>
      <c r="P199" s="3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3"/>
      <c r="K200" s="3"/>
      <c r="L200" s="3"/>
      <c r="M200" s="3"/>
      <c r="N200" s="3"/>
      <c r="O200" s="3"/>
      <c r="P200" s="3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3"/>
      <c r="K201" s="3"/>
      <c r="L201" s="3"/>
      <c r="M201" s="3"/>
      <c r="N201" s="3"/>
      <c r="O201" s="3"/>
      <c r="P201" s="3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3"/>
      <c r="K202" s="3"/>
      <c r="L202" s="3"/>
      <c r="M202" s="3"/>
      <c r="N202" s="3"/>
      <c r="O202" s="3"/>
      <c r="P202" s="3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3"/>
      <c r="K203" s="3"/>
      <c r="L203" s="3"/>
      <c r="M203" s="3"/>
      <c r="N203" s="3"/>
      <c r="O203" s="3"/>
      <c r="P203" s="3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3"/>
      <c r="K204" s="3"/>
      <c r="L204" s="3"/>
      <c r="M204" s="3"/>
      <c r="N204" s="3"/>
      <c r="O204" s="3"/>
      <c r="P204" s="3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3"/>
      <c r="K205" s="3"/>
      <c r="L205" s="3"/>
      <c r="M205" s="3"/>
      <c r="N205" s="3"/>
      <c r="O205" s="3"/>
      <c r="P205" s="3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3"/>
      <c r="K206" s="3"/>
      <c r="L206" s="3"/>
      <c r="M206" s="3"/>
      <c r="N206" s="3"/>
      <c r="O206" s="3"/>
      <c r="P206" s="3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3"/>
      <c r="K207" s="3"/>
      <c r="L207" s="3"/>
      <c r="M207" s="3"/>
      <c r="N207" s="3"/>
      <c r="O207" s="3"/>
      <c r="P207" s="3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3"/>
      <c r="K208" s="3"/>
      <c r="L208" s="3"/>
      <c r="M208" s="3"/>
      <c r="N208" s="3"/>
      <c r="O208" s="3"/>
      <c r="P208" s="3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3"/>
      <c r="K209" s="3"/>
      <c r="L209" s="3"/>
      <c r="M209" s="3"/>
      <c r="N209" s="3"/>
      <c r="O209" s="3"/>
      <c r="P209" s="3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3"/>
      <c r="K210" s="3"/>
      <c r="L210" s="3"/>
      <c r="M210" s="3"/>
      <c r="N210" s="3"/>
      <c r="O210" s="3"/>
      <c r="P210" s="3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3"/>
      <c r="K211" s="3"/>
      <c r="L211" s="3"/>
      <c r="M211" s="3"/>
      <c r="N211" s="3"/>
      <c r="O211" s="3"/>
      <c r="P211" s="3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3"/>
      <c r="K212" s="3"/>
      <c r="L212" s="3"/>
      <c r="M212" s="3"/>
      <c r="N212" s="3"/>
      <c r="O212" s="3"/>
      <c r="P212" s="3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3"/>
      <c r="K213" s="3"/>
      <c r="L213" s="3"/>
      <c r="M213" s="3"/>
      <c r="N213" s="3"/>
      <c r="O213" s="3"/>
      <c r="P213" s="3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3"/>
      <c r="K214" s="3"/>
      <c r="L214" s="3"/>
      <c r="M214" s="3"/>
      <c r="N214" s="3"/>
      <c r="O214" s="3"/>
      <c r="P214" s="3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3"/>
      <c r="K215" s="3"/>
      <c r="L215" s="3"/>
      <c r="M215" s="3"/>
      <c r="N215" s="3"/>
      <c r="O215" s="3"/>
      <c r="P215" s="3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3"/>
      <c r="K216" s="3"/>
      <c r="L216" s="3"/>
      <c r="M216" s="3"/>
      <c r="N216" s="3"/>
      <c r="O216" s="3"/>
      <c r="P216" s="3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3"/>
      <c r="K217" s="3"/>
      <c r="L217" s="3"/>
      <c r="M217" s="3"/>
      <c r="N217" s="3"/>
      <c r="O217" s="3"/>
      <c r="P217" s="3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3"/>
      <c r="K218" s="3"/>
      <c r="L218" s="3"/>
      <c r="M218" s="3"/>
      <c r="N218" s="3"/>
      <c r="O218" s="3"/>
      <c r="P218" s="3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3"/>
      <c r="K219" s="3"/>
      <c r="L219" s="3"/>
      <c r="M219" s="3"/>
      <c r="N219" s="3"/>
      <c r="O219" s="3"/>
      <c r="P219" s="3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3"/>
      <c r="K220" s="3"/>
      <c r="L220" s="3"/>
      <c r="M220" s="3"/>
      <c r="N220" s="3"/>
      <c r="O220" s="3"/>
      <c r="P220" s="3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3"/>
      <c r="K221" s="3"/>
      <c r="L221" s="3"/>
      <c r="M221" s="3"/>
      <c r="N221" s="3"/>
      <c r="O221" s="3"/>
      <c r="P221" s="3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3"/>
      <c r="K222" s="3"/>
      <c r="L222" s="3"/>
      <c r="M222" s="3"/>
      <c r="N222" s="3"/>
      <c r="O222" s="3"/>
      <c r="P222" s="3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3"/>
      <c r="K223" s="3"/>
      <c r="L223" s="3"/>
      <c r="M223" s="3"/>
      <c r="N223" s="3"/>
      <c r="O223" s="3"/>
      <c r="P223" s="3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3"/>
      <c r="K224" s="3"/>
      <c r="L224" s="3"/>
      <c r="M224" s="3"/>
      <c r="N224" s="3"/>
      <c r="O224" s="3"/>
      <c r="P224" s="3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3"/>
      <c r="K225" s="3"/>
      <c r="L225" s="3"/>
      <c r="M225" s="3"/>
      <c r="N225" s="3"/>
      <c r="O225" s="3"/>
      <c r="P225" s="3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3"/>
      <c r="K226" s="3"/>
      <c r="L226" s="3"/>
      <c r="M226" s="3"/>
      <c r="N226" s="3"/>
      <c r="O226" s="3"/>
      <c r="P226" s="3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3"/>
      <c r="K227" s="3"/>
      <c r="L227" s="3"/>
      <c r="M227" s="3"/>
      <c r="N227" s="3"/>
      <c r="O227" s="3"/>
      <c r="P227" s="3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3"/>
      <c r="K228" s="3"/>
      <c r="L228" s="3"/>
      <c r="M228" s="3"/>
      <c r="N228" s="3"/>
      <c r="O228" s="3"/>
      <c r="P228" s="3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3"/>
      <c r="K229" s="3"/>
      <c r="L229" s="3"/>
      <c r="M229" s="3"/>
      <c r="N229" s="3"/>
      <c r="O229" s="3"/>
      <c r="P229" s="3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3"/>
      <c r="K230" s="3"/>
      <c r="L230" s="3"/>
      <c r="M230" s="3"/>
      <c r="N230" s="3"/>
      <c r="O230" s="3"/>
      <c r="P230" s="3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3"/>
      <c r="K231" s="3"/>
      <c r="L231" s="3"/>
      <c r="M231" s="3"/>
      <c r="N231" s="3"/>
      <c r="O231" s="3"/>
      <c r="P231" s="3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3"/>
      <c r="K232" s="3"/>
      <c r="L232" s="3"/>
      <c r="M232" s="3"/>
      <c r="N232" s="3"/>
      <c r="O232" s="3"/>
      <c r="P232" s="3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3"/>
      <c r="K233" s="3"/>
      <c r="L233" s="3"/>
      <c r="M233" s="3"/>
      <c r="N233" s="3"/>
      <c r="O233" s="3"/>
      <c r="P233" s="3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3"/>
      <c r="K234" s="3"/>
      <c r="L234" s="3"/>
      <c r="M234" s="3"/>
      <c r="N234" s="3"/>
      <c r="O234" s="3"/>
      <c r="P234" s="3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3"/>
      <c r="K235" s="3"/>
      <c r="L235" s="3"/>
      <c r="M235" s="3"/>
      <c r="N235" s="3"/>
      <c r="O235" s="3"/>
      <c r="P235" s="3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3"/>
      <c r="K236" s="3"/>
      <c r="L236" s="3"/>
      <c r="M236" s="3"/>
      <c r="N236" s="3"/>
      <c r="O236" s="3"/>
      <c r="P236" s="3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3"/>
      <c r="K237" s="3"/>
      <c r="L237" s="3"/>
      <c r="M237" s="3"/>
      <c r="N237" s="3"/>
      <c r="O237" s="3"/>
      <c r="P237" s="3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3"/>
      <c r="K238" s="3"/>
      <c r="L238" s="3"/>
      <c r="M238" s="3"/>
      <c r="N238" s="3"/>
      <c r="O238" s="3"/>
      <c r="P238" s="3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3"/>
      <c r="K239" s="3"/>
      <c r="L239" s="3"/>
      <c r="M239" s="3"/>
      <c r="N239" s="3"/>
      <c r="O239" s="3"/>
      <c r="P239" s="3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3"/>
      <c r="K240" s="3"/>
      <c r="L240" s="3"/>
      <c r="M240" s="3"/>
      <c r="N240" s="3"/>
      <c r="O240" s="3"/>
      <c r="P240" s="3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3"/>
      <c r="K241" s="3"/>
      <c r="L241" s="3"/>
      <c r="M241" s="3"/>
      <c r="N241" s="3"/>
      <c r="O241" s="3"/>
      <c r="P241" s="3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3"/>
      <c r="K242" s="3"/>
      <c r="L242" s="3"/>
      <c r="M242" s="3"/>
      <c r="N242" s="3"/>
      <c r="O242" s="3"/>
      <c r="P242" s="3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3"/>
      <c r="K243" s="3"/>
      <c r="L243" s="3"/>
      <c r="M243" s="3"/>
      <c r="N243" s="3"/>
      <c r="O243" s="3"/>
      <c r="P243" s="3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3"/>
      <c r="K244" s="3"/>
      <c r="L244" s="3"/>
      <c r="M244" s="3"/>
      <c r="N244" s="3"/>
      <c r="O244" s="3"/>
      <c r="P244" s="3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3"/>
      <c r="K245" s="3"/>
      <c r="L245" s="3"/>
      <c r="M245" s="3"/>
      <c r="N245" s="3"/>
      <c r="O245" s="3"/>
      <c r="P245" s="3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3"/>
      <c r="K246" s="3"/>
      <c r="L246" s="3"/>
      <c r="M246" s="3"/>
      <c r="N246" s="3"/>
      <c r="O246" s="3"/>
      <c r="P246" s="3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3"/>
      <c r="K247" s="3"/>
      <c r="L247" s="3"/>
      <c r="M247" s="3"/>
      <c r="N247" s="3"/>
      <c r="O247" s="3"/>
      <c r="P247" s="3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3"/>
      <c r="K248" s="3"/>
      <c r="L248" s="3"/>
      <c r="M248" s="3"/>
      <c r="N248" s="3"/>
      <c r="O248" s="3"/>
      <c r="P248" s="3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3"/>
      <c r="K249" s="3"/>
      <c r="L249" s="3"/>
      <c r="M249" s="3"/>
      <c r="N249" s="3"/>
      <c r="O249" s="3"/>
      <c r="P249" s="3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3"/>
      <c r="K250" s="3"/>
      <c r="L250" s="3"/>
      <c r="M250" s="3"/>
      <c r="N250" s="3"/>
      <c r="O250" s="3"/>
      <c r="P250" s="3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3"/>
      <c r="K251" s="3"/>
      <c r="L251" s="3"/>
      <c r="M251" s="3"/>
      <c r="N251" s="3"/>
      <c r="O251" s="3"/>
      <c r="P251" s="3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3"/>
      <c r="K252" s="3"/>
      <c r="L252" s="3"/>
      <c r="M252" s="3"/>
      <c r="N252" s="3"/>
      <c r="O252" s="3"/>
      <c r="P252" s="3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3"/>
      <c r="K253" s="3"/>
      <c r="L253" s="3"/>
      <c r="M253" s="3"/>
      <c r="N253" s="3"/>
      <c r="O253" s="3"/>
      <c r="P253" s="3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3"/>
      <c r="K254" s="3"/>
      <c r="L254" s="3"/>
      <c r="M254" s="3"/>
      <c r="N254" s="3"/>
      <c r="O254" s="3"/>
      <c r="P254" s="3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3"/>
      <c r="K255" s="3"/>
      <c r="L255" s="3"/>
      <c r="M255" s="3"/>
      <c r="N255" s="3"/>
      <c r="O255" s="3"/>
      <c r="P255" s="3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3"/>
      <c r="K256" s="3"/>
      <c r="L256" s="3"/>
      <c r="M256" s="3"/>
      <c r="N256" s="3"/>
      <c r="O256" s="3"/>
      <c r="P256" s="3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3"/>
      <c r="K257" s="3"/>
      <c r="L257" s="3"/>
      <c r="M257" s="3"/>
      <c r="N257" s="3"/>
      <c r="O257" s="3"/>
      <c r="P257" s="3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3"/>
      <c r="K258" s="3"/>
      <c r="L258" s="3"/>
      <c r="M258" s="3"/>
      <c r="N258" s="3"/>
      <c r="O258" s="3"/>
      <c r="P258" s="3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3"/>
      <c r="K259" s="3"/>
      <c r="L259" s="3"/>
      <c r="M259" s="3"/>
      <c r="N259" s="3"/>
      <c r="O259" s="3"/>
      <c r="P259" s="3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3"/>
      <c r="K260" s="3"/>
      <c r="L260" s="3"/>
      <c r="M260" s="3"/>
      <c r="N260" s="3"/>
      <c r="O260" s="3"/>
      <c r="P260" s="3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3"/>
      <c r="K261" s="3"/>
      <c r="L261" s="3"/>
      <c r="M261" s="3"/>
      <c r="N261" s="3"/>
      <c r="O261" s="3"/>
      <c r="P261" s="3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3"/>
      <c r="K262" s="3"/>
      <c r="L262" s="3"/>
      <c r="M262" s="3"/>
      <c r="N262" s="3"/>
      <c r="O262" s="3"/>
      <c r="P262" s="3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3"/>
      <c r="K263" s="3"/>
      <c r="L263" s="3"/>
      <c r="M263" s="3"/>
      <c r="N263" s="3"/>
      <c r="O263" s="3"/>
      <c r="P263" s="3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3"/>
      <c r="K264" s="3"/>
      <c r="L264" s="3"/>
      <c r="M264" s="3"/>
      <c r="N264" s="3"/>
      <c r="O264" s="3"/>
      <c r="P264" s="3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3"/>
      <c r="K265" s="3"/>
      <c r="L265" s="3"/>
      <c r="M265" s="3"/>
      <c r="N265" s="3"/>
      <c r="O265" s="3"/>
      <c r="P265" s="3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3"/>
      <c r="K266" s="3"/>
      <c r="L266" s="3"/>
      <c r="M266" s="3"/>
      <c r="N266" s="3"/>
      <c r="O266" s="3"/>
      <c r="P266" s="3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3"/>
      <c r="K267" s="3"/>
      <c r="L267" s="3"/>
      <c r="M267" s="3"/>
      <c r="N267" s="3"/>
      <c r="O267" s="3"/>
      <c r="P267" s="3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3"/>
      <c r="K268" s="3"/>
      <c r="L268" s="3"/>
      <c r="M268" s="3"/>
      <c r="N268" s="3"/>
      <c r="O268" s="3"/>
      <c r="P268" s="3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3"/>
      <c r="K269" s="3"/>
      <c r="L269" s="3"/>
      <c r="M269" s="3"/>
      <c r="N269" s="3"/>
      <c r="O269" s="3"/>
      <c r="P269" s="3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3"/>
      <c r="K270" s="3"/>
      <c r="L270" s="3"/>
      <c r="M270" s="3"/>
      <c r="N270" s="3"/>
      <c r="O270" s="3"/>
      <c r="P270" s="3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3"/>
      <c r="K271" s="3"/>
      <c r="L271" s="3"/>
      <c r="M271" s="3"/>
      <c r="N271" s="3"/>
      <c r="O271" s="3"/>
      <c r="P271" s="3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3"/>
      <c r="K272" s="3"/>
      <c r="L272" s="3"/>
      <c r="M272" s="3"/>
      <c r="N272" s="3"/>
      <c r="O272" s="3"/>
      <c r="P272" s="3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3"/>
      <c r="K273" s="3"/>
      <c r="L273" s="3"/>
      <c r="M273" s="3"/>
      <c r="N273" s="3"/>
      <c r="O273" s="3"/>
      <c r="P273" s="3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3"/>
      <c r="K274" s="3"/>
      <c r="L274" s="3"/>
      <c r="M274" s="3"/>
      <c r="N274" s="3"/>
      <c r="O274" s="3"/>
      <c r="P274" s="3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3"/>
      <c r="K275" s="3"/>
      <c r="L275" s="3"/>
      <c r="M275" s="3"/>
      <c r="N275" s="3"/>
      <c r="O275" s="3"/>
      <c r="P275" s="3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3"/>
      <c r="K276" s="3"/>
      <c r="L276" s="3"/>
      <c r="M276" s="3"/>
      <c r="N276" s="3"/>
      <c r="O276" s="3"/>
      <c r="P276" s="3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3"/>
      <c r="K277" s="3"/>
      <c r="L277" s="3"/>
      <c r="M277" s="3"/>
      <c r="N277" s="3"/>
      <c r="O277" s="3"/>
      <c r="P277" s="3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3"/>
      <c r="K278" s="3"/>
      <c r="L278" s="3"/>
      <c r="M278" s="3"/>
      <c r="N278" s="3"/>
      <c r="O278" s="3"/>
      <c r="P278" s="3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3"/>
      <c r="K279" s="3"/>
      <c r="L279" s="3"/>
      <c r="M279" s="3"/>
      <c r="N279" s="3"/>
      <c r="O279" s="3"/>
      <c r="P279" s="3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3"/>
      <c r="K280" s="3"/>
      <c r="L280" s="3"/>
      <c r="M280" s="3"/>
      <c r="N280" s="3"/>
      <c r="O280" s="3"/>
      <c r="P280" s="3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3"/>
      <c r="K281" s="3"/>
      <c r="L281" s="3"/>
      <c r="M281" s="3"/>
      <c r="N281" s="3"/>
      <c r="O281" s="3"/>
      <c r="P281" s="3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3"/>
      <c r="K282" s="3"/>
      <c r="L282" s="3"/>
      <c r="M282" s="3"/>
      <c r="N282" s="3"/>
      <c r="O282" s="3"/>
      <c r="P282" s="3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3"/>
      <c r="K283" s="3"/>
      <c r="L283" s="3"/>
      <c r="M283" s="3"/>
      <c r="N283" s="3"/>
      <c r="O283" s="3"/>
      <c r="P283" s="3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3"/>
      <c r="K284" s="3"/>
      <c r="L284" s="3"/>
      <c r="M284" s="3"/>
      <c r="N284" s="3"/>
      <c r="O284" s="3"/>
      <c r="P284" s="3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3"/>
      <c r="K285" s="3"/>
      <c r="L285" s="3"/>
      <c r="M285" s="3"/>
      <c r="N285" s="3"/>
      <c r="O285" s="3"/>
      <c r="P285" s="3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3"/>
      <c r="K286" s="3"/>
      <c r="L286" s="3"/>
      <c r="M286" s="3"/>
      <c r="N286" s="3"/>
      <c r="O286" s="3"/>
      <c r="P286" s="3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3"/>
      <c r="K287" s="3"/>
      <c r="L287" s="3"/>
      <c r="M287" s="3"/>
      <c r="N287" s="3"/>
      <c r="O287" s="3"/>
      <c r="P287" s="3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3"/>
      <c r="K288" s="3"/>
      <c r="L288" s="3"/>
      <c r="M288" s="3"/>
      <c r="N288" s="3"/>
      <c r="O288" s="3"/>
      <c r="P288" s="3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3"/>
      <c r="K289" s="3"/>
      <c r="L289" s="3"/>
      <c r="M289" s="3"/>
      <c r="N289" s="3"/>
      <c r="O289" s="3"/>
      <c r="P289" s="3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3"/>
      <c r="K290" s="3"/>
      <c r="L290" s="3"/>
      <c r="M290" s="3"/>
      <c r="N290" s="3"/>
      <c r="O290" s="3"/>
      <c r="P290" s="3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3"/>
      <c r="K291" s="3"/>
      <c r="L291" s="3"/>
      <c r="M291" s="3"/>
      <c r="N291" s="3"/>
      <c r="O291" s="3"/>
      <c r="P291" s="3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3"/>
      <c r="K292" s="3"/>
      <c r="L292" s="3"/>
      <c r="M292" s="3"/>
      <c r="N292" s="3"/>
      <c r="O292" s="3"/>
      <c r="P292" s="3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3"/>
      <c r="K293" s="3"/>
      <c r="L293" s="3"/>
      <c r="M293" s="3"/>
      <c r="N293" s="3"/>
      <c r="O293" s="3"/>
      <c r="P293" s="3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3"/>
      <c r="K294" s="3"/>
      <c r="L294" s="3"/>
      <c r="M294" s="3"/>
      <c r="N294" s="3"/>
      <c r="O294" s="3"/>
      <c r="P294" s="3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3"/>
      <c r="K295" s="3"/>
      <c r="L295" s="3"/>
      <c r="M295" s="3"/>
      <c r="N295" s="3"/>
      <c r="O295" s="3"/>
      <c r="P295" s="3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3"/>
      <c r="K296" s="3"/>
      <c r="L296" s="3"/>
      <c r="M296" s="3"/>
      <c r="N296" s="3"/>
      <c r="O296" s="3"/>
      <c r="P296" s="3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3"/>
      <c r="K297" s="3"/>
      <c r="L297" s="3"/>
      <c r="M297" s="3"/>
      <c r="N297" s="3"/>
      <c r="O297" s="3"/>
      <c r="P297" s="3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3"/>
      <c r="K298" s="3"/>
      <c r="L298" s="3"/>
      <c r="M298" s="3"/>
      <c r="N298" s="3"/>
      <c r="O298" s="3"/>
      <c r="P298" s="3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3"/>
      <c r="K299" s="3"/>
      <c r="L299" s="3"/>
      <c r="M299" s="3"/>
      <c r="N299" s="3"/>
      <c r="O299" s="3"/>
      <c r="P299" s="3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3"/>
      <c r="K300" s="3"/>
      <c r="L300" s="3"/>
      <c r="M300" s="3"/>
      <c r="N300" s="3"/>
      <c r="O300" s="3"/>
      <c r="P300" s="3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3"/>
      <c r="K301" s="3"/>
      <c r="L301" s="3"/>
      <c r="M301" s="3"/>
      <c r="N301" s="3"/>
      <c r="O301" s="3"/>
      <c r="P301" s="3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3"/>
      <c r="K302" s="3"/>
      <c r="L302" s="3"/>
      <c r="M302" s="3"/>
      <c r="N302" s="3"/>
      <c r="O302" s="3"/>
      <c r="P302" s="3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3"/>
      <c r="K303" s="3"/>
      <c r="L303" s="3"/>
      <c r="M303" s="3"/>
      <c r="N303" s="3"/>
      <c r="O303" s="3"/>
      <c r="P303" s="3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3"/>
      <c r="K304" s="3"/>
      <c r="L304" s="3"/>
      <c r="M304" s="3"/>
      <c r="N304" s="3"/>
      <c r="O304" s="3"/>
      <c r="P304" s="3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3"/>
      <c r="K305" s="3"/>
      <c r="L305" s="3"/>
      <c r="M305" s="3"/>
      <c r="N305" s="3"/>
      <c r="O305" s="3"/>
      <c r="P305" s="3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3"/>
      <c r="K306" s="3"/>
      <c r="L306" s="3"/>
      <c r="M306" s="3"/>
      <c r="N306" s="3"/>
      <c r="O306" s="3"/>
      <c r="P306" s="3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3"/>
      <c r="K307" s="3"/>
      <c r="L307" s="3"/>
      <c r="M307" s="3"/>
      <c r="N307" s="3"/>
      <c r="O307" s="3"/>
      <c r="P307" s="3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3"/>
      <c r="K308" s="3"/>
      <c r="L308" s="3"/>
      <c r="M308" s="3"/>
      <c r="N308" s="3"/>
      <c r="O308" s="3"/>
      <c r="P308" s="3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3"/>
      <c r="K309" s="3"/>
      <c r="L309" s="3"/>
      <c r="M309" s="3"/>
      <c r="N309" s="3"/>
      <c r="O309" s="3"/>
      <c r="P309" s="3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3"/>
      <c r="K310" s="3"/>
      <c r="L310" s="3"/>
      <c r="M310" s="3"/>
      <c r="N310" s="3"/>
      <c r="O310" s="3"/>
      <c r="P310" s="3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3"/>
      <c r="K311" s="3"/>
      <c r="L311" s="3"/>
      <c r="M311" s="3"/>
      <c r="N311" s="3"/>
      <c r="O311" s="3"/>
      <c r="P311" s="3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3"/>
      <c r="K312" s="3"/>
      <c r="L312" s="3"/>
      <c r="M312" s="3"/>
      <c r="N312" s="3"/>
      <c r="O312" s="3"/>
      <c r="P312" s="3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3"/>
      <c r="K313" s="3"/>
      <c r="L313" s="3"/>
      <c r="M313" s="3"/>
      <c r="N313" s="3"/>
      <c r="O313" s="3"/>
      <c r="P313" s="3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3"/>
      <c r="K314" s="3"/>
      <c r="L314" s="3"/>
      <c r="M314" s="3"/>
      <c r="N314" s="3"/>
      <c r="O314" s="3"/>
      <c r="P314" s="3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3"/>
      <c r="K315" s="3"/>
      <c r="L315" s="3"/>
      <c r="M315" s="3"/>
      <c r="N315" s="3"/>
      <c r="O315" s="3"/>
      <c r="P315" s="3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3"/>
      <c r="K316" s="3"/>
      <c r="L316" s="3"/>
      <c r="M316" s="3"/>
      <c r="N316" s="3"/>
      <c r="O316" s="3"/>
      <c r="P316" s="3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3"/>
      <c r="K317" s="3"/>
      <c r="L317" s="3"/>
      <c r="M317" s="3"/>
      <c r="N317" s="3"/>
      <c r="O317" s="3"/>
      <c r="P317" s="3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3"/>
      <c r="K318" s="3"/>
      <c r="L318" s="3"/>
      <c r="M318" s="3"/>
      <c r="N318" s="3"/>
      <c r="O318" s="3"/>
      <c r="P318" s="3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3"/>
      <c r="K319" s="3"/>
      <c r="L319" s="3"/>
      <c r="M319" s="3"/>
      <c r="N319" s="3"/>
      <c r="O319" s="3"/>
      <c r="P319" s="3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3"/>
      <c r="K320" s="3"/>
      <c r="L320" s="3"/>
      <c r="M320" s="3"/>
      <c r="N320" s="3"/>
      <c r="O320" s="3"/>
      <c r="P320" s="3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3"/>
      <c r="K321" s="3"/>
      <c r="L321" s="3"/>
      <c r="M321" s="3"/>
      <c r="N321" s="3"/>
      <c r="O321" s="3"/>
      <c r="P321" s="3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3"/>
      <c r="K322" s="3"/>
      <c r="L322" s="3"/>
      <c r="M322" s="3"/>
      <c r="N322" s="3"/>
      <c r="O322" s="3"/>
      <c r="P322" s="3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3"/>
      <c r="K323" s="3"/>
      <c r="L323" s="3"/>
      <c r="M323" s="3"/>
      <c r="N323" s="3"/>
      <c r="O323" s="3"/>
      <c r="P323" s="3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3"/>
      <c r="K324" s="3"/>
      <c r="L324" s="3"/>
      <c r="M324" s="3"/>
      <c r="N324" s="3"/>
      <c r="O324" s="3"/>
      <c r="P324" s="3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3"/>
      <c r="K325" s="3"/>
      <c r="L325" s="3"/>
      <c r="M325" s="3"/>
      <c r="N325" s="3"/>
      <c r="O325" s="3"/>
      <c r="P325" s="3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2.5" x14ac:dyDescent="0.25">
      <c r="J326" s="115"/>
      <c r="K326" s="115"/>
      <c r="L326" s="115"/>
      <c r="M326" s="115"/>
      <c r="N326" s="115"/>
      <c r="O326" s="115"/>
      <c r="P326" s="115"/>
    </row>
    <row r="327" spans="1:30" ht="12.5" x14ac:dyDescent="0.25">
      <c r="J327" s="115"/>
      <c r="K327" s="115"/>
      <c r="L327" s="115"/>
      <c r="M327" s="115"/>
      <c r="N327" s="115"/>
      <c r="O327" s="115"/>
      <c r="P327" s="115"/>
    </row>
    <row r="328" spans="1:30" ht="12.5" x14ac:dyDescent="0.25">
      <c r="J328" s="115"/>
      <c r="K328" s="115"/>
      <c r="L328" s="115"/>
      <c r="M328" s="115"/>
      <c r="N328" s="115"/>
      <c r="O328" s="115"/>
      <c r="P328" s="115"/>
    </row>
    <row r="329" spans="1:30" ht="12.5" x14ac:dyDescent="0.25">
      <c r="J329" s="115"/>
      <c r="K329" s="115"/>
      <c r="L329" s="115"/>
      <c r="M329" s="115"/>
      <c r="N329" s="115"/>
      <c r="O329" s="115"/>
      <c r="P329" s="115"/>
    </row>
    <row r="330" spans="1:30" ht="12.5" x14ac:dyDescent="0.25">
      <c r="J330" s="115"/>
      <c r="K330" s="115"/>
      <c r="L330" s="115"/>
      <c r="M330" s="115"/>
      <c r="N330" s="115"/>
      <c r="O330" s="115"/>
      <c r="P330" s="115"/>
    </row>
    <row r="331" spans="1:30" ht="12.5" x14ac:dyDescent="0.25">
      <c r="J331" s="115"/>
      <c r="K331" s="115"/>
      <c r="L331" s="115"/>
      <c r="M331" s="115"/>
      <c r="N331" s="115"/>
      <c r="O331" s="115"/>
      <c r="P331" s="115"/>
    </row>
    <row r="332" spans="1:30" ht="12.5" x14ac:dyDescent="0.25">
      <c r="J332" s="115"/>
      <c r="K332" s="115"/>
      <c r="L332" s="115"/>
      <c r="M332" s="115"/>
      <c r="N332" s="115"/>
      <c r="O332" s="115"/>
      <c r="P332" s="115"/>
    </row>
    <row r="333" spans="1:30" ht="12.5" x14ac:dyDescent="0.25">
      <c r="J333" s="115"/>
      <c r="K333" s="115"/>
      <c r="L333" s="115"/>
      <c r="M333" s="115"/>
      <c r="N333" s="115"/>
      <c r="O333" s="115"/>
      <c r="P333" s="115"/>
    </row>
    <row r="334" spans="1:30" ht="12.5" x14ac:dyDescent="0.25">
      <c r="J334" s="115"/>
      <c r="K334" s="115"/>
      <c r="L334" s="115"/>
      <c r="M334" s="115"/>
      <c r="N334" s="115"/>
      <c r="O334" s="115"/>
      <c r="P334" s="115"/>
    </row>
    <row r="335" spans="1:30" ht="12.5" x14ac:dyDescent="0.25">
      <c r="J335" s="115"/>
      <c r="K335" s="115"/>
      <c r="L335" s="115"/>
      <c r="M335" s="115"/>
      <c r="N335" s="115"/>
      <c r="O335" s="115"/>
      <c r="P335" s="115"/>
    </row>
    <row r="336" spans="1:30" ht="12.5" x14ac:dyDescent="0.25">
      <c r="J336" s="115"/>
      <c r="K336" s="115"/>
      <c r="L336" s="115"/>
      <c r="M336" s="115"/>
      <c r="N336" s="115"/>
      <c r="O336" s="115"/>
      <c r="P336" s="115"/>
    </row>
    <row r="337" spans="10:16" ht="12.5" x14ac:dyDescent="0.25">
      <c r="J337" s="115"/>
      <c r="K337" s="115"/>
      <c r="L337" s="115"/>
      <c r="M337" s="115"/>
      <c r="N337" s="115"/>
      <c r="O337" s="115"/>
      <c r="P337" s="115"/>
    </row>
    <row r="338" spans="10:16" ht="12.5" x14ac:dyDescent="0.25">
      <c r="J338" s="115"/>
      <c r="K338" s="115"/>
      <c r="L338" s="115"/>
      <c r="M338" s="115"/>
      <c r="N338" s="115"/>
      <c r="O338" s="115"/>
      <c r="P338" s="115"/>
    </row>
    <row r="339" spans="10:16" ht="12.5" x14ac:dyDescent="0.25">
      <c r="J339" s="115"/>
      <c r="K339" s="115"/>
      <c r="L339" s="115"/>
      <c r="M339" s="115"/>
      <c r="N339" s="115"/>
      <c r="O339" s="115"/>
      <c r="P339" s="115"/>
    </row>
    <row r="340" spans="10:16" ht="12.5" x14ac:dyDescent="0.25">
      <c r="J340" s="115"/>
      <c r="K340" s="115"/>
      <c r="L340" s="115"/>
      <c r="M340" s="115"/>
      <c r="N340" s="115"/>
      <c r="O340" s="115"/>
      <c r="P340" s="115"/>
    </row>
    <row r="341" spans="10:16" ht="12.5" x14ac:dyDescent="0.25">
      <c r="J341" s="115"/>
      <c r="K341" s="115"/>
      <c r="L341" s="115"/>
      <c r="M341" s="115"/>
      <c r="N341" s="115"/>
      <c r="O341" s="115"/>
      <c r="P341" s="115"/>
    </row>
    <row r="342" spans="10:16" ht="12.5" x14ac:dyDescent="0.25">
      <c r="J342" s="115"/>
      <c r="K342" s="115"/>
      <c r="L342" s="115"/>
      <c r="M342" s="115"/>
      <c r="N342" s="115"/>
      <c r="O342" s="115"/>
      <c r="P342" s="115"/>
    </row>
    <row r="343" spans="10:16" ht="12.5" x14ac:dyDescent="0.25">
      <c r="J343" s="115"/>
      <c r="K343" s="115"/>
      <c r="L343" s="115"/>
      <c r="M343" s="115"/>
      <c r="N343" s="115"/>
      <c r="O343" s="115"/>
      <c r="P343" s="115"/>
    </row>
    <row r="344" spans="10:16" ht="12.5" x14ac:dyDescent="0.25">
      <c r="J344" s="115"/>
      <c r="K344" s="115"/>
      <c r="L344" s="115"/>
      <c r="M344" s="115"/>
      <c r="N344" s="115"/>
      <c r="O344" s="115"/>
      <c r="P344" s="115"/>
    </row>
    <row r="345" spans="10:16" ht="12.5" x14ac:dyDescent="0.25">
      <c r="J345" s="115"/>
      <c r="K345" s="115"/>
      <c r="L345" s="115"/>
      <c r="M345" s="115"/>
      <c r="N345" s="115"/>
      <c r="O345" s="115"/>
      <c r="P345" s="115"/>
    </row>
    <row r="346" spans="10:16" ht="12.5" x14ac:dyDescent="0.25">
      <c r="J346" s="115"/>
      <c r="K346" s="115"/>
      <c r="L346" s="115"/>
      <c r="M346" s="115"/>
      <c r="N346" s="115"/>
      <c r="O346" s="115"/>
      <c r="P346" s="115"/>
    </row>
    <row r="347" spans="10:16" ht="12.5" x14ac:dyDescent="0.25">
      <c r="J347" s="115"/>
      <c r="K347" s="115"/>
      <c r="L347" s="115"/>
      <c r="M347" s="115"/>
      <c r="N347" s="115"/>
      <c r="O347" s="115"/>
      <c r="P347" s="115"/>
    </row>
    <row r="348" spans="10:16" ht="12.5" x14ac:dyDescent="0.25">
      <c r="J348" s="115"/>
      <c r="K348" s="115"/>
      <c r="L348" s="115"/>
      <c r="M348" s="115"/>
      <c r="N348" s="115"/>
      <c r="O348" s="115"/>
      <c r="P348" s="115"/>
    </row>
    <row r="349" spans="10:16" ht="12.5" x14ac:dyDescent="0.25">
      <c r="J349" s="115"/>
      <c r="K349" s="115"/>
      <c r="L349" s="115"/>
      <c r="M349" s="115"/>
      <c r="N349" s="115"/>
      <c r="O349" s="115"/>
      <c r="P349" s="115"/>
    </row>
    <row r="350" spans="10:16" ht="12.5" x14ac:dyDescent="0.25">
      <c r="J350" s="115"/>
      <c r="K350" s="115"/>
      <c r="L350" s="115"/>
      <c r="M350" s="115"/>
      <c r="N350" s="115"/>
      <c r="O350" s="115"/>
      <c r="P350" s="115"/>
    </row>
    <row r="351" spans="10:16" ht="12.5" x14ac:dyDescent="0.25">
      <c r="J351" s="115"/>
      <c r="K351" s="115"/>
      <c r="L351" s="115"/>
      <c r="M351" s="115"/>
      <c r="N351" s="115"/>
      <c r="O351" s="115"/>
      <c r="P351" s="115"/>
    </row>
    <row r="352" spans="10:16" ht="12.5" x14ac:dyDescent="0.25">
      <c r="J352" s="115"/>
      <c r="K352" s="115"/>
      <c r="L352" s="115"/>
      <c r="M352" s="115"/>
      <c r="N352" s="115"/>
      <c r="O352" s="115"/>
      <c r="P352" s="115"/>
    </row>
    <row r="353" spans="10:16" ht="12.5" x14ac:dyDescent="0.25">
      <c r="J353" s="115"/>
      <c r="K353" s="115"/>
      <c r="L353" s="115"/>
      <c r="M353" s="115"/>
      <c r="N353" s="115"/>
      <c r="O353" s="115"/>
      <c r="P353" s="115"/>
    </row>
    <row r="354" spans="10:16" ht="12.5" x14ac:dyDescent="0.25">
      <c r="J354" s="115"/>
      <c r="K354" s="115"/>
      <c r="L354" s="115"/>
      <c r="M354" s="115"/>
      <c r="N354" s="115"/>
      <c r="O354" s="115"/>
      <c r="P354" s="115"/>
    </row>
    <row r="355" spans="10:16" ht="12.5" x14ac:dyDescent="0.25">
      <c r="J355" s="115"/>
      <c r="K355" s="115"/>
      <c r="L355" s="115"/>
      <c r="M355" s="115"/>
      <c r="N355" s="115"/>
      <c r="O355" s="115"/>
      <c r="P355" s="115"/>
    </row>
    <row r="356" spans="10:16" ht="12.5" x14ac:dyDescent="0.25">
      <c r="J356" s="115"/>
      <c r="K356" s="115"/>
      <c r="L356" s="115"/>
      <c r="M356" s="115"/>
      <c r="N356" s="115"/>
      <c r="O356" s="115"/>
      <c r="P356" s="115"/>
    </row>
    <row r="357" spans="10:16" ht="12.5" x14ac:dyDescent="0.25">
      <c r="J357" s="115"/>
      <c r="K357" s="115"/>
      <c r="L357" s="115"/>
      <c r="M357" s="115"/>
      <c r="N357" s="115"/>
      <c r="O357" s="115"/>
      <c r="P357" s="115"/>
    </row>
    <row r="358" spans="10:16" ht="12.5" x14ac:dyDescent="0.25">
      <c r="J358" s="115"/>
      <c r="K358" s="115"/>
      <c r="L358" s="115"/>
      <c r="M358" s="115"/>
      <c r="N358" s="115"/>
      <c r="O358" s="115"/>
      <c r="P358" s="115"/>
    </row>
    <row r="359" spans="10:16" ht="12.5" x14ac:dyDescent="0.25">
      <c r="J359" s="115"/>
      <c r="K359" s="115"/>
      <c r="L359" s="115"/>
      <c r="M359" s="115"/>
      <c r="N359" s="115"/>
      <c r="O359" s="115"/>
      <c r="P359" s="115"/>
    </row>
    <row r="360" spans="10:16" ht="12.5" x14ac:dyDescent="0.25">
      <c r="J360" s="115"/>
      <c r="K360" s="115"/>
      <c r="L360" s="115"/>
      <c r="M360" s="115"/>
      <c r="N360" s="115"/>
      <c r="O360" s="115"/>
      <c r="P360" s="115"/>
    </row>
    <row r="361" spans="10:16" ht="12.5" x14ac:dyDescent="0.25">
      <c r="J361" s="115"/>
      <c r="K361" s="115"/>
      <c r="L361" s="115"/>
      <c r="M361" s="115"/>
      <c r="N361" s="115"/>
      <c r="O361" s="115"/>
      <c r="P361" s="115"/>
    </row>
    <row r="362" spans="10:16" ht="12.5" x14ac:dyDescent="0.25">
      <c r="J362" s="115"/>
      <c r="K362" s="115"/>
      <c r="L362" s="115"/>
      <c r="M362" s="115"/>
      <c r="N362" s="115"/>
      <c r="O362" s="115"/>
      <c r="P362" s="115"/>
    </row>
    <row r="363" spans="10:16" ht="12.5" x14ac:dyDescent="0.25">
      <c r="J363" s="115"/>
      <c r="K363" s="115"/>
      <c r="L363" s="115"/>
      <c r="M363" s="115"/>
      <c r="N363" s="115"/>
      <c r="O363" s="115"/>
      <c r="P363" s="115"/>
    </row>
    <row r="364" spans="10:16" ht="12.5" x14ac:dyDescent="0.25">
      <c r="J364" s="115"/>
      <c r="K364" s="115"/>
      <c r="L364" s="115"/>
      <c r="M364" s="115"/>
      <c r="N364" s="115"/>
      <c r="O364" s="115"/>
      <c r="P364" s="115"/>
    </row>
    <row r="365" spans="10:16" ht="12.5" x14ac:dyDescent="0.25">
      <c r="J365" s="115"/>
      <c r="K365" s="115"/>
      <c r="L365" s="115"/>
      <c r="M365" s="115"/>
      <c r="N365" s="115"/>
      <c r="O365" s="115"/>
      <c r="P365" s="115"/>
    </row>
    <row r="366" spans="10:16" ht="12.5" x14ac:dyDescent="0.25">
      <c r="J366" s="115"/>
      <c r="K366" s="115"/>
      <c r="L366" s="115"/>
      <c r="M366" s="115"/>
      <c r="N366" s="115"/>
      <c r="O366" s="115"/>
      <c r="P366" s="115"/>
    </row>
    <row r="367" spans="10:16" ht="12.5" x14ac:dyDescent="0.25">
      <c r="J367" s="115"/>
      <c r="K367" s="115"/>
      <c r="L367" s="115"/>
      <c r="M367" s="115"/>
      <c r="N367" s="115"/>
      <c r="O367" s="115"/>
      <c r="P367" s="115"/>
    </row>
    <row r="368" spans="10:16" ht="12.5" x14ac:dyDescent="0.25">
      <c r="J368" s="115"/>
      <c r="K368" s="115"/>
      <c r="L368" s="115"/>
      <c r="M368" s="115"/>
      <c r="N368" s="115"/>
      <c r="O368" s="115"/>
      <c r="P368" s="115"/>
    </row>
    <row r="369" spans="10:16" ht="12.5" x14ac:dyDescent="0.25">
      <c r="J369" s="115"/>
      <c r="K369" s="115"/>
      <c r="L369" s="115"/>
      <c r="M369" s="115"/>
      <c r="N369" s="115"/>
      <c r="O369" s="115"/>
      <c r="P369" s="115"/>
    </row>
    <row r="370" spans="10:16" ht="12.5" x14ac:dyDescent="0.25">
      <c r="J370" s="115"/>
      <c r="K370" s="115"/>
      <c r="L370" s="115"/>
      <c r="M370" s="115"/>
      <c r="N370" s="115"/>
      <c r="O370" s="115"/>
      <c r="P370" s="115"/>
    </row>
    <row r="371" spans="10:16" ht="12.5" x14ac:dyDescent="0.25">
      <c r="J371" s="115"/>
      <c r="K371" s="115"/>
      <c r="L371" s="115"/>
      <c r="M371" s="115"/>
      <c r="N371" s="115"/>
      <c r="O371" s="115"/>
      <c r="P371" s="115"/>
    </row>
    <row r="372" spans="10:16" ht="12.5" x14ac:dyDescent="0.25">
      <c r="J372" s="115"/>
      <c r="K372" s="115"/>
      <c r="L372" s="115"/>
      <c r="M372" s="115"/>
      <c r="N372" s="115"/>
      <c r="O372" s="115"/>
      <c r="P372" s="115"/>
    </row>
    <row r="373" spans="10:16" ht="12.5" x14ac:dyDescent="0.25">
      <c r="J373" s="115"/>
      <c r="K373" s="115"/>
      <c r="L373" s="115"/>
      <c r="M373" s="115"/>
      <c r="N373" s="115"/>
      <c r="O373" s="115"/>
      <c r="P373" s="115"/>
    </row>
    <row r="374" spans="10:16" ht="12.5" x14ac:dyDescent="0.25">
      <c r="J374" s="115"/>
      <c r="K374" s="115"/>
      <c r="L374" s="115"/>
      <c r="M374" s="115"/>
      <c r="N374" s="115"/>
      <c r="O374" s="115"/>
      <c r="P374" s="115"/>
    </row>
    <row r="375" spans="10:16" ht="12.5" x14ac:dyDescent="0.25">
      <c r="J375" s="115"/>
      <c r="K375" s="115"/>
      <c r="L375" s="115"/>
      <c r="M375" s="115"/>
      <c r="N375" s="115"/>
      <c r="O375" s="115"/>
      <c r="P375" s="115"/>
    </row>
    <row r="376" spans="10:16" ht="12.5" x14ac:dyDescent="0.25">
      <c r="J376" s="115"/>
      <c r="K376" s="115"/>
      <c r="L376" s="115"/>
      <c r="M376" s="115"/>
      <c r="N376" s="115"/>
      <c r="O376" s="115"/>
      <c r="P376" s="115"/>
    </row>
    <row r="377" spans="10:16" ht="12.5" x14ac:dyDescent="0.25">
      <c r="J377" s="115"/>
      <c r="K377" s="115"/>
      <c r="L377" s="115"/>
      <c r="M377" s="115"/>
      <c r="N377" s="115"/>
      <c r="O377" s="115"/>
      <c r="P377" s="115"/>
    </row>
    <row r="378" spans="10:16" ht="12.5" x14ac:dyDescent="0.25">
      <c r="J378" s="115"/>
      <c r="K378" s="115"/>
      <c r="L378" s="115"/>
      <c r="M378" s="115"/>
      <c r="N378" s="115"/>
      <c r="O378" s="115"/>
      <c r="P378" s="115"/>
    </row>
    <row r="379" spans="10:16" ht="12.5" x14ac:dyDescent="0.25">
      <c r="J379" s="115"/>
      <c r="K379" s="115"/>
      <c r="L379" s="115"/>
      <c r="M379" s="115"/>
      <c r="N379" s="115"/>
      <c r="O379" s="115"/>
      <c r="P379" s="115"/>
    </row>
    <row r="380" spans="10:16" ht="12.5" x14ac:dyDescent="0.25">
      <c r="J380" s="115"/>
      <c r="K380" s="115"/>
      <c r="L380" s="115"/>
      <c r="M380" s="115"/>
      <c r="N380" s="115"/>
      <c r="O380" s="115"/>
      <c r="P380" s="115"/>
    </row>
    <row r="381" spans="10:16" ht="12.5" x14ac:dyDescent="0.25">
      <c r="J381" s="115"/>
      <c r="K381" s="115"/>
      <c r="L381" s="115"/>
      <c r="M381" s="115"/>
      <c r="N381" s="115"/>
      <c r="O381" s="115"/>
      <c r="P381" s="115"/>
    </row>
    <row r="382" spans="10:16" ht="12.5" x14ac:dyDescent="0.25">
      <c r="J382" s="115"/>
      <c r="K382" s="115"/>
      <c r="L382" s="115"/>
      <c r="M382" s="115"/>
      <c r="N382" s="115"/>
      <c r="O382" s="115"/>
      <c r="P382" s="115"/>
    </row>
    <row r="383" spans="10:16" ht="12.5" x14ac:dyDescent="0.25">
      <c r="J383" s="115"/>
      <c r="K383" s="115"/>
      <c r="L383" s="115"/>
      <c r="M383" s="115"/>
      <c r="N383" s="115"/>
      <c r="O383" s="115"/>
      <c r="P383" s="115"/>
    </row>
    <row r="384" spans="10:16" ht="12.5" x14ac:dyDescent="0.25">
      <c r="J384" s="115"/>
      <c r="K384" s="115"/>
      <c r="L384" s="115"/>
      <c r="M384" s="115"/>
      <c r="N384" s="115"/>
      <c r="O384" s="115"/>
      <c r="P384" s="115"/>
    </row>
    <row r="385" spans="10:16" ht="12.5" x14ac:dyDescent="0.25">
      <c r="J385" s="115"/>
      <c r="K385" s="115"/>
      <c r="L385" s="115"/>
      <c r="M385" s="115"/>
      <c r="N385" s="115"/>
      <c r="O385" s="115"/>
      <c r="P385" s="115"/>
    </row>
    <row r="386" spans="10:16" ht="12.5" x14ac:dyDescent="0.25">
      <c r="J386" s="115"/>
      <c r="K386" s="115"/>
      <c r="L386" s="115"/>
      <c r="M386" s="115"/>
      <c r="N386" s="115"/>
      <c r="O386" s="115"/>
      <c r="P386" s="115"/>
    </row>
    <row r="387" spans="10:16" ht="12.5" x14ac:dyDescent="0.25">
      <c r="J387" s="115"/>
      <c r="K387" s="115"/>
      <c r="L387" s="115"/>
      <c r="M387" s="115"/>
      <c r="N387" s="115"/>
      <c r="O387" s="115"/>
      <c r="P387" s="115"/>
    </row>
    <row r="388" spans="10:16" ht="12.5" x14ac:dyDescent="0.25">
      <c r="J388" s="115"/>
      <c r="K388" s="115"/>
      <c r="L388" s="115"/>
      <c r="M388" s="115"/>
      <c r="N388" s="115"/>
      <c r="O388" s="115"/>
      <c r="P388" s="115"/>
    </row>
    <row r="389" spans="10:16" ht="12.5" x14ac:dyDescent="0.25">
      <c r="J389" s="115"/>
      <c r="K389" s="115"/>
      <c r="L389" s="115"/>
      <c r="M389" s="115"/>
      <c r="N389" s="115"/>
      <c r="O389" s="115"/>
      <c r="P389" s="115"/>
    </row>
    <row r="390" spans="10:16" ht="12.5" x14ac:dyDescent="0.25">
      <c r="J390" s="115"/>
      <c r="K390" s="115"/>
      <c r="L390" s="115"/>
      <c r="M390" s="115"/>
      <c r="N390" s="115"/>
      <c r="O390" s="115"/>
      <c r="P390" s="115"/>
    </row>
    <row r="391" spans="10:16" ht="12.5" x14ac:dyDescent="0.25">
      <c r="J391" s="115"/>
      <c r="K391" s="115"/>
      <c r="L391" s="115"/>
      <c r="M391" s="115"/>
      <c r="N391" s="115"/>
      <c r="O391" s="115"/>
      <c r="P391" s="115"/>
    </row>
    <row r="392" spans="10:16" ht="12.5" x14ac:dyDescent="0.25">
      <c r="J392" s="115"/>
      <c r="K392" s="115"/>
      <c r="L392" s="115"/>
      <c r="M392" s="115"/>
      <c r="N392" s="115"/>
      <c r="O392" s="115"/>
      <c r="P392" s="115"/>
    </row>
    <row r="393" spans="10:16" ht="12.5" x14ac:dyDescent="0.25">
      <c r="J393" s="115"/>
      <c r="K393" s="115"/>
      <c r="L393" s="115"/>
      <c r="M393" s="115"/>
      <c r="N393" s="115"/>
      <c r="O393" s="115"/>
      <c r="P393" s="115"/>
    </row>
    <row r="394" spans="10:16" ht="12.5" x14ac:dyDescent="0.25">
      <c r="J394" s="115"/>
      <c r="K394" s="115"/>
      <c r="L394" s="115"/>
      <c r="M394" s="115"/>
      <c r="N394" s="115"/>
      <c r="O394" s="115"/>
      <c r="P394" s="115"/>
    </row>
    <row r="395" spans="10:16" ht="12.5" x14ac:dyDescent="0.25">
      <c r="J395" s="115"/>
      <c r="K395" s="115"/>
      <c r="L395" s="115"/>
      <c r="M395" s="115"/>
      <c r="N395" s="115"/>
      <c r="O395" s="115"/>
      <c r="P395" s="115"/>
    </row>
    <row r="396" spans="10:16" ht="12.5" x14ac:dyDescent="0.25">
      <c r="J396" s="115"/>
      <c r="K396" s="115"/>
      <c r="L396" s="115"/>
      <c r="M396" s="115"/>
      <c r="N396" s="115"/>
      <c r="O396" s="115"/>
      <c r="P396" s="115"/>
    </row>
    <row r="397" spans="10:16" ht="12.5" x14ac:dyDescent="0.25">
      <c r="J397" s="115"/>
      <c r="K397" s="115"/>
      <c r="L397" s="115"/>
      <c r="M397" s="115"/>
      <c r="N397" s="115"/>
      <c r="O397" s="115"/>
      <c r="P397" s="115"/>
    </row>
    <row r="398" spans="10:16" ht="12.5" x14ac:dyDescent="0.25">
      <c r="J398" s="115"/>
      <c r="K398" s="115"/>
      <c r="L398" s="115"/>
      <c r="M398" s="115"/>
      <c r="N398" s="115"/>
      <c r="O398" s="115"/>
      <c r="P398" s="115"/>
    </row>
    <row r="399" spans="10:16" ht="12.5" x14ac:dyDescent="0.25">
      <c r="J399" s="115"/>
      <c r="K399" s="115"/>
      <c r="L399" s="115"/>
      <c r="M399" s="115"/>
      <c r="N399" s="115"/>
      <c r="O399" s="115"/>
      <c r="P399" s="115"/>
    </row>
    <row r="400" spans="10:16" ht="12.5" x14ac:dyDescent="0.25">
      <c r="J400" s="115"/>
      <c r="K400" s="115"/>
      <c r="L400" s="115"/>
      <c r="M400" s="115"/>
      <c r="N400" s="115"/>
      <c r="O400" s="115"/>
      <c r="P400" s="115"/>
    </row>
    <row r="401" spans="10:16" ht="12.5" x14ac:dyDescent="0.25">
      <c r="J401" s="115"/>
      <c r="K401" s="115"/>
      <c r="L401" s="115"/>
      <c r="M401" s="115"/>
      <c r="N401" s="115"/>
      <c r="O401" s="115"/>
      <c r="P401" s="115"/>
    </row>
    <row r="402" spans="10:16" ht="12.5" x14ac:dyDescent="0.25">
      <c r="J402" s="115"/>
      <c r="K402" s="115"/>
      <c r="L402" s="115"/>
      <c r="M402" s="115"/>
      <c r="N402" s="115"/>
      <c r="O402" s="115"/>
      <c r="P402" s="115"/>
    </row>
    <row r="403" spans="10:16" ht="12.5" x14ac:dyDescent="0.25">
      <c r="J403" s="115"/>
      <c r="K403" s="115"/>
      <c r="L403" s="115"/>
      <c r="M403" s="115"/>
      <c r="N403" s="115"/>
      <c r="O403" s="115"/>
      <c r="P403" s="115"/>
    </row>
    <row r="404" spans="10:16" ht="12.5" x14ac:dyDescent="0.25">
      <c r="J404" s="115"/>
      <c r="K404" s="115"/>
      <c r="L404" s="115"/>
      <c r="M404" s="115"/>
      <c r="N404" s="115"/>
      <c r="O404" s="115"/>
      <c r="P404" s="115"/>
    </row>
    <row r="405" spans="10:16" ht="12.5" x14ac:dyDescent="0.25">
      <c r="J405" s="115"/>
      <c r="K405" s="115"/>
      <c r="L405" s="115"/>
      <c r="M405" s="115"/>
      <c r="N405" s="115"/>
      <c r="O405" s="115"/>
      <c r="P405" s="115"/>
    </row>
    <row r="406" spans="10:16" ht="12.5" x14ac:dyDescent="0.25">
      <c r="J406" s="115"/>
      <c r="K406" s="115"/>
      <c r="L406" s="115"/>
      <c r="M406" s="115"/>
      <c r="N406" s="115"/>
      <c r="O406" s="115"/>
      <c r="P406" s="115"/>
    </row>
    <row r="407" spans="10:16" ht="12.5" x14ac:dyDescent="0.25">
      <c r="J407" s="115"/>
      <c r="K407" s="115"/>
      <c r="L407" s="115"/>
      <c r="M407" s="115"/>
      <c r="N407" s="115"/>
      <c r="O407" s="115"/>
      <c r="P407" s="115"/>
    </row>
    <row r="408" spans="10:16" ht="12.5" x14ac:dyDescent="0.25">
      <c r="J408" s="115"/>
      <c r="K408" s="115"/>
      <c r="L408" s="115"/>
      <c r="M408" s="115"/>
      <c r="N408" s="115"/>
      <c r="O408" s="115"/>
      <c r="P408" s="115"/>
    </row>
    <row r="409" spans="10:16" ht="12.5" x14ac:dyDescent="0.25">
      <c r="J409" s="115"/>
      <c r="K409" s="115"/>
      <c r="L409" s="115"/>
      <c r="M409" s="115"/>
      <c r="N409" s="115"/>
      <c r="O409" s="115"/>
      <c r="P409" s="115"/>
    </row>
    <row r="410" spans="10:16" ht="12.5" x14ac:dyDescent="0.25">
      <c r="J410" s="115"/>
      <c r="K410" s="115"/>
      <c r="L410" s="115"/>
      <c r="M410" s="115"/>
      <c r="N410" s="115"/>
      <c r="O410" s="115"/>
      <c r="P410" s="115"/>
    </row>
    <row r="411" spans="10:16" ht="12.5" x14ac:dyDescent="0.25">
      <c r="J411" s="115"/>
      <c r="K411" s="115"/>
      <c r="L411" s="115"/>
      <c r="M411" s="115"/>
      <c r="N411" s="115"/>
      <c r="O411" s="115"/>
      <c r="P411" s="115"/>
    </row>
    <row r="412" spans="10:16" ht="12.5" x14ac:dyDescent="0.25">
      <c r="J412" s="115"/>
      <c r="K412" s="115"/>
      <c r="L412" s="115"/>
      <c r="M412" s="115"/>
      <c r="N412" s="115"/>
      <c r="O412" s="115"/>
      <c r="P412" s="115"/>
    </row>
    <row r="413" spans="10:16" ht="12.5" x14ac:dyDescent="0.25">
      <c r="J413" s="115"/>
      <c r="K413" s="115"/>
      <c r="L413" s="115"/>
      <c r="M413" s="115"/>
      <c r="N413" s="115"/>
      <c r="O413" s="115"/>
      <c r="P413" s="115"/>
    </row>
    <row r="414" spans="10:16" ht="12.5" x14ac:dyDescent="0.25">
      <c r="J414" s="115"/>
      <c r="K414" s="115"/>
      <c r="L414" s="115"/>
      <c r="M414" s="115"/>
      <c r="N414" s="115"/>
      <c r="O414" s="115"/>
      <c r="P414" s="115"/>
    </row>
    <row r="415" spans="10:16" ht="12.5" x14ac:dyDescent="0.25">
      <c r="J415" s="115"/>
      <c r="K415" s="115"/>
      <c r="L415" s="115"/>
      <c r="M415" s="115"/>
      <c r="N415" s="115"/>
      <c r="O415" s="115"/>
      <c r="P415" s="115"/>
    </row>
    <row r="416" spans="10:16" ht="12.5" x14ac:dyDescent="0.25">
      <c r="J416" s="115"/>
      <c r="K416" s="115"/>
      <c r="L416" s="115"/>
      <c r="M416" s="115"/>
      <c r="N416" s="115"/>
      <c r="O416" s="115"/>
      <c r="P416" s="115"/>
    </row>
    <row r="417" spans="10:16" ht="12.5" x14ac:dyDescent="0.25">
      <c r="J417" s="115"/>
      <c r="K417" s="115"/>
      <c r="L417" s="115"/>
      <c r="M417" s="115"/>
      <c r="N417" s="115"/>
      <c r="O417" s="115"/>
      <c r="P417" s="115"/>
    </row>
    <row r="418" spans="10:16" ht="12.5" x14ac:dyDescent="0.25">
      <c r="J418" s="115"/>
      <c r="K418" s="115"/>
      <c r="L418" s="115"/>
      <c r="M418" s="115"/>
      <c r="N418" s="115"/>
      <c r="O418" s="115"/>
      <c r="P418" s="115"/>
    </row>
    <row r="419" spans="10:16" ht="12.5" x14ac:dyDescent="0.25">
      <c r="J419" s="115"/>
      <c r="K419" s="115"/>
      <c r="L419" s="115"/>
      <c r="M419" s="115"/>
      <c r="N419" s="115"/>
      <c r="O419" s="115"/>
      <c r="P419" s="115"/>
    </row>
    <row r="420" spans="10:16" ht="12.5" x14ac:dyDescent="0.25">
      <c r="J420" s="115"/>
      <c r="K420" s="115"/>
      <c r="L420" s="115"/>
      <c r="M420" s="115"/>
      <c r="N420" s="115"/>
      <c r="O420" s="115"/>
      <c r="P420" s="115"/>
    </row>
    <row r="421" spans="10:16" ht="12.5" x14ac:dyDescent="0.25">
      <c r="J421" s="115"/>
      <c r="K421" s="115"/>
      <c r="L421" s="115"/>
      <c r="M421" s="115"/>
      <c r="N421" s="115"/>
      <c r="O421" s="115"/>
      <c r="P421" s="115"/>
    </row>
    <row r="422" spans="10:16" ht="12.5" x14ac:dyDescent="0.25">
      <c r="J422" s="115"/>
      <c r="K422" s="115"/>
      <c r="L422" s="115"/>
      <c r="M422" s="115"/>
      <c r="N422" s="115"/>
      <c r="O422" s="115"/>
      <c r="P422" s="115"/>
    </row>
    <row r="423" spans="10:16" ht="12.5" x14ac:dyDescent="0.25">
      <c r="J423" s="115"/>
      <c r="K423" s="115"/>
      <c r="L423" s="115"/>
      <c r="M423" s="115"/>
      <c r="N423" s="115"/>
      <c r="O423" s="115"/>
      <c r="P423" s="115"/>
    </row>
    <row r="424" spans="10:16" ht="12.5" x14ac:dyDescent="0.25">
      <c r="J424" s="115"/>
      <c r="K424" s="115"/>
      <c r="L424" s="115"/>
      <c r="M424" s="115"/>
      <c r="N424" s="115"/>
      <c r="O424" s="115"/>
      <c r="P424" s="115"/>
    </row>
    <row r="425" spans="10:16" ht="12.5" x14ac:dyDescent="0.25">
      <c r="J425" s="115"/>
      <c r="K425" s="115"/>
      <c r="L425" s="115"/>
      <c r="M425" s="115"/>
      <c r="N425" s="115"/>
      <c r="O425" s="115"/>
      <c r="P425" s="115"/>
    </row>
    <row r="426" spans="10:16" ht="12.5" x14ac:dyDescent="0.25">
      <c r="J426" s="115"/>
      <c r="K426" s="115"/>
      <c r="L426" s="115"/>
      <c r="M426" s="115"/>
      <c r="N426" s="115"/>
      <c r="O426" s="115"/>
      <c r="P426" s="115"/>
    </row>
    <row r="427" spans="10:16" ht="12.5" x14ac:dyDescent="0.25">
      <c r="J427" s="115"/>
      <c r="K427" s="115"/>
      <c r="L427" s="115"/>
      <c r="M427" s="115"/>
      <c r="N427" s="115"/>
      <c r="O427" s="115"/>
      <c r="P427" s="115"/>
    </row>
    <row r="428" spans="10:16" ht="12.5" x14ac:dyDescent="0.25">
      <c r="J428" s="115"/>
      <c r="K428" s="115"/>
      <c r="L428" s="115"/>
      <c r="M428" s="115"/>
      <c r="N428" s="115"/>
      <c r="O428" s="115"/>
      <c r="P428" s="115"/>
    </row>
    <row r="429" spans="10:16" ht="12.5" x14ac:dyDescent="0.25">
      <c r="J429" s="115"/>
      <c r="K429" s="115"/>
      <c r="L429" s="115"/>
      <c r="M429" s="115"/>
      <c r="N429" s="115"/>
      <c r="O429" s="115"/>
      <c r="P429" s="115"/>
    </row>
    <row r="430" spans="10:16" ht="12.5" x14ac:dyDescent="0.25">
      <c r="J430" s="115"/>
      <c r="K430" s="115"/>
      <c r="L430" s="115"/>
      <c r="M430" s="115"/>
      <c r="N430" s="115"/>
      <c r="O430" s="115"/>
      <c r="P430" s="115"/>
    </row>
    <row r="431" spans="10:16" ht="12.5" x14ac:dyDescent="0.25">
      <c r="J431" s="115"/>
      <c r="K431" s="115"/>
      <c r="L431" s="115"/>
      <c r="M431" s="115"/>
      <c r="N431" s="115"/>
      <c r="O431" s="115"/>
      <c r="P431" s="115"/>
    </row>
    <row r="432" spans="10:16" ht="12.5" x14ac:dyDescent="0.25">
      <c r="J432" s="115"/>
      <c r="K432" s="115"/>
      <c r="L432" s="115"/>
      <c r="M432" s="115"/>
      <c r="N432" s="115"/>
      <c r="O432" s="115"/>
      <c r="P432" s="115"/>
    </row>
    <row r="433" spans="10:16" ht="12.5" x14ac:dyDescent="0.25">
      <c r="J433" s="115"/>
      <c r="K433" s="115"/>
      <c r="L433" s="115"/>
      <c r="M433" s="115"/>
      <c r="N433" s="115"/>
      <c r="O433" s="115"/>
      <c r="P433" s="115"/>
    </row>
    <row r="434" spans="10:16" ht="12.5" x14ac:dyDescent="0.25">
      <c r="J434" s="115"/>
      <c r="K434" s="115"/>
      <c r="L434" s="115"/>
      <c r="M434" s="115"/>
      <c r="N434" s="115"/>
      <c r="O434" s="115"/>
      <c r="P434" s="115"/>
    </row>
    <row r="435" spans="10:16" ht="12.5" x14ac:dyDescent="0.25">
      <c r="J435" s="115"/>
      <c r="K435" s="115"/>
      <c r="L435" s="115"/>
      <c r="M435" s="115"/>
      <c r="N435" s="115"/>
      <c r="O435" s="115"/>
      <c r="P435" s="115"/>
    </row>
    <row r="436" spans="10:16" ht="12.5" x14ac:dyDescent="0.25">
      <c r="J436" s="115"/>
      <c r="K436" s="115"/>
      <c r="L436" s="115"/>
      <c r="M436" s="115"/>
      <c r="N436" s="115"/>
      <c r="O436" s="115"/>
      <c r="P436" s="115"/>
    </row>
    <row r="437" spans="10:16" ht="12.5" x14ac:dyDescent="0.25">
      <c r="J437" s="115"/>
      <c r="K437" s="115"/>
      <c r="L437" s="115"/>
      <c r="M437" s="115"/>
      <c r="N437" s="115"/>
      <c r="O437" s="115"/>
      <c r="P437" s="115"/>
    </row>
    <row r="438" spans="10:16" ht="12.5" x14ac:dyDescent="0.25">
      <c r="J438" s="115"/>
      <c r="K438" s="115"/>
      <c r="L438" s="115"/>
      <c r="M438" s="115"/>
      <c r="N438" s="115"/>
      <c r="O438" s="115"/>
      <c r="P438" s="115"/>
    </row>
    <row r="439" spans="10:16" ht="12.5" x14ac:dyDescent="0.25">
      <c r="J439" s="115"/>
      <c r="K439" s="115"/>
      <c r="L439" s="115"/>
      <c r="M439" s="115"/>
      <c r="N439" s="115"/>
      <c r="O439" s="115"/>
      <c r="P439" s="115"/>
    </row>
    <row r="440" spans="10:16" ht="12.5" x14ac:dyDescent="0.25">
      <c r="J440" s="115"/>
      <c r="K440" s="115"/>
      <c r="L440" s="115"/>
      <c r="M440" s="115"/>
      <c r="N440" s="115"/>
      <c r="O440" s="115"/>
      <c r="P440" s="115"/>
    </row>
    <row r="441" spans="10:16" ht="12.5" x14ac:dyDescent="0.25">
      <c r="J441" s="115"/>
      <c r="K441" s="115"/>
      <c r="L441" s="115"/>
      <c r="M441" s="115"/>
      <c r="N441" s="115"/>
      <c r="O441" s="115"/>
      <c r="P441" s="115"/>
    </row>
    <row r="442" spans="10:16" ht="12.5" x14ac:dyDescent="0.25">
      <c r="J442" s="115"/>
      <c r="K442" s="115"/>
      <c r="L442" s="115"/>
      <c r="M442" s="115"/>
      <c r="N442" s="115"/>
      <c r="O442" s="115"/>
      <c r="P442" s="115"/>
    </row>
    <row r="443" spans="10:16" ht="12.5" x14ac:dyDescent="0.25">
      <c r="J443" s="115"/>
      <c r="K443" s="115"/>
      <c r="L443" s="115"/>
      <c r="M443" s="115"/>
      <c r="N443" s="115"/>
      <c r="O443" s="115"/>
      <c r="P443" s="115"/>
    </row>
    <row r="444" spans="10:16" ht="12.5" x14ac:dyDescent="0.25">
      <c r="J444" s="115"/>
      <c r="K444" s="115"/>
      <c r="L444" s="115"/>
      <c r="M444" s="115"/>
      <c r="N444" s="115"/>
      <c r="O444" s="115"/>
      <c r="P444" s="115"/>
    </row>
    <row r="445" spans="10:16" ht="12.5" x14ac:dyDescent="0.25">
      <c r="J445" s="115"/>
      <c r="K445" s="115"/>
      <c r="L445" s="115"/>
      <c r="M445" s="115"/>
      <c r="N445" s="115"/>
      <c r="O445" s="115"/>
      <c r="P445" s="115"/>
    </row>
    <row r="446" spans="10:16" ht="12.5" x14ac:dyDescent="0.25">
      <c r="J446" s="115"/>
      <c r="K446" s="115"/>
      <c r="L446" s="115"/>
      <c r="M446" s="115"/>
      <c r="N446" s="115"/>
      <c r="O446" s="115"/>
      <c r="P446" s="115"/>
    </row>
    <row r="447" spans="10:16" ht="12.5" x14ac:dyDescent="0.25">
      <c r="J447" s="115"/>
      <c r="K447" s="115"/>
      <c r="L447" s="115"/>
      <c r="M447" s="115"/>
      <c r="N447" s="115"/>
      <c r="O447" s="115"/>
      <c r="P447" s="115"/>
    </row>
    <row r="448" spans="10:16" ht="12.5" x14ac:dyDescent="0.25">
      <c r="J448" s="115"/>
      <c r="K448" s="115"/>
      <c r="L448" s="115"/>
      <c r="M448" s="115"/>
      <c r="N448" s="115"/>
      <c r="O448" s="115"/>
      <c r="P448" s="115"/>
    </row>
    <row r="449" spans="10:16" ht="12.5" x14ac:dyDescent="0.25">
      <c r="J449" s="115"/>
      <c r="K449" s="115"/>
      <c r="L449" s="115"/>
      <c r="M449" s="115"/>
      <c r="N449" s="115"/>
      <c r="O449" s="115"/>
      <c r="P449" s="115"/>
    </row>
    <row r="450" spans="10:16" ht="12.5" x14ac:dyDescent="0.25">
      <c r="J450" s="115"/>
      <c r="K450" s="115"/>
      <c r="L450" s="115"/>
      <c r="M450" s="115"/>
      <c r="N450" s="115"/>
      <c r="O450" s="115"/>
      <c r="P450" s="115"/>
    </row>
    <row r="451" spans="10:16" ht="12.5" x14ac:dyDescent="0.25">
      <c r="J451" s="115"/>
      <c r="K451" s="115"/>
      <c r="L451" s="115"/>
      <c r="M451" s="115"/>
      <c r="N451" s="115"/>
      <c r="O451" s="115"/>
      <c r="P451" s="115"/>
    </row>
    <row r="452" spans="10:16" ht="12.5" x14ac:dyDescent="0.25">
      <c r="J452" s="115"/>
      <c r="K452" s="115"/>
      <c r="L452" s="115"/>
      <c r="M452" s="115"/>
      <c r="N452" s="115"/>
      <c r="O452" s="115"/>
      <c r="P452" s="115"/>
    </row>
    <row r="453" spans="10:16" ht="12.5" x14ac:dyDescent="0.25">
      <c r="J453" s="115"/>
      <c r="K453" s="115"/>
      <c r="L453" s="115"/>
      <c r="M453" s="115"/>
      <c r="N453" s="115"/>
      <c r="O453" s="115"/>
      <c r="P453" s="115"/>
    </row>
    <row r="454" spans="10:16" ht="12.5" x14ac:dyDescent="0.25">
      <c r="J454" s="115"/>
      <c r="K454" s="115"/>
      <c r="L454" s="115"/>
      <c r="M454" s="115"/>
      <c r="N454" s="115"/>
      <c r="O454" s="115"/>
      <c r="P454" s="115"/>
    </row>
    <row r="455" spans="10:16" ht="12.5" x14ac:dyDescent="0.25">
      <c r="J455" s="115"/>
      <c r="K455" s="115"/>
      <c r="L455" s="115"/>
      <c r="M455" s="115"/>
      <c r="N455" s="115"/>
      <c r="O455" s="115"/>
      <c r="P455" s="115"/>
    </row>
    <row r="456" spans="10:16" ht="12.5" x14ac:dyDescent="0.25">
      <c r="J456" s="115"/>
      <c r="K456" s="115"/>
      <c r="L456" s="115"/>
      <c r="M456" s="115"/>
      <c r="N456" s="115"/>
      <c r="O456" s="115"/>
      <c r="P456" s="115"/>
    </row>
    <row r="457" spans="10:16" ht="12.5" x14ac:dyDescent="0.25">
      <c r="J457" s="115"/>
      <c r="K457" s="115"/>
      <c r="L457" s="115"/>
      <c r="M457" s="115"/>
      <c r="N457" s="115"/>
      <c r="O457" s="115"/>
      <c r="P457" s="115"/>
    </row>
    <row r="458" spans="10:16" ht="12.5" x14ac:dyDescent="0.25">
      <c r="J458" s="115"/>
      <c r="K458" s="115"/>
      <c r="L458" s="115"/>
      <c r="M458" s="115"/>
      <c r="N458" s="115"/>
      <c r="O458" s="115"/>
      <c r="P458" s="115"/>
    </row>
    <row r="459" spans="10:16" ht="12.5" x14ac:dyDescent="0.25">
      <c r="J459" s="115"/>
      <c r="K459" s="115"/>
      <c r="L459" s="115"/>
      <c r="M459" s="115"/>
      <c r="N459" s="115"/>
      <c r="O459" s="115"/>
      <c r="P459" s="115"/>
    </row>
    <row r="460" spans="10:16" ht="12.5" x14ac:dyDescent="0.25">
      <c r="J460" s="115"/>
      <c r="K460" s="115"/>
      <c r="L460" s="115"/>
      <c r="M460" s="115"/>
      <c r="N460" s="115"/>
      <c r="O460" s="115"/>
      <c r="P460" s="115"/>
    </row>
    <row r="461" spans="10:16" ht="12.5" x14ac:dyDescent="0.25">
      <c r="J461" s="115"/>
      <c r="K461" s="115"/>
      <c r="L461" s="115"/>
      <c r="M461" s="115"/>
      <c r="N461" s="115"/>
      <c r="O461" s="115"/>
      <c r="P461" s="115"/>
    </row>
    <row r="462" spans="10:16" ht="12.5" x14ac:dyDescent="0.25">
      <c r="J462" s="115"/>
      <c r="K462" s="115"/>
      <c r="L462" s="115"/>
      <c r="M462" s="115"/>
      <c r="N462" s="115"/>
      <c r="O462" s="115"/>
      <c r="P462" s="115"/>
    </row>
    <row r="463" spans="10:16" ht="12.5" x14ac:dyDescent="0.25">
      <c r="J463" s="115"/>
      <c r="K463" s="115"/>
      <c r="L463" s="115"/>
      <c r="M463" s="115"/>
      <c r="N463" s="115"/>
      <c r="O463" s="115"/>
      <c r="P463" s="115"/>
    </row>
    <row r="464" spans="10:16" ht="12.5" x14ac:dyDescent="0.25">
      <c r="J464" s="115"/>
      <c r="K464" s="115"/>
      <c r="L464" s="115"/>
      <c r="M464" s="115"/>
      <c r="N464" s="115"/>
      <c r="O464" s="115"/>
      <c r="P464" s="115"/>
    </row>
    <row r="465" spans="10:16" ht="12.5" x14ac:dyDescent="0.25">
      <c r="J465" s="115"/>
      <c r="K465" s="115"/>
      <c r="L465" s="115"/>
      <c r="M465" s="115"/>
      <c r="N465" s="115"/>
      <c r="O465" s="115"/>
      <c r="P465" s="115"/>
    </row>
    <row r="466" spans="10:16" ht="12.5" x14ac:dyDescent="0.25">
      <c r="J466" s="115"/>
      <c r="K466" s="115"/>
      <c r="L466" s="115"/>
      <c r="M466" s="115"/>
      <c r="N466" s="115"/>
      <c r="O466" s="115"/>
      <c r="P466" s="115"/>
    </row>
    <row r="467" spans="10:16" ht="12.5" x14ac:dyDescent="0.25">
      <c r="J467" s="115"/>
      <c r="K467" s="115"/>
      <c r="L467" s="115"/>
      <c r="M467" s="115"/>
      <c r="N467" s="115"/>
      <c r="O467" s="115"/>
      <c r="P467" s="115"/>
    </row>
    <row r="468" spans="10:16" ht="12.5" x14ac:dyDescent="0.25">
      <c r="J468" s="115"/>
      <c r="K468" s="115"/>
      <c r="L468" s="115"/>
      <c r="M468" s="115"/>
      <c r="N468" s="115"/>
      <c r="O468" s="115"/>
      <c r="P468" s="115"/>
    </row>
    <row r="469" spans="10:16" ht="12.5" x14ac:dyDescent="0.25">
      <c r="J469" s="115"/>
      <c r="K469" s="115"/>
      <c r="L469" s="115"/>
      <c r="M469" s="115"/>
      <c r="N469" s="115"/>
      <c r="O469" s="115"/>
      <c r="P469" s="115"/>
    </row>
    <row r="470" spans="10:16" ht="12.5" x14ac:dyDescent="0.25">
      <c r="J470" s="115"/>
      <c r="K470" s="115"/>
      <c r="L470" s="115"/>
      <c r="M470" s="115"/>
      <c r="N470" s="115"/>
      <c r="O470" s="115"/>
      <c r="P470" s="115"/>
    </row>
    <row r="471" spans="10:16" ht="12.5" x14ac:dyDescent="0.25">
      <c r="J471" s="115"/>
      <c r="K471" s="115"/>
      <c r="L471" s="115"/>
      <c r="M471" s="115"/>
      <c r="N471" s="115"/>
      <c r="O471" s="115"/>
      <c r="P471" s="115"/>
    </row>
    <row r="472" spans="10:16" ht="12.5" x14ac:dyDescent="0.25">
      <c r="J472" s="115"/>
      <c r="K472" s="115"/>
      <c r="L472" s="115"/>
      <c r="M472" s="115"/>
      <c r="N472" s="115"/>
      <c r="O472" s="115"/>
      <c r="P472" s="115"/>
    </row>
    <row r="473" spans="10:16" ht="12.5" x14ac:dyDescent="0.25">
      <c r="J473" s="115"/>
      <c r="K473" s="115"/>
      <c r="L473" s="115"/>
      <c r="M473" s="115"/>
      <c r="N473" s="115"/>
      <c r="O473" s="115"/>
      <c r="P473" s="115"/>
    </row>
    <row r="474" spans="10:16" ht="12.5" x14ac:dyDescent="0.25">
      <c r="J474" s="115"/>
      <c r="K474" s="115"/>
      <c r="L474" s="115"/>
      <c r="M474" s="115"/>
      <c r="N474" s="115"/>
      <c r="O474" s="115"/>
      <c r="P474" s="115"/>
    </row>
    <row r="475" spans="10:16" ht="12.5" x14ac:dyDescent="0.25">
      <c r="J475" s="115"/>
      <c r="K475" s="115"/>
      <c r="L475" s="115"/>
      <c r="M475" s="115"/>
      <c r="N475" s="115"/>
      <c r="O475" s="115"/>
      <c r="P475" s="115"/>
    </row>
    <row r="476" spans="10:16" ht="12.5" x14ac:dyDescent="0.25">
      <c r="J476" s="115"/>
      <c r="K476" s="115"/>
      <c r="L476" s="115"/>
      <c r="M476" s="115"/>
      <c r="N476" s="115"/>
      <c r="O476" s="115"/>
      <c r="P476" s="115"/>
    </row>
    <row r="477" spans="10:16" ht="12.5" x14ac:dyDescent="0.25">
      <c r="J477" s="115"/>
      <c r="K477" s="115"/>
      <c r="L477" s="115"/>
      <c r="M477" s="115"/>
      <c r="N477" s="115"/>
      <c r="O477" s="115"/>
      <c r="P477" s="115"/>
    </row>
    <row r="478" spans="10:16" ht="12.5" x14ac:dyDescent="0.25">
      <c r="J478" s="115"/>
      <c r="K478" s="115"/>
      <c r="L478" s="115"/>
      <c r="M478" s="115"/>
      <c r="N478" s="115"/>
      <c r="O478" s="115"/>
      <c r="P478" s="115"/>
    </row>
    <row r="479" spans="10:16" ht="12.5" x14ac:dyDescent="0.25">
      <c r="J479" s="115"/>
      <c r="K479" s="115"/>
      <c r="L479" s="115"/>
      <c r="M479" s="115"/>
      <c r="N479" s="115"/>
      <c r="O479" s="115"/>
      <c r="P479" s="115"/>
    </row>
    <row r="480" spans="10:16" ht="12.5" x14ac:dyDescent="0.25">
      <c r="J480" s="115"/>
      <c r="K480" s="115"/>
      <c r="L480" s="115"/>
      <c r="M480" s="115"/>
      <c r="N480" s="115"/>
      <c r="O480" s="115"/>
      <c r="P480" s="115"/>
    </row>
    <row r="481" spans="10:16" ht="12.5" x14ac:dyDescent="0.25">
      <c r="J481" s="115"/>
      <c r="K481" s="115"/>
      <c r="L481" s="115"/>
      <c r="M481" s="115"/>
      <c r="N481" s="115"/>
      <c r="O481" s="115"/>
      <c r="P481" s="115"/>
    </row>
    <row r="482" spans="10:16" ht="12.5" x14ac:dyDescent="0.25">
      <c r="J482" s="115"/>
      <c r="K482" s="115"/>
      <c r="L482" s="115"/>
      <c r="M482" s="115"/>
      <c r="N482" s="115"/>
      <c r="O482" s="115"/>
      <c r="P482" s="115"/>
    </row>
    <row r="483" spans="10:16" ht="12.5" x14ac:dyDescent="0.25">
      <c r="J483" s="115"/>
      <c r="K483" s="115"/>
      <c r="L483" s="115"/>
      <c r="M483" s="115"/>
      <c r="N483" s="115"/>
      <c r="O483" s="115"/>
      <c r="P483" s="115"/>
    </row>
    <row r="484" spans="10:16" ht="12.5" x14ac:dyDescent="0.25">
      <c r="J484" s="115"/>
      <c r="K484" s="115"/>
      <c r="L484" s="115"/>
      <c r="M484" s="115"/>
      <c r="N484" s="115"/>
      <c r="O484" s="115"/>
      <c r="P484" s="115"/>
    </row>
    <row r="485" spans="10:16" ht="12.5" x14ac:dyDescent="0.25">
      <c r="J485" s="115"/>
      <c r="K485" s="115"/>
      <c r="L485" s="115"/>
      <c r="M485" s="115"/>
      <c r="N485" s="115"/>
      <c r="O485" s="115"/>
      <c r="P485" s="115"/>
    </row>
    <row r="486" spans="10:16" ht="12.5" x14ac:dyDescent="0.25">
      <c r="J486" s="115"/>
      <c r="K486" s="115"/>
      <c r="L486" s="115"/>
      <c r="M486" s="115"/>
      <c r="N486" s="115"/>
      <c r="O486" s="115"/>
      <c r="P486" s="115"/>
    </row>
    <row r="487" spans="10:16" ht="12.5" x14ac:dyDescent="0.25">
      <c r="J487" s="115"/>
      <c r="K487" s="115"/>
      <c r="L487" s="115"/>
      <c r="M487" s="115"/>
      <c r="N487" s="115"/>
      <c r="O487" s="115"/>
      <c r="P487" s="115"/>
    </row>
    <row r="488" spans="10:16" ht="12.5" x14ac:dyDescent="0.25">
      <c r="J488" s="115"/>
      <c r="K488" s="115"/>
      <c r="L488" s="115"/>
      <c r="M488" s="115"/>
      <c r="N488" s="115"/>
      <c r="O488" s="115"/>
      <c r="P488" s="115"/>
    </row>
    <row r="489" spans="10:16" ht="12.5" x14ac:dyDescent="0.25">
      <c r="J489" s="115"/>
      <c r="K489" s="115"/>
      <c r="L489" s="115"/>
      <c r="M489" s="115"/>
      <c r="N489" s="115"/>
      <c r="O489" s="115"/>
      <c r="P489" s="115"/>
    </row>
    <row r="490" spans="10:16" ht="12.5" x14ac:dyDescent="0.25">
      <c r="J490" s="115"/>
      <c r="K490" s="115"/>
      <c r="L490" s="115"/>
      <c r="M490" s="115"/>
      <c r="N490" s="115"/>
      <c r="O490" s="115"/>
      <c r="P490" s="115"/>
    </row>
    <row r="491" spans="10:16" ht="12.5" x14ac:dyDescent="0.25">
      <c r="J491" s="115"/>
      <c r="K491" s="115"/>
      <c r="L491" s="115"/>
      <c r="M491" s="115"/>
      <c r="N491" s="115"/>
      <c r="O491" s="115"/>
      <c r="P491" s="115"/>
    </row>
    <row r="492" spans="10:16" ht="12.5" x14ac:dyDescent="0.25">
      <c r="J492" s="115"/>
      <c r="K492" s="115"/>
      <c r="L492" s="115"/>
      <c r="M492" s="115"/>
      <c r="N492" s="115"/>
      <c r="O492" s="115"/>
      <c r="P492" s="115"/>
    </row>
    <row r="493" spans="10:16" ht="12.5" x14ac:dyDescent="0.25">
      <c r="J493" s="115"/>
      <c r="K493" s="115"/>
      <c r="L493" s="115"/>
      <c r="M493" s="115"/>
      <c r="N493" s="115"/>
      <c r="O493" s="115"/>
      <c r="P493" s="115"/>
    </row>
    <row r="494" spans="10:16" ht="12.5" x14ac:dyDescent="0.25">
      <c r="J494" s="115"/>
      <c r="K494" s="115"/>
      <c r="L494" s="115"/>
      <c r="M494" s="115"/>
      <c r="N494" s="115"/>
      <c r="O494" s="115"/>
      <c r="P494" s="115"/>
    </row>
    <row r="495" spans="10:16" ht="12.5" x14ac:dyDescent="0.25">
      <c r="J495" s="115"/>
      <c r="K495" s="115"/>
      <c r="L495" s="115"/>
      <c r="M495" s="115"/>
      <c r="N495" s="115"/>
      <c r="O495" s="115"/>
      <c r="P495" s="115"/>
    </row>
    <row r="496" spans="10:16" ht="12.5" x14ac:dyDescent="0.25">
      <c r="J496" s="115"/>
      <c r="K496" s="115"/>
      <c r="L496" s="115"/>
      <c r="M496" s="115"/>
      <c r="N496" s="115"/>
      <c r="O496" s="115"/>
      <c r="P496" s="115"/>
    </row>
    <row r="497" spans="10:16" ht="12.5" x14ac:dyDescent="0.25">
      <c r="J497" s="115"/>
      <c r="K497" s="115"/>
      <c r="L497" s="115"/>
      <c r="M497" s="115"/>
      <c r="N497" s="115"/>
      <c r="O497" s="115"/>
      <c r="P497" s="115"/>
    </row>
    <row r="498" spans="10:16" ht="12.5" x14ac:dyDescent="0.25">
      <c r="J498" s="115"/>
      <c r="K498" s="115"/>
      <c r="L498" s="115"/>
      <c r="M498" s="115"/>
      <c r="N498" s="115"/>
      <c r="O498" s="115"/>
      <c r="P498" s="115"/>
    </row>
    <row r="499" spans="10:16" ht="12.5" x14ac:dyDescent="0.25">
      <c r="J499" s="115"/>
      <c r="K499" s="115"/>
      <c r="L499" s="115"/>
      <c r="M499" s="115"/>
      <c r="N499" s="115"/>
      <c r="O499" s="115"/>
      <c r="P499" s="115"/>
    </row>
    <row r="500" spans="10:16" ht="12.5" x14ac:dyDescent="0.25">
      <c r="J500" s="115"/>
      <c r="K500" s="115"/>
      <c r="L500" s="115"/>
      <c r="M500" s="115"/>
      <c r="N500" s="115"/>
      <c r="O500" s="115"/>
      <c r="P500" s="115"/>
    </row>
    <row r="501" spans="10:16" ht="12.5" x14ac:dyDescent="0.25">
      <c r="J501" s="115"/>
      <c r="K501" s="115"/>
      <c r="L501" s="115"/>
      <c r="M501" s="115"/>
      <c r="N501" s="115"/>
      <c r="O501" s="115"/>
      <c r="P501" s="115"/>
    </row>
    <row r="502" spans="10:16" ht="12.5" x14ac:dyDescent="0.25">
      <c r="J502" s="115"/>
      <c r="K502" s="115"/>
      <c r="L502" s="115"/>
      <c r="M502" s="115"/>
      <c r="N502" s="115"/>
      <c r="O502" s="115"/>
      <c r="P502" s="115"/>
    </row>
    <row r="503" spans="10:16" ht="12.5" x14ac:dyDescent="0.25">
      <c r="J503" s="115"/>
      <c r="K503" s="115"/>
      <c r="L503" s="115"/>
      <c r="M503" s="115"/>
      <c r="N503" s="115"/>
      <c r="O503" s="115"/>
      <c r="P503" s="115"/>
    </row>
    <row r="504" spans="10:16" ht="12.5" x14ac:dyDescent="0.25">
      <c r="J504" s="115"/>
      <c r="K504" s="115"/>
      <c r="L504" s="115"/>
      <c r="M504" s="115"/>
      <c r="N504" s="115"/>
      <c r="O504" s="115"/>
      <c r="P504" s="115"/>
    </row>
    <row r="505" spans="10:16" ht="12.5" x14ac:dyDescent="0.25">
      <c r="J505" s="115"/>
      <c r="K505" s="115"/>
      <c r="L505" s="115"/>
      <c r="M505" s="115"/>
      <c r="N505" s="115"/>
      <c r="O505" s="115"/>
      <c r="P505" s="115"/>
    </row>
    <row r="506" spans="10:16" ht="12.5" x14ac:dyDescent="0.25">
      <c r="J506" s="115"/>
      <c r="K506" s="115"/>
      <c r="L506" s="115"/>
      <c r="M506" s="115"/>
      <c r="N506" s="115"/>
      <c r="O506" s="115"/>
      <c r="P506" s="115"/>
    </row>
    <row r="507" spans="10:16" ht="12.5" x14ac:dyDescent="0.25">
      <c r="J507" s="115"/>
      <c r="K507" s="115"/>
      <c r="L507" s="115"/>
      <c r="M507" s="115"/>
      <c r="N507" s="115"/>
      <c r="O507" s="115"/>
      <c r="P507" s="115"/>
    </row>
    <row r="508" spans="10:16" ht="12.5" x14ac:dyDescent="0.25">
      <c r="J508" s="115"/>
      <c r="K508" s="115"/>
      <c r="L508" s="115"/>
      <c r="M508" s="115"/>
      <c r="N508" s="115"/>
      <c r="O508" s="115"/>
      <c r="P508" s="115"/>
    </row>
    <row r="509" spans="10:16" ht="12.5" x14ac:dyDescent="0.25">
      <c r="J509" s="115"/>
      <c r="K509" s="115"/>
      <c r="L509" s="115"/>
      <c r="M509" s="115"/>
      <c r="N509" s="115"/>
      <c r="O509" s="115"/>
      <c r="P509" s="115"/>
    </row>
    <row r="510" spans="10:16" ht="12.5" x14ac:dyDescent="0.25">
      <c r="J510" s="115"/>
      <c r="K510" s="115"/>
      <c r="L510" s="115"/>
      <c r="M510" s="115"/>
      <c r="N510" s="115"/>
      <c r="O510" s="115"/>
      <c r="P510" s="115"/>
    </row>
    <row r="511" spans="10:16" ht="12.5" x14ac:dyDescent="0.25">
      <c r="J511" s="115"/>
      <c r="K511" s="115"/>
      <c r="L511" s="115"/>
      <c r="M511" s="115"/>
      <c r="N511" s="115"/>
      <c r="O511" s="115"/>
      <c r="P511" s="115"/>
    </row>
    <row r="512" spans="10:16" ht="12.5" x14ac:dyDescent="0.25">
      <c r="J512" s="115"/>
      <c r="K512" s="115"/>
      <c r="L512" s="115"/>
      <c r="M512" s="115"/>
      <c r="N512" s="115"/>
      <c r="O512" s="115"/>
      <c r="P512" s="115"/>
    </row>
    <row r="513" spans="10:16" ht="12.5" x14ac:dyDescent="0.25">
      <c r="J513" s="115"/>
      <c r="K513" s="115"/>
      <c r="L513" s="115"/>
      <c r="M513" s="115"/>
      <c r="N513" s="115"/>
      <c r="O513" s="115"/>
      <c r="P513" s="115"/>
    </row>
    <row r="514" spans="10:16" ht="12.5" x14ac:dyDescent="0.25">
      <c r="J514" s="115"/>
      <c r="K514" s="115"/>
      <c r="L514" s="115"/>
      <c r="M514" s="115"/>
      <c r="N514" s="115"/>
      <c r="O514" s="115"/>
      <c r="P514" s="115"/>
    </row>
    <row r="515" spans="10:16" ht="12.5" x14ac:dyDescent="0.25">
      <c r="J515" s="115"/>
      <c r="K515" s="115"/>
      <c r="L515" s="115"/>
      <c r="M515" s="115"/>
      <c r="N515" s="115"/>
      <c r="O515" s="115"/>
      <c r="P515" s="115"/>
    </row>
    <row r="516" spans="10:16" ht="12.5" x14ac:dyDescent="0.25">
      <c r="J516" s="115"/>
      <c r="K516" s="115"/>
      <c r="L516" s="115"/>
      <c r="M516" s="115"/>
      <c r="N516" s="115"/>
      <c r="O516" s="115"/>
      <c r="P516" s="115"/>
    </row>
    <row r="517" spans="10:16" ht="12.5" x14ac:dyDescent="0.25">
      <c r="J517" s="115"/>
      <c r="K517" s="115"/>
      <c r="L517" s="115"/>
      <c r="M517" s="115"/>
      <c r="N517" s="115"/>
      <c r="O517" s="115"/>
      <c r="P517" s="115"/>
    </row>
    <row r="518" spans="10:16" ht="12.5" x14ac:dyDescent="0.25">
      <c r="J518" s="115"/>
      <c r="K518" s="115"/>
      <c r="L518" s="115"/>
      <c r="M518" s="115"/>
      <c r="N518" s="115"/>
      <c r="O518" s="115"/>
      <c r="P518" s="115"/>
    </row>
    <row r="519" spans="10:16" ht="12.5" x14ac:dyDescent="0.25">
      <c r="J519" s="115"/>
      <c r="K519" s="115"/>
      <c r="L519" s="115"/>
      <c r="M519" s="115"/>
      <c r="N519" s="115"/>
      <c r="O519" s="115"/>
      <c r="P519" s="115"/>
    </row>
    <row r="520" spans="10:16" ht="12.5" x14ac:dyDescent="0.25">
      <c r="J520" s="115"/>
      <c r="K520" s="115"/>
      <c r="L520" s="115"/>
      <c r="M520" s="115"/>
      <c r="N520" s="115"/>
      <c r="O520" s="115"/>
      <c r="P520" s="115"/>
    </row>
    <row r="521" spans="10:16" ht="12.5" x14ac:dyDescent="0.25">
      <c r="J521" s="115"/>
      <c r="K521" s="115"/>
      <c r="L521" s="115"/>
      <c r="M521" s="115"/>
      <c r="N521" s="115"/>
      <c r="O521" s="115"/>
      <c r="P521" s="115"/>
    </row>
    <row r="522" spans="10:16" ht="12.5" x14ac:dyDescent="0.25">
      <c r="J522" s="115"/>
      <c r="K522" s="115"/>
      <c r="L522" s="115"/>
      <c r="M522" s="115"/>
      <c r="N522" s="115"/>
      <c r="O522" s="115"/>
      <c r="P522" s="115"/>
    </row>
    <row r="523" spans="10:16" ht="12.5" x14ac:dyDescent="0.25">
      <c r="J523" s="115"/>
      <c r="K523" s="115"/>
      <c r="L523" s="115"/>
      <c r="M523" s="115"/>
      <c r="N523" s="115"/>
      <c r="O523" s="115"/>
      <c r="P523" s="115"/>
    </row>
    <row r="524" spans="10:16" ht="12.5" x14ac:dyDescent="0.25">
      <c r="J524" s="115"/>
      <c r="K524" s="115"/>
      <c r="L524" s="115"/>
      <c r="M524" s="115"/>
      <c r="N524" s="115"/>
      <c r="O524" s="115"/>
      <c r="P524" s="115"/>
    </row>
    <row r="525" spans="10:16" ht="12.5" x14ac:dyDescent="0.25">
      <c r="J525" s="115"/>
      <c r="K525" s="115"/>
      <c r="L525" s="115"/>
      <c r="M525" s="115"/>
      <c r="N525" s="115"/>
      <c r="O525" s="115"/>
      <c r="P525" s="115"/>
    </row>
    <row r="526" spans="10:16" ht="12.5" x14ac:dyDescent="0.25">
      <c r="J526" s="115"/>
      <c r="K526" s="115"/>
      <c r="L526" s="115"/>
      <c r="M526" s="115"/>
      <c r="N526" s="115"/>
      <c r="O526" s="115"/>
      <c r="P526" s="115"/>
    </row>
    <row r="527" spans="10:16" ht="12.5" x14ac:dyDescent="0.25">
      <c r="J527" s="115"/>
      <c r="K527" s="115"/>
      <c r="L527" s="115"/>
      <c r="M527" s="115"/>
      <c r="N527" s="115"/>
      <c r="O527" s="115"/>
      <c r="P527" s="115"/>
    </row>
    <row r="528" spans="10:16" ht="12.5" x14ac:dyDescent="0.25">
      <c r="J528" s="115"/>
      <c r="K528" s="115"/>
      <c r="L528" s="115"/>
      <c r="M528" s="115"/>
      <c r="N528" s="115"/>
      <c r="O528" s="115"/>
      <c r="P528" s="115"/>
    </row>
    <row r="529" spans="10:16" ht="12.5" x14ac:dyDescent="0.25">
      <c r="J529" s="115"/>
      <c r="K529" s="115"/>
      <c r="L529" s="115"/>
      <c r="M529" s="115"/>
      <c r="N529" s="115"/>
      <c r="O529" s="115"/>
      <c r="P529" s="115"/>
    </row>
    <row r="530" spans="10:16" ht="12.5" x14ac:dyDescent="0.25">
      <c r="J530" s="115"/>
      <c r="K530" s="115"/>
      <c r="L530" s="115"/>
      <c r="M530" s="115"/>
      <c r="N530" s="115"/>
      <c r="O530" s="115"/>
      <c r="P530" s="115"/>
    </row>
    <row r="531" spans="10:16" ht="12.5" x14ac:dyDescent="0.25">
      <c r="J531" s="115"/>
      <c r="K531" s="115"/>
      <c r="L531" s="115"/>
      <c r="M531" s="115"/>
      <c r="N531" s="115"/>
      <c r="O531" s="115"/>
      <c r="P531" s="115"/>
    </row>
    <row r="532" spans="10:16" ht="12.5" x14ac:dyDescent="0.25">
      <c r="J532" s="115"/>
      <c r="K532" s="115"/>
      <c r="L532" s="115"/>
      <c r="M532" s="115"/>
      <c r="N532" s="115"/>
      <c r="O532" s="115"/>
      <c r="P532" s="115"/>
    </row>
    <row r="533" spans="10:16" ht="12.5" x14ac:dyDescent="0.25">
      <c r="J533" s="115"/>
      <c r="K533" s="115"/>
      <c r="L533" s="115"/>
      <c r="M533" s="115"/>
      <c r="N533" s="115"/>
      <c r="O533" s="115"/>
      <c r="P533" s="115"/>
    </row>
    <row r="534" spans="10:16" ht="12.5" x14ac:dyDescent="0.25">
      <c r="J534" s="115"/>
      <c r="K534" s="115"/>
      <c r="L534" s="115"/>
      <c r="M534" s="115"/>
      <c r="N534" s="115"/>
      <c r="O534" s="115"/>
      <c r="P534" s="115"/>
    </row>
    <row r="535" spans="10:16" ht="12.5" x14ac:dyDescent="0.25">
      <c r="J535" s="115"/>
      <c r="K535" s="115"/>
      <c r="L535" s="115"/>
      <c r="M535" s="115"/>
      <c r="N535" s="115"/>
      <c r="O535" s="115"/>
      <c r="P535" s="115"/>
    </row>
    <row r="536" spans="10:16" ht="12.5" x14ac:dyDescent="0.25">
      <c r="J536" s="115"/>
      <c r="K536" s="115"/>
      <c r="L536" s="115"/>
      <c r="M536" s="115"/>
      <c r="N536" s="115"/>
      <c r="O536" s="115"/>
      <c r="P536" s="115"/>
    </row>
    <row r="537" spans="10:16" ht="12.5" x14ac:dyDescent="0.25">
      <c r="J537" s="115"/>
      <c r="K537" s="115"/>
      <c r="L537" s="115"/>
      <c r="M537" s="115"/>
      <c r="N537" s="115"/>
      <c r="O537" s="115"/>
      <c r="P537" s="115"/>
    </row>
    <row r="538" spans="10:16" ht="12.5" x14ac:dyDescent="0.25">
      <c r="J538" s="115"/>
      <c r="K538" s="115"/>
      <c r="L538" s="115"/>
      <c r="M538" s="115"/>
      <c r="N538" s="115"/>
      <c r="O538" s="115"/>
      <c r="P538" s="115"/>
    </row>
    <row r="539" spans="10:16" ht="12.5" x14ac:dyDescent="0.25">
      <c r="J539" s="115"/>
      <c r="K539" s="115"/>
      <c r="L539" s="115"/>
      <c r="M539" s="115"/>
      <c r="N539" s="115"/>
      <c r="O539" s="115"/>
      <c r="P539" s="115"/>
    </row>
    <row r="540" spans="10:16" ht="12.5" x14ac:dyDescent="0.25">
      <c r="J540" s="115"/>
      <c r="K540" s="115"/>
      <c r="L540" s="115"/>
      <c r="M540" s="115"/>
      <c r="N540" s="115"/>
      <c r="O540" s="115"/>
      <c r="P540" s="115"/>
    </row>
    <row r="541" spans="10:16" ht="12.5" x14ac:dyDescent="0.25">
      <c r="J541" s="115"/>
      <c r="K541" s="115"/>
      <c r="L541" s="115"/>
      <c r="M541" s="115"/>
      <c r="N541" s="115"/>
      <c r="O541" s="115"/>
      <c r="P541" s="115"/>
    </row>
    <row r="542" spans="10:16" ht="12.5" x14ac:dyDescent="0.25">
      <c r="J542" s="115"/>
      <c r="K542" s="115"/>
      <c r="L542" s="115"/>
      <c r="M542" s="115"/>
      <c r="N542" s="115"/>
      <c r="O542" s="115"/>
      <c r="P542" s="115"/>
    </row>
    <row r="543" spans="10:16" ht="12.5" x14ac:dyDescent="0.25">
      <c r="J543" s="115"/>
      <c r="K543" s="115"/>
      <c r="L543" s="115"/>
      <c r="M543" s="115"/>
      <c r="N543" s="115"/>
      <c r="O543" s="115"/>
      <c r="P543" s="115"/>
    </row>
    <row r="544" spans="10:16" ht="12.5" x14ac:dyDescent="0.25">
      <c r="J544" s="115"/>
      <c r="K544" s="115"/>
      <c r="L544" s="115"/>
      <c r="M544" s="115"/>
      <c r="N544" s="115"/>
      <c r="O544" s="115"/>
      <c r="P544" s="115"/>
    </row>
    <row r="545" spans="10:16" ht="12.5" x14ac:dyDescent="0.25">
      <c r="J545" s="115"/>
      <c r="K545" s="115"/>
      <c r="L545" s="115"/>
      <c r="M545" s="115"/>
      <c r="N545" s="115"/>
      <c r="O545" s="115"/>
      <c r="P545" s="115"/>
    </row>
    <row r="546" spans="10:16" ht="12.5" x14ac:dyDescent="0.25">
      <c r="J546" s="115"/>
      <c r="K546" s="115"/>
      <c r="L546" s="115"/>
      <c r="M546" s="115"/>
      <c r="N546" s="115"/>
      <c r="O546" s="115"/>
      <c r="P546" s="115"/>
    </row>
    <row r="547" spans="10:16" ht="12.5" x14ac:dyDescent="0.25">
      <c r="J547" s="115"/>
      <c r="K547" s="115"/>
      <c r="L547" s="115"/>
      <c r="M547" s="115"/>
      <c r="N547" s="115"/>
      <c r="O547" s="115"/>
      <c r="P547" s="115"/>
    </row>
    <row r="548" spans="10:16" ht="12.5" x14ac:dyDescent="0.25">
      <c r="J548" s="115"/>
      <c r="K548" s="115"/>
      <c r="L548" s="115"/>
      <c r="M548" s="115"/>
      <c r="N548" s="115"/>
      <c r="O548" s="115"/>
      <c r="P548" s="115"/>
    </row>
    <row r="549" spans="10:16" ht="12.5" x14ac:dyDescent="0.25">
      <c r="J549" s="115"/>
      <c r="K549" s="115"/>
      <c r="L549" s="115"/>
      <c r="M549" s="115"/>
      <c r="N549" s="115"/>
      <c r="O549" s="115"/>
      <c r="P549" s="115"/>
    </row>
    <row r="550" spans="10:16" ht="12.5" x14ac:dyDescent="0.25">
      <c r="J550" s="115"/>
      <c r="K550" s="115"/>
      <c r="L550" s="115"/>
      <c r="M550" s="115"/>
      <c r="N550" s="115"/>
      <c r="O550" s="115"/>
      <c r="P550" s="115"/>
    </row>
    <row r="551" spans="10:16" ht="12.5" x14ac:dyDescent="0.25">
      <c r="J551" s="115"/>
      <c r="K551" s="115"/>
      <c r="L551" s="115"/>
      <c r="M551" s="115"/>
      <c r="N551" s="115"/>
      <c r="O551" s="115"/>
      <c r="P551" s="115"/>
    </row>
    <row r="552" spans="10:16" ht="12.5" x14ac:dyDescent="0.25">
      <c r="J552" s="115"/>
      <c r="K552" s="115"/>
      <c r="L552" s="115"/>
      <c r="M552" s="115"/>
      <c r="N552" s="115"/>
      <c r="O552" s="115"/>
      <c r="P552" s="115"/>
    </row>
    <row r="553" spans="10:16" ht="12.5" x14ac:dyDescent="0.25">
      <c r="J553" s="115"/>
      <c r="K553" s="115"/>
      <c r="L553" s="115"/>
      <c r="M553" s="115"/>
      <c r="N553" s="115"/>
      <c r="O553" s="115"/>
      <c r="P553" s="115"/>
    </row>
    <row r="554" spans="10:16" ht="12.5" x14ac:dyDescent="0.25">
      <c r="J554" s="115"/>
      <c r="K554" s="115"/>
      <c r="L554" s="115"/>
      <c r="M554" s="115"/>
      <c r="N554" s="115"/>
      <c r="O554" s="115"/>
      <c r="P554" s="115"/>
    </row>
    <row r="555" spans="10:16" ht="12.5" x14ac:dyDescent="0.25">
      <c r="J555" s="115"/>
      <c r="K555" s="115"/>
      <c r="L555" s="115"/>
      <c r="M555" s="115"/>
      <c r="N555" s="115"/>
      <c r="O555" s="115"/>
      <c r="P555" s="115"/>
    </row>
    <row r="556" spans="10:16" ht="12.5" x14ac:dyDescent="0.25">
      <c r="J556" s="115"/>
      <c r="K556" s="115"/>
      <c r="L556" s="115"/>
      <c r="M556" s="115"/>
      <c r="N556" s="115"/>
      <c r="O556" s="115"/>
      <c r="P556" s="115"/>
    </row>
    <row r="557" spans="10:16" ht="12.5" x14ac:dyDescent="0.25">
      <c r="J557" s="115"/>
      <c r="K557" s="115"/>
      <c r="L557" s="115"/>
      <c r="M557" s="115"/>
      <c r="N557" s="115"/>
      <c r="O557" s="115"/>
      <c r="P557" s="115"/>
    </row>
    <row r="558" spans="10:16" ht="12.5" x14ac:dyDescent="0.25">
      <c r="J558" s="115"/>
      <c r="K558" s="115"/>
      <c r="L558" s="115"/>
      <c r="M558" s="115"/>
      <c r="N558" s="115"/>
      <c r="O558" s="115"/>
      <c r="P558" s="115"/>
    </row>
    <row r="559" spans="10:16" ht="12.5" x14ac:dyDescent="0.25">
      <c r="J559" s="115"/>
      <c r="K559" s="115"/>
      <c r="L559" s="115"/>
      <c r="M559" s="115"/>
      <c r="N559" s="115"/>
      <c r="O559" s="115"/>
      <c r="P559" s="115"/>
    </row>
    <row r="560" spans="10:16" ht="12.5" x14ac:dyDescent="0.25">
      <c r="J560" s="115"/>
      <c r="K560" s="115"/>
      <c r="L560" s="115"/>
      <c r="M560" s="115"/>
      <c r="N560" s="115"/>
      <c r="O560" s="115"/>
      <c r="P560" s="115"/>
    </row>
    <row r="561" spans="10:16" ht="12.5" x14ac:dyDescent="0.25">
      <c r="J561" s="115"/>
      <c r="K561" s="115"/>
      <c r="L561" s="115"/>
      <c r="M561" s="115"/>
      <c r="N561" s="115"/>
      <c r="O561" s="115"/>
      <c r="P561" s="115"/>
    </row>
    <row r="562" spans="10:16" ht="12.5" x14ac:dyDescent="0.25">
      <c r="J562" s="115"/>
      <c r="K562" s="115"/>
      <c r="L562" s="115"/>
      <c r="M562" s="115"/>
      <c r="N562" s="115"/>
      <c r="O562" s="115"/>
      <c r="P562" s="115"/>
    </row>
    <row r="563" spans="10:16" ht="12.5" x14ac:dyDescent="0.25">
      <c r="J563" s="115"/>
      <c r="K563" s="115"/>
      <c r="L563" s="115"/>
      <c r="M563" s="115"/>
      <c r="N563" s="115"/>
      <c r="O563" s="115"/>
      <c r="P563" s="115"/>
    </row>
    <row r="564" spans="10:16" ht="12.5" x14ac:dyDescent="0.25">
      <c r="J564" s="115"/>
      <c r="K564" s="115"/>
      <c r="L564" s="115"/>
      <c r="M564" s="115"/>
      <c r="N564" s="115"/>
      <c r="O564" s="115"/>
      <c r="P564" s="115"/>
    </row>
    <row r="565" spans="10:16" ht="12.5" x14ac:dyDescent="0.25">
      <c r="J565" s="115"/>
      <c r="K565" s="115"/>
      <c r="L565" s="115"/>
      <c r="M565" s="115"/>
      <c r="N565" s="115"/>
      <c r="O565" s="115"/>
      <c r="P565" s="115"/>
    </row>
    <row r="566" spans="10:16" ht="12.5" x14ac:dyDescent="0.25">
      <c r="J566" s="115"/>
      <c r="K566" s="115"/>
      <c r="L566" s="115"/>
      <c r="M566" s="115"/>
      <c r="N566" s="115"/>
      <c r="O566" s="115"/>
      <c r="P566" s="115"/>
    </row>
    <row r="567" spans="10:16" ht="12.5" x14ac:dyDescent="0.25">
      <c r="J567" s="115"/>
      <c r="K567" s="115"/>
      <c r="L567" s="115"/>
      <c r="M567" s="115"/>
      <c r="N567" s="115"/>
      <c r="O567" s="115"/>
      <c r="P567" s="115"/>
    </row>
    <row r="568" spans="10:16" ht="12.5" x14ac:dyDescent="0.25">
      <c r="J568" s="115"/>
      <c r="K568" s="115"/>
      <c r="L568" s="115"/>
      <c r="M568" s="115"/>
      <c r="N568" s="115"/>
      <c r="O568" s="115"/>
      <c r="P568" s="115"/>
    </row>
    <row r="569" spans="10:16" ht="12.5" x14ac:dyDescent="0.25">
      <c r="J569" s="115"/>
      <c r="K569" s="115"/>
      <c r="L569" s="115"/>
      <c r="M569" s="115"/>
      <c r="N569" s="115"/>
      <c r="O569" s="115"/>
      <c r="P569" s="115"/>
    </row>
    <row r="570" spans="10:16" ht="12.5" x14ac:dyDescent="0.25">
      <c r="J570" s="115"/>
      <c r="K570" s="115"/>
      <c r="L570" s="115"/>
      <c r="M570" s="115"/>
      <c r="N570" s="115"/>
      <c r="O570" s="115"/>
      <c r="P570" s="115"/>
    </row>
    <row r="571" spans="10:16" ht="12.5" x14ac:dyDescent="0.25">
      <c r="J571" s="115"/>
      <c r="K571" s="115"/>
      <c r="L571" s="115"/>
      <c r="M571" s="115"/>
      <c r="N571" s="115"/>
      <c r="O571" s="115"/>
      <c r="P571" s="115"/>
    </row>
    <row r="572" spans="10:16" ht="12.5" x14ac:dyDescent="0.25">
      <c r="J572" s="115"/>
      <c r="K572" s="115"/>
      <c r="L572" s="115"/>
      <c r="M572" s="115"/>
      <c r="N572" s="115"/>
      <c r="O572" s="115"/>
      <c r="P572" s="115"/>
    </row>
    <row r="573" spans="10:16" ht="12.5" x14ac:dyDescent="0.25">
      <c r="J573" s="115"/>
      <c r="K573" s="115"/>
      <c r="L573" s="115"/>
      <c r="M573" s="115"/>
      <c r="N573" s="115"/>
      <c r="O573" s="115"/>
      <c r="P573" s="115"/>
    </row>
    <row r="574" spans="10:16" ht="12.5" x14ac:dyDescent="0.25">
      <c r="J574" s="115"/>
      <c r="K574" s="115"/>
      <c r="L574" s="115"/>
      <c r="M574" s="115"/>
      <c r="N574" s="115"/>
      <c r="O574" s="115"/>
      <c r="P574" s="115"/>
    </row>
    <row r="575" spans="10:16" ht="12.5" x14ac:dyDescent="0.25">
      <c r="J575" s="115"/>
      <c r="K575" s="115"/>
      <c r="L575" s="115"/>
      <c r="M575" s="115"/>
      <c r="N575" s="115"/>
      <c r="O575" s="115"/>
      <c r="P575" s="115"/>
    </row>
    <row r="576" spans="10:16" ht="12.5" x14ac:dyDescent="0.25">
      <c r="J576" s="115"/>
      <c r="K576" s="115"/>
      <c r="L576" s="115"/>
      <c r="M576" s="115"/>
      <c r="N576" s="115"/>
      <c r="O576" s="115"/>
      <c r="P576" s="115"/>
    </row>
    <row r="577" spans="10:16" ht="12.5" x14ac:dyDescent="0.25">
      <c r="J577" s="115"/>
      <c r="K577" s="115"/>
      <c r="L577" s="115"/>
      <c r="M577" s="115"/>
      <c r="N577" s="115"/>
      <c r="O577" s="115"/>
      <c r="P577" s="115"/>
    </row>
    <row r="578" spans="10:16" ht="12.5" x14ac:dyDescent="0.25">
      <c r="J578" s="115"/>
      <c r="K578" s="115"/>
      <c r="L578" s="115"/>
      <c r="M578" s="115"/>
      <c r="N578" s="115"/>
      <c r="O578" s="115"/>
      <c r="P578" s="115"/>
    </row>
    <row r="579" spans="10:16" ht="12.5" x14ac:dyDescent="0.25">
      <c r="J579" s="115"/>
      <c r="K579" s="115"/>
      <c r="L579" s="115"/>
      <c r="M579" s="115"/>
      <c r="N579" s="115"/>
      <c r="O579" s="115"/>
      <c r="P579" s="115"/>
    </row>
    <row r="580" spans="10:16" ht="12.5" x14ac:dyDescent="0.25">
      <c r="J580" s="115"/>
      <c r="K580" s="115"/>
      <c r="L580" s="115"/>
      <c r="M580" s="115"/>
      <c r="N580" s="115"/>
      <c r="O580" s="115"/>
      <c r="P580" s="115"/>
    </row>
    <row r="581" spans="10:16" ht="12.5" x14ac:dyDescent="0.25">
      <c r="J581" s="115"/>
      <c r="K581" s="115"/>
      <c r="L581" s="115"/>
      <c r="M581" s="115"/>
      <c r="N581" s="115"/>
      <c r="O581" s="115"/>
      <c r="P581" s="115"/>
    </row>
    <row r="582" spans="10:16" ht="12.5" x14ac:dyDescent="0.25">
      <c r="J582" s="115"/>
      <c r="K582" s="115"/>
      <c r="L582" s="115"/>
      <c r="M582" s="115"/>
      <c r="N582" s="115"/>
      <c r="O582" s="115"/>
      <c r="P582" s="115"/>
    </row>
    <row r="583" spans="10:16" ht="12.5" x14ac:dyDescent="0.25">
      <c r="J583" s="115"/>
      <c r="K583" s="115"/>
      <c r="L583" s="115"/>
      <c r="M583" s="115"/>
      <c r="N583" s="115"/>
      <c r="O583" s="115"/>
      <c r="P583" s="115"/>
    </row>
    <row r="584" spans="10:16" ht="12.5" x14ac:dyDescent="0.25">
      <c r="J584" s="115"/>
      <c r="K584" s="115"/>
      <c r="L584" s="115"/>
      <c r="M584" s="115"/>
      <c r="N584" s="115"/>
      <c r="O584" s="115"/>
      <c r="P584" s="115"/>
    </row>
    <row r="585" spans="10:16" ht="12.5" x14ac:dyDescent="0.25">
      <c r="J585" s="115"/>
      <c r="K585" s="115"/>
      <c r="L585" s="115"/>
      <c r="M585" s="115"/>
      <c r="N585" s="115"/>
      <c r="O585" s="115"/>
      <c r="P585" s="115"/>
    </row>
    <row r="586" spans="10:16" ht="12.5" x14ac:dyDescent="0.25">
      <c r="J586" s="115"/>
      <c r="K586" s="115"/>
      <c r="L586" s="115"/>
      <c r="M586" s="115"/>
      <c r="N586" s="115"/>
      <c r="O586" s="115"/>
      <c r="P586" s="115"/>
    </row>
    <row r="587" spans="10:16" ht="12.5" x14ac:dyDescent="0.25">
      <c r="J587" s="115"/>
      <c r="K587" s="115"/>
      <c r="L587" s="115"/>
      <c r="M587" s="115"/>
      <c r="N587" s="115"/>
      <c r="O587" s="115"/>
      <c r="P587" s="115"/>
    </row>
    <row r="588" spans="10:16" ht="12.5" x14ac:dyDescent="0.25">
      <c r="J588" s="115"/>
      <c r="K588" s="115"/>
      <c r="L588" s="115"/>
      <c r="M588" s="115"/>
      <c r="N588" s="115"/>
      <c r="O588" s="115"/>
      <c r="P588" s="115"/>
    </row>
    <row r="589" spans="10:16" ht="12.5" x14ac:dyDescent="0.25">
      <c r="J589" s="115"/>
      <c r="K589" s="115"/>
      <c r="L589" s="115"/>
      <c r="M589" s="115"/>
      <c r="N589" s="115"/>
      <c r="O589" s="115"/>
      <c r="P589" s="115"/>
    </row>
    <row r="590" spans="10:16" ht="12.5" x14ac:dyDescent="0.25">
      <c r="J590" s="115"/>
      <c r="K590" s="115"/>
      <c r="L590" s="115"/>
      <c r="M590" s="115"/>
      <c r="N590" s="115"/>
      <c r="O590" s="115"/>
      <c r="P590" s="115"/>
    </row>
    <row r="591" spans="10:16" ht="12.5" x14ac:dyDescent="0.25">
      <c r="J591" s="115"/>
      <c r="K591" s="115"/>
      <c r="L591" s="115"/>
      <c r="M591" s="115"/>
      <c r="N591" s="115"/>
      <c r="O591" s="115"/>
      <c r="P591" s="115"/>
    </row>
    <row r="592" spans="10:16" ht="12.5" x14ac:dyDescent="0.25">
      <c r="J592" s="115"/>
      <c r="K592" s="115"/>
      <c r="L592" s="115"/>
      <c r="M592" s="115"/>
      <c r="N592" s="115"/>
      <c r="O592" s="115"/>
      <c r="P592" s="115"/>
    </row>
    <row r="593" spans="10:16" ht="12.5" x14ac:dyDescent="0.25">
      <c r="J593" s="115"/>
      <c r="K593" s="115"/>
      <c r="L593" s="115"/>
      <c r="M593" s="115"/>
      <c r="N593" s="115"/>
      <c r="O593" s="115"/>
      <c r="P593" s="115"/>
    </row>
    <row r="594" spans="10:16" ht="12.5" x14ac:dyDescent="0.25">
      <c r="J594" s="115"/>
      <c r="K594" s="115"/>
      <c r="L594" s="115"/>
      <c r="M594" s="115"/>
      <c r="N594" s="115"/>
      <c r="O594" s="115"/>
      <c r="P594" s="115"/>
    </row>
    <row r="595" spans="10:16" ht="12.5" x14ac:dyDescent="0.25">
      <c r="J595" s="115"/>
      <c r="K595" s="115"/>
      <c r="L595" s="115"/>
      <c r="M595" s="115"/>
      <c r="N595" s="115"/>
      <c r="O595" s="115"/>
      <c r="P595" s="115"/>
    </row>
    <row r="596" spans="10:16" ht="12.5" x14ac:dyDescent="0.25">
      <c r="J596" s="115"/>
      <c r="K596" s="115"/>
      <c r="L596" s="115"/>
      <c r="M596" s="115"/>
      <c r="N596" s="115"/>
      <c r="O596" s="115"/>
      <c r="P596" s="115"/>
    </row>
    <row r="597" spans="10:16" ht="12.5" x14ac:dyDescent="0.25">
      <c r="J597" s="115"/>
      <c r="K597" s="115"/>
      <c r="L597" s="115"/>
      <c r="M597" s="115"/>
      <c r="N597" s="115"/>
      <c r="O597" s="115"/>
      <c r="P597" s="115"/>
    </row>
    <row r="598" spans="10:16" ht="12.5" x14ac:dyDescent="0.25">
      <c r="J598" s="115"/>
      <c r="K598" s="115"/>
      <c r="L598" s="115"/>
      <c r="M598" s="115"/>
      <c r="N598" s="115"/>
      <c r="O598" s="115"/>
      <c r="P598" s="115"/>
    </row>
    <row r="599" spans="10:16" ht="12.5" x14ac:dyDescent="0.25">
      <c r="J599" s="115"/>
      <c r="K599" s="115"/>
      <c r="L599" s="115"/>
      <c r="M599" s="115"/>
      <c r="N599" s="115"/>
      <c r="O599" s="115"/>
      <c r="P599" s="115"/>
    </row>
    <row r="600" spans="10:16" ht="12.5" x14ac:dyDescent="0.25">
      <c r="J600" s="115"/>
      <c r="K600" s="115"/>
      <c r="L600" s="115"/>
      <c r="M600" s="115"/>
      <c r="N600" s="115"/>
      <c r="O600" s="115"/>
      <c r="P600" s="115"/>
    </row>
    <row r="601" spans="10:16" ht="12.5" x14ac:dyDescent="0.25">
      <c r="J601" s="115"/>
      <c r="K601" s="115"/>
      <c r="L601" s="115"/>
      <c r="M601" s="115"/>
      <c r="N601" s="115"/>
      <c r="O601" s="115"/>
      <c r="P601" s="115"/>
    </row>
    <row r="602" spans="10:16" ht="12.5" x14ac:dyDescent="0.25">
      <c r="J602" s="115"/>
      <c r="K602" s="115"/>
      <c r="L602" s="115"/>
      <c r="M602" s="115"/>
      <c r="N602" s="115"/>
      <c r="O602" s="115"/>
      <c r="P602" s="115"/>
    </row>
    <row r="603" spans="10:16" ht="12.5" x14ac:dyDescent="0.25">
      <c r="J603" s="115"/>
      <c r="K603" s="115"/>
      <c r="L603" s="115"/>
      <c r="M603" s="115"/>
      <c r="N603" s="115"/>
      <c r="O603" s="115"/>
      <c r="P603" s="115"/>
    </row>
    <row r="604" spans="10:16" ht="12.5" x14ac:dyDescent="0.25">
      <c r="J604" s="115"/>
      <c r="K604" s="115"/>
      <c r="L604" s="115"/>
      <c r="M604" s="115"/>
      <c r="N604" s="115"/>
      <c r="O604" s="115"/>
      <c r="P604" s="115"/>
    </row>
    <row r="605" spans="10:16" ht="12.5" x14ac:dyDescent="0.25">
      <c r="J605" s="115"/>
      <c r="K605" s="115"/>
      <c r="L605" s="115"/>
      <c r="M605" s="115"/>
      <c r="N605" s="115"/>
      <c r="O605" s="115"/>
      <c r="P605" s="115"/>
    </row>
    <row r="606" spans="10:16" ht="12.5" x14ac:dyDescent="0.25">
      <c r="J606" s="115"/>
      <c r="K606" s="115"/>
      <c r="L606" s="115"/>
      <c r="M606" s="115"/>
      <c r="N606" s="115"/>
      <c r="O606" s="115"/>
      <c r="P606" s="115"/>
    </row>
    <row r="607" spans="10:16" ht="12.5" x14ac:dyDescent="0.25">
      <c r="J607" s="115"/>
      <c r="K607" s="115"/>
      <c r="L607" s="115"/>
      <c r="M607" s="115"/>
      <c r="N607" s="115"/>
      <c r="O607" s="115"/>
      <c r="P607" s="115"/>
    </row>
    <row r="608" spans="10:16" ht="12.5" x14ac:dyDescent="0.25">
      <c r="J608" s="115"/>
      <c r="K608" s="115"/>
      <c r="L608" s="115"/>
      <c r="M608" s="115"/>
      <c r="N608" s="115"/>
      <c r="O608" s="115"/>
      <c r="P608" s="115"/>
    </row>
    <row r="609" spans="10:16" ht="12.5" x14ac:dyDescent="0.25">
      <c r="J609" s="115"/>
      <c r="K609" s="115"/>
      <c r="L609" s="115"/>
      <c r="M609" s="115"/>
      <c r="N609" s="115"/>
      <c r="O609" s="115"/>
      <c r="P609" s="115"/>
    </row>
    <row r="610" spans="10:16" ht="12.5" x14ac:dyDescent="0.25">
      <c r="J610" s="115"/>
      <c r="K610" s="115"/>
      <c r="L610" s="115"/>
      <c r="M610" s="115"/>
      <c r="N610" s="115"/>
      <c r="O610" s="115"/>
      <c r="P610" s="115"/>
    </row>
    <row r="611" spans="10:16" ht="12.5" x14ac:dyDescent="0.25">
      <c r="J611" s="115"/>
      <c r="K611" s="115"/>
      <c r="L611" s="115"/>
      <c r="M611" s="115"/>
      <c r="N611" s="115"/>
      <c r="O611" s="115"/>
      <c r="P611" s="115"/>
    </row>
    <row r="612" spans="10:16" ht="12.5" x14ac:dyDescent="0.25">
      <c r="J612" s="115"/>
      <c r="K612" s="115"/>
      <c r="L612" s="115"/>
      <c r="M612" s="115"/>
      <c r="N612" s="115"/>
      <c r="O612" s="115"/>
      <c r="P612" s="115"/>
    </row>
    <row r="613" spans="10:16" ht="12.5" x14ac:dyDescent="0.25">
      <c r="J613" s="115"/>
      <c r="K613" s="115"/>
      <c r="L613" s="115"/>
      <c r="M613" s="115"/>
      <c r="N613" s="115"/>
      <c r="O613" s="115"/>
      <c r="P613" s="115"/>
    </row>
    <row r="614" spans="10:16" ht="12.5" x14ac:dyDescent="0.25">
      <c r="J614" s="115"/>
      <c r="K614" s="115"/>
      <c r="L614" s="115"/>
      <c r="M614" s="115"/>
      <c r="N614" s="115"/>
      <c r="O614" s="115"/>
      <c r="P614" s="115"/>
    </row>
    <row r="615" spans="10:16" ht="12.5" x14ac:dyDescent="0.25">
      <c r="J615" s="115"/>
      <c r="K615" s="115"/>
      <c r="L615" s="115"/>
      <c r="M615" s="115"/>
      <c r="N615" s="115"/>
      <c r="O615" s="115"/>
      <c r="P615" s="115"/>
    </row>
    <row r="616" spans="10:16" ht="12.5" x14ac:dyDescent="0.25">
      <c r="J616" s="115"/>
      <c r="K616" s="115"/>
      <c r="L616" s="115"/>
      <c r="M616" s="115"/>
      <c r="N616" s="115"/>
      <c r="O616" s="115"/>
      <c r="P616" s="115"/>
    </row>
    <row r="617" spans="10:16" ht="12.5" x14ac:dyDescent="0.25">
      <c r="J617" s="115"/>
      <c r="K617" s="115"/>
      <c r="L617" s="115"/>
      <c r="M617" s="115"/>
      <c r="N617" s="115"/>
      <c r="O617" s="115"/>
      <c r="P617" s="115"/>
    </row>
    <row r="618" spans="10:16" ht="12.5" x14ac:dyDescent="0.25">
      <c r="J618" s="115"/>
      <c r="K618" s="115"/>
      <c r="L618" s="115"/>
      <c r="M618" s="115"/>
      <c r="N618" s="115"/>
      <c r="O618" s="115"/>
      <c r="P618" s="115"/>
    </row>
    <row r="619" spans="10:16" ht="12.5" x14ac:dyDescent="0.25">
      <c r="J619" s="115"/>
      <c r="K619" s="115"/>
      <c r="L619" s="115"/>
      <c r="M619" s="115"/>
      <c r="N619" s="115"/>
      <c r="O619" s="115"/>
      <c r="P619" s="115"/>
    </row>
    <row r="620" spans="10:16" ht="12.5" x14ac:dyDescent="0.25">
      <c r="J620" s="115"/>
      <c r="K620" s="115"/>
      <c r="L620" s="115"/>
      <c r="M620" s="115"/>
      <c r="N620" s="115"/>
      <c r="O620" s="115"/>
      <c r="P620" s="115"/>
    </row>
    <row r="621" spans="10:16" ht="12.5" x14ac:dyDescent="0.25">
      <c r="J621" s="115"/>
      <c r="K621" s="115"/>
      <c r="L621" s="115"/>
      <c r="M621" s="115"/>
      <c r="N621" s="115"/>
      <c r="O621" s="115"/>
      <c r="P621" s="115"/>
    </row>
    <row r="622" spans="10:16" ht="12.5" x14ac:dyDescent="0.25">
      <c r="J622" s="115"/>
      <c r="K622" s="115"/>
      <c r="L622" s="115"/>
      <c r="M622" s="115"/>
      <c r="N622" s="115"/>
      <c r="O622" s="115"/>
      <c r="P622" s="115"/>
    </row>
    <row r="623" spans="10:16" ht="12.5" x14ac:dyDescent="0.25">
      <c r="J623" s="115"/>
      <c r="K623" s="115"/>
      <c r="L623" s="115"/>
      <c r="M623" s="115"/>
      <c r="N623" s="115"/>
      <c r="O623" s="115"/>
      <c r="P623" s="115"/>
    </row>
    <row r="624" spans="10:16" ht="12.5" x14ac:dyDescent="0.25">
      <c r="J624" s="115"/>
      <c r="K624" s="115"/>
      <c r="L624" s="115"/>
      <c r="M624" s="115"/>
      <c r="N624" s="115"/>
      <c r="O624" s="115"/>
      <c r="P624" s="115"/>
    </row>
    <row r="625" spans="10:16" ht="12.5" x14ac:dyDescent="0.25">
      <c r="J625" s="115"/>
      <c r="K625" s="115"/>
      <c r="L625" s="115"/>
      <c r="M625" s="115"/>
      <c r="N625" s="115"/>
      <c r="O625" s="115"/>
      <c r="P625" s="115"/>
    </row>
    <row r="626" spans="10:16" ht="12.5" x14ac:dyDescent="0.25">
      <c r="J626" s="115"/>
      <c r="K626" s="115"/>
      <c r="L626" s="115"/>
      <c r="M626" s="115"/>
      <c r="N626" s="115"/>
      <c r="O626" s="115"/>
      <c r="P626" s="115"/>
    </row>
    <row r="627" spans="10:16" ht="12.5" x14ac:dyDescent="0.25">
      <c r="J627" s="115"/>
      <c r="K627" s="115"/>
      <c r="L627" s="115"/>
      <c r="M627" s="115"/>
      <c r="N627" s="115"/>
      <c r="O627" s="115"/>
      <c r="P627" s="115"/>
    </row>
    <row r="628" spans="10:16" ht="12.5" x14ac:dyDescent="0.25">
      <c r="J628" s="115"/>
      <c r="K628" s="115"/>
      <c r="L628" s="115"/>
      <c r="M628" s="115"/>
      <c r="N628" s="115"/>
      <c r="O628" s="115"/>
      <c r="P628" s="115"/>
    </row>
    <row r="629" spans="10:16" ht="12.5" x14ac:dyDescent="0.25">
      <c r="J629" s="115"/>
      <c r="K629" s="115"/>
      <c r="L629" s="115"/>
      <c r="M629" s="115"/>
      <c r="N629" s="115"/>
      <c r="O629" s="115"/>
      <c r="P629" s="115"/>
    </row>
    <row r="630" spans="10:16" ht="12.5" x14ac:dyDescent="0.25">
      <c r="J630" s="115"/>
      <c r="K630" s="115"/>
      <c r="L630" s="115"/>
      <c r="M630" s="115"/>
      <c r="N630" s="115"/>
      <c r="O630" s="115"/>
      <c r="P630" s="115"/>
    </row>
    <row r="631" spans="10:16" ht="12.5" x14ac:dyDescent="0.25">
      <c r="J631" s="115"/>
      <c r="K631" s="115"/>
      <c r="L631" s="115"/>
      <c r="M631" s="115"/>
      <c r="N631" s="115"/>
      <c r="O631" s="115"/>
      <c r="P631" s="115"/>
    </row>
    <row r="632" spans="10:16" ht="12.5" x14ac:dyDescent="0.25">
      <c r="J632" s="115"/>
      <c r="K632" s="115"/>
      <c r="L632" s="115"/>
      <c r="M632" s="115"/>
      <c r="N632" s="115"/>
      <c r="O632" s="115"/>
      <c r="P632" s="115"/>
    </row>
    <row r="633" spans="10:16" ht="12.5" x14ac:dyDescent="0.25">
      <c r="J633" s="115"/>
      <c r="K633" s="115"/>
      <c r="L633" s="115"/>
      <c r="M633" s="115"/>
      <c r="N633" s="115"/>
      <c r="O633" s="115"/>
      <c r="P633" s="115"/>
    </row>
    <row r="634" spans="10:16" ht="12.5" x14ac:dyDescent="0.25">
      <c r="J634" s="115"/>
      <c r="K634" s="115"/>
      <c r="L634" s="115"/>
      <c r="M634" s="115"/>
      <c r="N634" s="115"/>
      <c r="O634" s="115"/>
      <c r="P634" s="115"/>
    </row>
    <row r="635" spans="10:16" ht="12.5" x14ac:dyDescent="0.25">
      <c r="J635" s="115"/>
      <c r="K635" s="115"/>
      <c r="L635" s="115"/>
      <c r="M635" s="115"/>
      <c r="N635" s="115"/>
      <c r="O635" s="115"/>
      <c r="P635" s="115"/>
    </row>
    <row r="636" spans="10:16" ht="12.5" x14ac:dyDescent="0.25">
      <c r="J636" s="115"/>
      <c r="K636" s="115"/>
      <c r="L636" s="115"/>
      <c r="M636" s="115"/>
      <c r="N636" s="115"/>
      <c r="O636" s="115"/>
      <c r="P636" s="115"/>
    </row>
    <row r="637" spans="10:16" ht="12.5" x14ac:dyDescent="0.25">
      <c r="J637" s="115"/>
      <c r="K637" s="115"/>
      <c r="L637" s="115"/>
      <c r="M637" s="115"/>
      <c r="N637" s="115"/>
      <c r="O637" s="115"/>
      <c r="P637" s="115"/>
    </row>
    <row r="638" spans="10:16" ht="12.5" x14ac:dyDescent="0.25">
      <c r="J638" s="115"/>
      <c r="K638" s="115"/>
      <c r="L638" s="115"/>
      <c r="M638" s="115"/>
      <c r="N638" s="115"/>
      <c r="O638" s="115"/>
      <c r="P638" s="115"/>
    </row>
    <row r="639" spans="10:16" ht="12.5" x14ac:dyDescent="0.25">
      <c r="J639" s="115"/>
      <c r="K639" s="115"/>
      <c r="L639" s="115"/>
      <c r="M639" s="115"/>
      <c r="N639" s="115"/>
      <c r="O639" s="115"/>
      <c r="P639" s="115"/>
    </row>
    <row r="640" spans="10:16" ht="12.5" x14ac:dyDescent="0.25">
      <c r="J640" s="115"/>
      <c r="K640" s="115"/>
      <c r="L640" s="115"/>
      <c r="M640" s="115"/>
      <c r="N640" s="115"/>
      <c r="O640" s="115"/>
      <c r="P640" s="115"/>
    </row>
    <row r="641" spans="10:16" ht="12.5" x14ac:dyDescent="0.25">
      <c r="J641" s="115"/>
      <c r="K641" s="115"/>
      <c r="L641" s="115"/>
      <c r="M641" s="115"/>
      <c r="N641" s="115"/>
      <c r="O641" s="115"/>
      <c r="P641" s="115"/>
    </row>
    <row r="642" spans="10:16" ht="12.5" x14ac:dyDescent="0.25">
      <c r="J642" s="115"/>
      <c r="K642" s="115"/>
      <c r="L642" s="115"/>
      <c r="M642" s="115"/>
      <c r="N642" s="115"/>
      <c r="O642" s="115"/>
      <c r="P642" s="115"/>
    </row>
    <row r="643" spans="10:16" ht="12.5" x14ac:dyDescent="0.25">
      <c r="J643" s="115"/>
      <c r="K643" s="115"/>
      <c r="L643" s="115"/>
      <c r="M643" s="115"/>
      <c r="N643" s="115"/>
      <c r="O643" s="115"/>
      <c r="P643" s="115"/>
    </row>
    <row r="644" spans="10:16" ht="12.5" x14ac:dyDescent="0.25">
      <c r="J644" s="115"/>
      <c r="K644" s="115"/>
      <c r="L644" s="115"/>
      <c r="M644" s="115"/>
      <c r="N644" s="115"/>
      <c r="O644" s="115"/>
      <c r="P644" s="115"/>
    </row>
    <row r="645" spans="10:16" ht="12.5" x14ac:dyDescent="0.25">
      <c r="J645" s="115"/>
      <c r="K645" s="115"/>
      <c r="L645" s="115"/>
      <c r="M645" s="115"/>
      <c r="N645" s="115"/>
      <c r="O645" s="115"/>
      <c r="P645" s="115"/>
    </row>
    <row r="646" spans="10:16" ht="12.5" x14ac:dyDescent="0.25">
      <c r="J646" s="115"/>
      <c r="K646" s="115"/>
      <c r="L646" s="115"/>
      <c r="M646" s="115"/>
      <c r="N646" s="115"/>
      <c r="O646" s="115"/>
      <c r="P646" s="115"/>
    </row>
    <row r="647" spans="10:16" ht="12.5" x14ac:dyDescent="0.25">
      <c r="J647" s="115"/>
      <c r="K647" s="115"/>
      <c r="L647" s="115"/>
      <c r="M647" s="115"/>
      <c r="N647" s="115"/>
      <c r="O647" s="115"/>
      <c r="P647" s="115"/>
    </row>
    <row r="648" spans="10:16" ht="12.5" x14ac:dyDescent="0.25">
      <c r="J648" s="115"/>
      <c r="K648" s="115"/>
      <c r="L648" s="115"/>
      <c r="M648" s="115"/>
      <c r="N648" s="115"/>
      <c r="O648" s="115"/>
      <c r="P648" s="115"/>
    </row>
    <row r="649" spans="10:16" ht="12.5" x14ac:dyDescent="0.25">
      <c r="J649" s="115"/>
      <c r="K649" s="115"/>
      <c r="L649" s="115"/>
      <c r="M649" s="115"/>
      <c r="N649" s="115"/>
      <c r="O649" s="115"/>
      <c r="P649" s="115"/>
    </row>
    <row r="650" spans="10:16" ht="12.5" x14ac:dyDescent="0.25">
      <c r="J650" s="115"/>
      <c r="K650" s="115"/>
      <c r="L650" s="115"/>
      <c r="M650" s="115"/>
      <c r="N650" s="115"/>
      <c r="O650" s="115"/>
      <c r="P650" s="115"/>
    </row>
    <row r="651" spans="10:16" ht="12.5" x14ac:dyDescent="0.25">
      <c r="J651" s="115"/>
      <c r="K651" s="115"/>
      <c r="L651" s="115"/>
      <c r="M651" s="115"/>
      <c r="N651" s="115"/>
      <c r="O651" s="115"/>
      <c r="P651" s="115"/>
    </row>
    <row r="652" spans="10:16" ht="12.5" x14ac:dyDescent="0.25">
      <c r="J652" s="115"/>
      <c r="K652" s="115"/>
      <c r="L652" s="115"/>
      <c r="M652" s="115"/>
      <c r="N652" s="115"/>
      <c r="O652" s="115"/>
      <c r="P652" s="115"/>
    </row>
    <row r="653" spans="10:16" ht="12.5" x14ac:dyDescent="0.25">
      <c r="J653" s="115"/>
      <c r="K653" s="115"/>
      <c r="L653" s="115"/>
      <c r="M653" s="115"/>
      <c r="N653" s="115"/>
      <c r="O653" s="115"/>
      <c r="P653" s="115"/>
    </row>
    <row r="654" spans="10:16" ht="12.5" x14ac:dyDescent="0.25">
      <c r="J654" s="115"/>
      <c r="K654" s="115"/>
      <c r="L654" s="115"/>
      <c r="M654" s="115"/>
      <c r="N654" s="115"/>
      <c r="O654" s="115"/>
      <c r="P654" s="115"/>
    </row>
    <row r="655" spans="10:16" ht="12.5" x14ac:dyDescent="0.25">
      <c r="J655" s="115"/>
      <c r="K655" s="115"/>
      <c r="L655" s="115"/>
      <c r="M655" s="115"/>
      <c r="N655" s="115"/>
      <c r="O655" s="115"/>
      <c r="P655" s="115"/>
    </row>
    <row r="656" spans="10:16" ht="12.5" x14ac:dyDescent="0.25">
      <c r="J656" s="115"/>
      <c r="K656" s="115"/>
      <c r="L656" s="115"/>
      <c r="M656" s="115"/>
      <c r="N656" s="115"/>
      <c r="O656" s="115"/>
      <c r="P656" s="115"/>
    </row>
    <row r="657" spans="10:16" ht="12.5" x14ac:dyDescent="0.25">
      <c r="J657" s="115"/>
      <c r="K657" s="115"/>
      <c r="L657" s="115"/>
      <c r="M657" s="115"/>
      <c r="N657" s="115"/>
      <c r="O657" s="115"/>
      <c r="P657" s="115"/>
    </row>
    <row r="658" spans="10:16" ht="12.5" x14ac:dyDescent="0.25">
      <c r="J658" s="115"/>
      <c r="K658" s="115"/>
      <c r="L658" s="115"/>
      <c r="M658" s="115"/>
      <c r="N658" s="115"/>
      <c r="O658" s="115"/>
      <c r="P658" s="115"/>
    </row>
    <row r="659" spans="10:16" ht="12.5" x14ac:dyDescent="0.25">
      <c r="J659" s="115"/>
      <c r="K659" s="115"/>
      <c r="L659" s="115"/>
      <c r="M659" s="115"/>
      <c r="N659" s="115"/>
      <c r="O659" s="115"/>
      <c r="P659" s="115"/>
    </row>
    <row r="660" spans="10:16" ht="12.5" x14ac:dyDescent="0.25">
      <c r="J660" s="115"/>
      <c r="K660" s="115"/>
      <c r="L660" s="115"/>
      <c r="M660" s="115"/>
      <c r="N660" s="115"/>
      <c r="O660" s="115"/>
      <c r="P660" s="115"/>
    </row>
    <row r="661" spans="10:16" ht="12.5" x14ac:dyDescent="0.25">
      <c r="J661" s="115"/>
      <c r="K661" s="115"/>
      <c r="L661" s="115"/>
      <c r="M661" s="115"/>
      <c r="N661" s="115"/>
      <c r="O661" s="115"/>
      <c r="P661" s="115"/>
    </row>
    <row r="662" spans="10:16" ht="12.5" x14ac:dyDescent="0.25">
      <c r="J662" s="115"/>
      <c r="K662" s="115"/>
      <c r="L662" s="115"/>
      <c r="M662" s="115"/>
      <c r="N662" s="115"/>
      <c r="O662" s="115"/>
      <c r="P662" s="115"/>
    </row>
    <row r="663" spans="10:16" ht="12.5" x14ac:dyDescent="0.25">
      <c r="J663" s="115"/>
      <c r="K663" s="115"/>
      <c r="L663" s="115"/>
      <c r="M663" s="115"/>
      <c r="N663" s="115"/>
      <c r="O663" s="115"/>
      <c r="P663" s="115"/>
    </row>
    <row r="664" spans="10:16" ht="12.5" x14ac:dyDescent="0.25">
      <c r="J664" s="115"/>
      <c r="K664" s="115"/>
      <c r="L664" s="115"/>
      <c r="M664" s="115"/>
      <c r="N664" s="115"/>
      <c r="O664" s="115"/>
      <c r="P664" s="115"/>
    </row>
    <row r="665" spans="10:16" ht="12.5" x14ac:dyDescent="0.25">
      <c r="J665" s="115"/>
      <c r="K665" s="115"/>
      <c r="L665" s="115"/>
      <c r="M665" s="115"/>
      <c r="N665" s="115"/>
      <c r="O665" s="115"/>
      <c r="P665" s="115"/>
    </row>
    <row r="666" spans="10:16" ht="12.5" x14ac:dyDescent="0.25">
      <c r="J666" s="115"/>
      <c r="K666" s="115"/>
      <c r="L666" s="115"/>
      <c r="M666" s="115"/>
      <c r="N666" s="115"/>
      <c r="O666" s="115"/>
      <c r="P666" s="115"/>
    </row>
    <row r="667" spans="10:16" ht="12.5" x14ac:dyDescent="0.25">
      <c r="J667" s="115"/>
      <c r="K667" s="115"/>
      <c r="L667" s="115"/>
      <c r="M667" s="115"/>
      <c r="N667" s="115"/>
      <c r="O667" s="115"/>
      <c r="P667" s="115"/>
    </row>
    <row r="668" spans="10:16" ht="12.5" x14ac:dyDescent="0.25">
      <c r="J668" s="115"/>
      <c r="K668" s="115"/>
      <c r="L668" s="115"/>
      <c r="M668" s="115"/>
      <c r="N668" s="115"/>
      <c r="O668" s="115"/>
      <c r="P668" s="115"/>
    </row>
    <row r="669" spans="10:16" ht="12.5" x14ac:dyDescent="0.25">
      <c r="J669" s="115"/>
      <c r="K669" s="115"/>
      <c r="L669" s="115"/>
      <c r="M669" s="115"/>
      <c r="N669" s="115"/>
      <c r="O669" s="115"/>
      <c r="P669" s="115"/>
    </row>
    <row r="670" spans="10:16" ht="12.5" x14ac:dyDescent="0.25">
      <c r="J670" s="115"/>
      <c r="K670" s="115"/>
      <c r="L670" s="115"/>
      <c r="M670" s="115"/>
      <c r="N670" s="115"/>
      <c r="O670" s="115"/>
      <c r="P670" s="115"/>
    </row>
    <row r="671" spans="10:16" ht="12.5" x14ac:dyDescent="0.25">
      <c r="J671" s="115"/>
      <c r="K671" s="115"/>
      <c r="L671" s="115"/>
      <c r="M671" s="115"/>
      <c r="N671" s="115"/>
      <c r="O671" s="115"/>
      <c r="P671" s="115"/>
    </row>
    <row r="672" spans="10:16" ht="12.5" x14ac:dyDescent="0.25">
      <c r="J672" s="115"/>
      <c r="K672" s="115"/>
      <c r="L672" s="115"/>
      <c r="M672" s="115"/>
      <c r="N672" s="115"/>
      <c r="O672" s="115"/>
      <c r="P672" s="115"/>
    </row>
    <row r="673" spans="10:16" ht="12.5" x14ac:dyDescent="0.25">
      <c r="J673" s="115"/>
      <c r="K673" s="115"/>
      <c r="L673" s="115"/>
      <c r="M673" s="115"/>
      <c r="N673" s="115"/>
      <c r="O673" s="115"/>
      <c r="P673" s="115"/>
    </row>
    <row r="674" spans="10:16" ht="12.5" x14ac:dyDescent="0.25">
      <c r="J674" s="115"/>
      <c r="K674" s="115"/>
      <c r="L674" s="115"/>
      <c r="M674" s="115"/>
      <c r="N674" s="115"/>
      <c r="O674" s="115"/>
      <c r="P674" s="115"/>
    </row>
    <row r="675" spans="10:16" ht="12.5" x14ac:dyDescent="0.25">
      <c r="J675" s="115"/>
      <c r="K675" s="115"/>
      <c r="L675" s="115"/>
      <c r="M675" s="115"/>
      <c r="N675" s="115"/>
      <c r="O675" s="115"/>
      <c r="P675" s="115"/>
    </row>
    <row r="676" spans="10:16" ht="12.5" x14ac:dyDescent="0.25">
      <c r="J676" s="115"/>
      <c r="K676" s="115"/>
      <c r="L676" s="115"/>
      <c r="M676" s="115"/>
      <c r="N676" s="115"/>
      <c r="O676" s="115"/>
      <c r="P676" s="115"/>
    </row>
    <row r="677" spans="10:16" ht="12.5" x14ac:dyDescent="0.25">
      <c r="J677" s="115"/>
      <c r="K677" s="115"/>
      <c r="L677" s="115"/>
      <c r="M677" s="115"/>
      <c r="N677" s="115"/>
      <c r="O677" s="115"/>
      <c r="P677" s="115"/>
    </row>
    <row r="678" spans="10:16" ht="12.5" x14ac:dyDescent="0.25">
      <c r="J678" s="115"/>
      <c r="K678" s="115"/>
      <c r="L678" s="115"/>
      <c r="M678" s="115"/>
      <c r="N678" s="115"/>
      <c r="O678" s="115"/>
      <c r="P678" s="115"/>
    </row>
    <row r="679" spans="10:16" ht="12.5" x14ac:dyDescent="0.25">
      <c r="J679" s="115"/>
      <c r="K679" s="115"/>
      <c r="L679" s="115"/>
      <c r="M679" s="115"/>
      <c r="N679" s="115"/>
      <c r="O679" s="115"/>
      <c r="P679" s="115"/>
    </row>
    <row r="680" spans="10:16" ht="12.5" x14ac:dyDescent="0.25">
      <c r="J680" s="115"/>
      <c r="K680" s="115"/>
      <c r="L680" s="115"/>
      <c r="M680" s="115"/>
      <c r="N680" s="115"/>
      <c r="O680" s="115"/>
      <c r="P680" s="115"/>
    </row>
    <row r="681" spans="10:16" ht="12.5" x14ac:dyDescent="0.25">
      <c r="J681" s="115"/>
      <c r="K681" s="115"/>
      <c r="L681" s="115"/>
      <c r="M681" s="115"/>
      <c r="N681" s="115"/>
      <c r="O681" s="115"/>
      <c r="P681" s="115"/>
    </row>
    <row r="682" spans="10:16" ht="12.5" x14ac:dyDescent="0.25">
      <c r="J682" s="115"/>
      <c r="K682" s="115"/>
      <c r="L682" s="115"/>
      <c r="M682" s="115"/>
      <c r="N682" s="115"/>
      <c r="O682" s="115"/>
      <c r="P682" s="115"/>
    </row>
    <row r="683" spans="10:16" ht="12.5" x14ac:dyDescent="0.25">
      <c r="J683" s="115"/>
      <c r="K683" s="115"/>
      <c r="L683" s="115"/>
      <c r="M683" s="115"/>
      <c r="N683" s="115"/>
      <c r="O683" s="115"/>
      <c r="P683" s="115"/>
    </row>
    <row r="684" spans="10:16" ht="12.5" x14ac:dyDescent="0.25">
      <c r="J684" s="115"/>
      <c r="K684" s="115"/>
      <c r="L684" s="115"/>
      <c r="M684" s="115"/>
      <c r="N684" s="115"/>
      <c r="O684" s="115"/>
      <c r="P684" s="115"/>
    </row>
    <row r="685" spans="10:16" ht="12.5" x14ac:dyDescent="0.25">
      <c r="J685" s="115"/>
      <c r="K685" s="115"/>
      <c r="L685" s="115"/>
      <c r="M685" s="115"/>
      <c r="N685" s="115"/>
      <c r="O685" s="115"/>
      <c r="P685" s="115"/>
    </row>
    <row r="686" spans="10:16" ht="12.5" x14ac:dyDescent="0.25">
      <c r="J686" s="115"/>
      <c r="K686" s="115"/>
      <c r="L686" s="115"/>
      <c r="M686" s="115"/>
      <c r="N686" s="115"/>
      <c r="O686" s="115"/>
      <c r="P686" s="115"/>
    </row>
    <row r="687" spans="10:16" ht="12.5" x14ac:dyDescent="0.25">
      <c r="J687" s="115"/>
      <c r="K687" s="115"/>
      <c r="L687" s="115"/>
      <c r="M687" s="115"/>
      <c r="N687" s="115"/>
      <c r="O687" s="115"/>
      <c r="P687" s="115"/>
    </row>
    <row r="688" spans="10:16" ht="12.5" x14ac:dyDescent="0.25">
      <c r="J688" s="115"/>
      <c r="K688" s="115"/>
      <c r="L688" s="115"/>
      <c r="M688" s="115"/>
      <c r="N688" s="115"/>
      <c r="O688" s="115"/>
      <c r="P688" s="115"/>
    </row>
    <row r="689" spans="10:16" ht="12.5" x14ac:dyDescent="0.25">
      <c r="J689" s="115"/>
      <c r="K689" s="115"/>
      <c r="L689" s="115"/>
      <c r="M689" s="115"/>
      <c r="N689" s="115"/>
      <c r="O689" s="115"/>
      <c r="P689" s="115"/>
    </row>
    <row r="690" spans="10:16" ht="12.5" x14ac:dyDescent="0.25">
      <c r="J690" s="115"/>
      <c r="K690" s="115"/>
      <c r="L690" s="115"/>
      <c r="M690" s="115"/>
      <c r="N690" s="115"/>
      <c r="O690" s="115"/>
      <c r="P690" s="115"/>
    </row>
    <row r="691" spans="10:16" ht="12.5" x14ac:dyDescent="0.25">
      <c r="J691" s="115"/>
      <c r="K691" s="115"/>
      <c r="L691" s="115"/>
      <c r="M691" s="115"/>
      <c r="N691" s="115"/>
      <c r="O691" s="115"/>
      <c r="P691" s="115"/>
    </row>
    <row r="692" spans="10:16" ht="12.5" x14ac:dyDescent="0.25">
      <c r="J692" s="115"/>
      <c r="K692" s="115"/>
      <c r="L692" s="115"/>
      <c r="M692" s="115"/>
      <c r="N692" s="115"/>
      <c r="O692" s="115"/>
      <c r="P692" s="115"/>
    </row>
    <row r="693" spans="10:16" ht="12.5" x14ac:dyDescent="0.25">
      <c r="J693" s="115"/>
      <c r="K693" s="115"/>
      <c r="L693" s="115"/>
      <c r="M693" s="115"/>
      <c r="N693" s="115"/>
      <c r="O693" s="115"/>
      <c r="P693" s="115"/>
    </row>
    <row r="694" spans="10:16" ht="12.5" x14ac:dyDescent="0.25">
      <c r="J694" s="115"/>
      <c r="K694" s="115"/>
      <c r="L694" s="115"/>
      <c r="M694" s="115"/>
      <c r="N694" s="115"/>
      <c r="O694" s="115"/>
      <c r="P694" s="115"/>
    </row>
    <row r="695" spans="10:16" ht="12.5" x14ac:dyDescent="0.25">
      <c r="J695" s="115"/>
      <c r="K695" s="115"/>
      <c r="L695" s="115"/>
      <c r="M695" s="115"/>
      <c r="N695" s="115"/>
      <c r="O695" s="115"/>
      <c r="P695" s="115"/>
    </row>
    <row r="696" spans="10:16" ht="12.5" x14ac:dyDescent="0.25">
      <c r="J696" s="115"/>
      <c r="K696" s="115"/>
      <c r="L696" s="115"/>
      <c r="M696" s="115"/>
      <c r="N696" s="115"/>
      <c r="O696" s="115"/>
      <c r="P696" s="115"/>
    </row>
    <row r="697" spans="10:16" ht="12.5" x14ac:dyDescent="0.25">
      <c r="J697" s="115"/>
      <c r="K697" s="115"/>
      <c r="L697" s="115"/>
      <c r="M697" s="115"/>
      <c r="N697" s="115"/>
      <c r="O697" s="115"/>
      <c r="P697" s="115"/>
    </row>
    <row r="698" spans="10:16" ht="12.5" x14ac:dyDescent="0.25">
      <c r="J698" s="115"/>
      <c r="K698" s="115"/>
      <c r="L698" s="115"/>
      <c r="M698" s="115"/>
      <c r="N698" s="115"/>
      <c r="O698" s="115"/>
      <c r="P698" s="115"/>
    </row>
    <row r="699" spans="10:16" ht="12.5" x14ac:dyDescent="0.25">
      <c r="J699" s="115"/>
      <c r="K699" s="115"/>
      <c r="L699" s="115"/>
      <c r="M699" s="115"/>
      <c r="N699" s="115"/>
      <c r="O699" s="115"/>
      <c r="P699" s="115"/>
    </row>
    <row r="700" spans="10:16" ht="12.5" x14ac:dyDescent="0.25">
      <c r="J700" s="115"/>
      <c r="K700" s="115"/>
      <c r="L700" s="115"/>
      <c r="M700" s="115"/>
      <c r="N700" s="115"/>
      <c r="O700" s="115"/>
      <c r="P700" s="115"/>
    </row>
    <row r="701" spans="10:16" ht="12.5" x14ac:dyDescent="0.25">
      <c r="J701" s="115"/>
      <c r="K701" s="115"/>
      <c r="L701" s="115"/>
      <c r="M701" s="115"/>
      <c r="N701" s="115"/>
      <c r="O701" s="115"/>
      <c r="P701" s="115"/>
    </row>
    <row r="702" spans="10:16" ht="12.5" x14ac:dyDescent="0.25">
      <c r="J702" s="115"/>
      <c r="K702" s="115"/>
      <c r="L702" s="115"/>
      <c r="M702" s="115"/>
      <c r="N702" s="115"/>
      <c r="O702" s="115"/>
      <c r="P702" s="115"/>
    </row>
    <row r="703" spans="10:16" ht="12.5" x14ac:dyDescent="0.25">
      <c r="J703" s="115"/>
      <c r="K703" s="115"/>
      <c r="L703" s="115"/>
      <c r="M703" s="115"/>
      <c r="N703" s="115"/>
      <c r="O703" s="115"/>
      <c r="P703" s="115"/>
    </row>
    <row r="704" spans="10:16" ht="12.5" x14ac:dyDescent="0.25">
      <c r="J704" s="115"/>
      <c r="K704" s="115"/>
      <c r="L704" s="115"/>
      <c r="M704" s="115"/>
      <c r="N704" s="115"/>
      <c r="O704" s="115"/>
      <c r="P704" s="115"/>
    </row>
    <row r="705" spans="10:16" ht="12.5" x14ac:dyDescent="0.25">
      <c r="J705" s="115"/>
      <c r="K705" s="115"/>
      <c r="L705" s="115"/>
      <c r="M705" s="115"/>
      <c r="N705" s="115"/>
      <c r="O705" s="115"/>
      <c r="P705" s="115"/>
    </row>
    <row r="706" spans="10:16" ht="12.5" x14ac:dyDescent="0.25">
      <c r="J706" s="115"/>
      <c r="K706" s="115"/>
      <c r="L706" s="115"/>
      <c r="M706" s="115"/>
      <c r="N706" s="115"/>
      <c r="O706" s="115"/>
      <c r="P706" s="115"/>
    </row>
    <row r="707" spans="10:16" ht="12.5" x14ac:dyDescent="0.25">
      <c r="J707" s="115"/>
      <c r="K707" s="115"/>
      <c r="L707" s="115"/>
      <c r="M707" s="115"/>
      <c r="N707" s="115"/>
      <c r="O707" s="115"/>
      <c r="P707" s="115"/>
    </row>
    <row r="708" spans="10:16" ht="12.5" x14ac:dyDescent="0.25">
      <c r="J708" s="115"/>
      <c r="K708" s="115"/>
      <c r="L708" s="115"/>
      <c r="M708" s="115"/>
      <c r="N708" s="115"/>
      <c r="O708" s="115"/>
      <c r="P708" s="115"/>
    </row>
    <row r="709" spans="10:16" ht="12.5" x14ac:dyDescent="0.25">
      <c r="J709" s="115"/>
      <c r="K709" s="115"/>
      <c r="L709" s="115"/>
      <c r="M709" s="115"/>
      <c r="N709" s="115"/>
      <c r="O709" s="115"/>
      <c r="P709" s="115"/>
    </row>
    <row r="710" spans="10:16" ht="12.5" x14ac:dyDescent="0.25">
      <c r="J710" s="115"/>
      <c r="K710" s="115"/>
      <c r="L710" s="115"/>
      <c r="M710" s="115"/>
      <c r="N710" s="115"/>
      <c r="O710" s="115"/>
      <c r="P710" s="115"/>
    </row>
    <row r="711" spans="10:16" ht="12.5" x14ac:dyDescent="0.25">
      <c r="J711" s="115"/>
      <c r="K711" s="115"/>
      <c r="L711" s="115"/>
      <c r="M711" s="115"/>
      <c r="N711" s="115"/>
      <c r="O711" s="115"/>
      <c r="P711" s="115"/>
    </row>
    <row r="712" spans="10:16" ht="12.5" x14ac:dyDescent="0.25">
      <c r="J712" s="115"/>
      <c r="K712" s="115"/>
      <c r="L712" s="115"/>
      <c r="M712" s="115"/>
      <c r="N712" s="115"/>
      <c r="O712" s="115"/>
      <c r="P712" s="115"/>
    </row>
    <row r="713" spans="10:16" ht="12.5" x14ac:dyDescent="0.25">
      <c r="J713" s="115"/>
      <c r="K713" s="115"/>
      <c r="L713" s="115"/>
      <c r="M713" s="115"/>
      <c r="N713" s="115"/>
      <c r="O713" s="115"/>
      <c r="P713" s="115"/>
    </row>
    <row r="714" spans="10:16" ht="12.5" x14ac:dyDescent="0.25">
      <c r="J714" s="115"/>
      <c r="K714" s="115"/>
      <c r="L714" s="115"/>
      <c r="M714" s="115"/>
      <c r="N714" s="115"/>
      <c r="O714" s="115"/>
      <c r="P714" s="115"/>
    </row>
    <row r="715" spans="10:16" ht="12.5" x14ac:dyDescent="0.25">
      <c r="J715" s="115"/>
      <c r="K715" s="115"/>
      <c r="L715" s="115"/>
      <c r="M715" s="115"/>
      <c r="N715" s="115"/>
      <c r="O715" s="115"/>
      <c r="P715" s="115"/>
    </row>
    <row r="716" spans="10:16" ht="12.5" x14ac:dyDescent="0.25">
      <c r="J716" s="115"/>
      <c r="K716" s="115"/>
      <c r="L716" s="115"/>
      <c r="M716" s="115"/>
      <c r="N716" s="115"/>
      <c r="O716" s="115"/>
      <c r="P716" s="115"/>
    </row>
    <row r="717" spans="10:16" ht="12.5" x14ac:dyDescent="0.25">
      <c r="J717" s="115"/>
      <c r="K717" s="115"/>
      <c r="L717" s="115"/>
      <c r="M717" s="115"/>
      <c r="N717" s="115"/>
      <c r="O717" s="115"/>
      <c r="P717" s="115"/>
    </row>
    <row r="718" spans="10:16" ht="12.5" x14ac:dyDescent="0.25">
      <c r="J718" s="115"/>
      <c r="K718" s="115"/>
      <c r="L718" s="115"/>
      <c r="M718" s="115"/>
      <c r="N718" s="115"/>
      <c r="O718" s="115"/>
      <c r="P718" s="115"/>
    </row>
    <row r="719" spans="10:16" ht="12.5" x14ac:dyDescent="0.25">
      <c r="J719" s="115"/>
      <c r="K719" s="115"/>
      <c r="L719" s="115"/>
      <c r="M719" s="115"/>
      <c r="N719" s="115"/>
      <c r="O719" s="115"/>
      <c r="P719" s="115"/>
    </row>
    <row r="720" spans="10:16" ht="12.5" x14ac:dyDescent="0.25">
      <c r="J720" s="115"/>
      <c r="K720" s="115"/>
      <c r="L720" s="115"/>
      <c r="M720" s="115"/>
      <c r="N720" s="115"/>
      <c r="O720" s="115"/>
      <c r="P720" s="115"/>
    </row>
    <row r="721" spans="10:16" ht="12.5" x14ac:dyDescent="0.25">
      <c r="J721" s="115"/>
      <c r="K721" s="115"/>
      <c r="L721" s="115"/>
      <c r="M721" s="115"/>
      <c r="N721" s="115"/>
      <c r="O721" s="115"/>
      <c r="P721" s="115"/>
    </row>
    <row r="722" spans="10:16" ht="12.5" x14ac:dyDescent="0.25">
      <c r="J722" s="115"/>
      <c r="K722" s="115"/>
      <c r="L722" s="115"/>
      <c r="M722" s="115"/>
      <c r="N722" s="115"/>
      <c r="O722" s="115"/>
      <c r="P722" s="115"/>
    </row>
    <row r="723" spans="10:16" ht="12.5" x14ac:dyDescent="0.25">
      <c r="J723" s="115"/>
      <c r="K723" s="115"/>
      <c r="L723" s="115"/>
      <c r="M723" s="115"/>
      <c r="N723" s="115"/>
      <c r="O723" s="115"/>
      <c r="P723" s="115"/>
    </row>
    <row r="724" spans="10:16" ht="12.5" x14ac:dyDescent="0.25">
      <c r="J724" s="115"/>
      <c r="K724" s="115"/>
      <c r="L724" s="115"/>
      <c r="M724" s="115"/>
      <c r="N724" s="115"/>
      <c r="O724" s="115"/>
      <c r="P724" s="115"/>
    </row>
    <row r="725" spans="10:16" ht="12.5" x14ac:dyDescent="0.25">
      <c r="J725" s="115"/>
      <c r="K725" s="115"/>
      <c r="L725" s="115"/>
      <c r="M725" s="115"/>
      <c r="N725" s="115"/>
      <c r="O725" s="115"/>
      <c r="P725" s="115"/>
    </row>
    <row r="726" spans="10:16" ht="12.5" x14ac:dyDescent="0.25">
      <c r="J726" s="115"/>
      <c r="K726" s="115"/>
      <c r="L726" s="115"/>
      <c r="M726" s="115"/>
      <c r="N726" s="115"/>
      <c r="O726" s="115"/>
      <c r="P726" s="115"/>
    </row>
    <row r="727" spans="10:16" ht="12.5" x14ac:dyDescent="0.25">
      <c r="J727" s="115"/>
      <c r="K727" s="115"/>
      <c r="L727" s="115"/>
      <c r="M727" s="115"/>
      <c r="N727" s="115"/>
      <c r="O727" s="115"/>
      <c r="P727" s="115"/>
    </row>
    <row r="728" spans="10:16" ht="12.5" x14ac:dyDescent="0.25">
      <c r="J728" s="115"/>
      <c r="K728" s="115"/>
      <c r="L728" s="115"/>
      <c r="M728" s="115"/>
      <c r="N728" s="115"/>
      <c r="O728" s="115"/>
      <c r="P728" s="115"/>
    </row>
    <row r="729" spans="10:16" ht="12.5" x14ac:dyDescent="0.25">
      <c r="J729" s="115"/>
      <c r="K729" s="115"/>
      <c r="L729" s="115"/>
      <c r="M729" s="115"/>
      <c r="N729" s="115"/>
      <c r="O729" s="115"/>
      <c r="P729" s="115"/>
    </row>
    <row r="730" spans="10:16" ht="12.5" x14ac:dyDescent="0.25">
      <c r="J730" s="115"/>
      <c r="K730" s="115"/>
      <c r="L730" s="115"/>
      <c r="M730" s="115"/>
      <c r="N730" s="115"/>
      <c r="O730" s="115"/>
      <c r="P730" s="115"/>
    </row>
    <row r="731" spans="10:16" ht="12.5" x14ac:dyDescent="0.25">
      <c r="J731" s="115"/>
      <c r="K731" s="115"/>
      <c r="L731" s="115"/>
      <c r="M731" s="115"/>
      <c r="N731" s="115"/>
      <c r="O731" s="115"/>
      <c r="P731" s="115"/>
    </row>
    <row r="732" spans="10:16" ht="12.5" x14ac:dyDescent="0.25">
      <c r="J732" s="115"/>
      <c r="K732" s="115"/>
      <c r="L732" s="115"/>
      <c r="M732" s="115"/>
      <c r="N732" s="115"/>
      <c r="O732" s="115"/>
      <c r="P732" s="115"/>
    </row>
    <row r="733" spans="10:16" ht="12.5" x14ac:dyDescent="0.25">
      <c r="J733" s="115"/>
      <c r="K733" s="115"/>
      <c r="L733" s="115"/>
      <c r="M733" s="115"/>
      <c r="N733" s="115"/>
      <c r="O733" s="115"/>
      <c r="P733" s="115"/>
    </row>
    <row r="734" spans="10:16" ht="12.5" x14ac:dyDescent="0.25">
      <c r="J734" s="115"/>
      <c r="K734" s="115"/>
      <c r="L734" s="115"/>
      <c r="M734" s="115"/>
      <c r="N734" s="115"/>
      <c r="O734" s="115"/>
      <c r="P734" s="115"/>
    </row>
    <row r="735" spans="10:16" ht="12.5" x14ac:dyDescent="0.25">
      <c r="J735" s="115"/>
      <c r="K735" s="115"/>
      <c r="L735" s="115"/>
      <c r="M735" s="115"/>
      <c r="N735" s="115"/>
      <c r="O735" s="115"/>
      <c r="P735" s="115"/>
    </row>
    <row r="736" spans="10:16" ht="12.5" x14ac:dyDescent="0.25">
      <c r="J736" s="115"/>
      <c r="K736" s="115"/>
      <c r="L736" s="115"/>
      <c r="M736" s="115"/>
      <c r="N736" s="115"/>
      <c r="O736" s="115"/>
      <c r="P736" s="115"/>
    </row>
    <row r="737" spans="10:16" ht="12.5" x14ac:dyDescent="0.25">
      <c r="J737" s="115"/>
      <c r="K737" s="115"/>
      <c r="L737" s="115"/>
      <c r="M737" s="115"/>
      <c r="N737" s="115"/>
      <c r="O737" s="115"/>
      <c r="P737" s="115"/>
    </row>
    <row r="738" spans="10:16" ht="12.5" x14ac:dyDescent="0.25">
      <c r="J738" s="115"/>
      <c r="K738" s="115"/>
      <c r="L738" s="115"/>
      <c r="M738" s="115"/>
      <c r="N738" s="115"/>
      <c r="O738" s="115"/>
      <c r="P738" s="115"/>
    </row>
    <row r="739" spans="10:16" ht="12.5" x14ac:dyDescent="0.25">
      <c r="J739" s="115"/>
      <c r="K739" s="115"/>
      <c r="L739" s="115"/>
      <c r="M739" s="115"/>
      <c r="N739" s="115"/>
      <c r="O739" s="115"/>
      <c r="P739" s="115"/>
    </row>
    <row r="740" spans="10:16" ht="12.5" x14ac:dyDescent="0.25">
      <c r="J740" s="115"/>
      <c r="K740" s="115"/>
      <c r="L740" s="115"/>
      <c r="M740" s="115"/>
      <c r="N740" s="115"/>
      <c r="O740" s="115"/>
      <c r="P740" s="115"/>
    </row>
    <row r="741" spans="10:16" ht="12.5" x14ac:dyDescent="0.25">
      <c r="J741" s="115"/>
      <c r="K741" s="115"/>
      <c r="L741" s="115"/>
      <c r="M741" s="115"/>
      <c r="N741" s="115"/>
      <c r="O741" s="115"/>
      <c r="P741" s="115"/>
    </row>
    <row r="742" spans="10:16" ht="12.5" x14ac:dyDescent="0.25">
      <c r="J742" s="115"/>
      <c r="K742" s="115"/>
      <c r="L742" s="115"/>
      <c r="M742" s="115"/>
      <c r="N742" s="115"/>
      <c r="O742" s="115"/>
      <c r="P742" s="115"/>
    </row>
    <row r="743" spans="10:16" ht="12.5" x14ac:dyDescent="0.25">
      <c r="J743" s="115"/>
      <c r="K743" s="115"/>
      <c r="L743" s="115"/>
      <c r="M743" s="115"/>
      <c r="N743" s="115"/>
      <c r="O743" s="115"/>
      <c r="P743" s="115"/>
    </row>
    <row r="744" spans="10:16" ht="12.5" x14ac:dyDescent="0.25">
      <c r="J744" s="115"/>
      <c r="K744" s="115"/>
      <c r="L744" s="115"/>
      <c r="M744" s="115"/>
      <c r="N744" s="115"/>
      <c r="O744" s="115"/>
      <c r="P744" s="115"/>
    </row>
    <row r="745" spans="10:16" ht="12.5" x14ac:dyDescent="0.25">
      <c r="J745" s="115"/>
      <c r="K745" s="115"/>
      <c r="L745" s="115"/>
      <c r="M745" s="115"/>
      <c r="N745" s="115"/>
      <c r="O745" s="115"/>
      <c r="P745" s="115"/>
    </row>
    <row r="746" spans="10:16" ht="12.5" x14ac:dyDescent="0.25">
      <c r="J746" s="115"/>
      <c r="K746" s="115"/>
      <c r="L746" s="115"/>
      <c r="M746" s="115"/>
      <c r="N746" s="115"/>
      <c r="O746" s="115"/>
      <c r="P746" s="115"/>
    </row>
    <row r="747" spans="10:16" ht="12.5" x14ac:dyDescent="0.25">
      <c r="J747" s="115"/>
      <c r="K747" s="115"/>
      <c r="L747" s="115"/>
      <c r="M747" s="115"/>
      <c r="N747" s="115"/>
      <c r="O747" s="115"/>
      <c r="P747" s="115"/>
    </row>
    <row r="748" spans="10:16" ht="12.5" x14ac:dyDescent="0.25">
      <c r="J748" s="115"/>
      <c r="K748" s="115"/>
      <c r="L748" s="115"/>
      <c r="M748" s="115"/>
      <c r="N748" s="115"/>
      <c r="O748" s="115"/>
      <c r="P748" s="115"/>
    </row>
    <row r="749" spans="10:16" ht="12.5" x14ac:dyDescent="0.25">
      <c r="J749" s="115"/>
      <c r="K749" s="115"/>
      <c r="L749" s="115"/>
      <c r="M749" s="115"/>
      <c r="N749" s="115"/>
      <c r="O749" s="115"/>
      <c r="P749" s="115"/>
    </row>
    <row r="750" spans="10:16" ht="12.5" x14ac:dyDescent="0.25">
      <c r="J750" s="115"/>
      <c r="K750" s="115"/>
      <c r="L750" s="115"/>
      <c r="M750" s="115"/>
      <c r="N750" s="115"/>
      <c r="O750" s="115"/>
      <c r="P750" s="115"/>
    </row>
    <row r="751" spans="10:16" ht="12.5" x14ac:dyDescent="0.25">
      <c r="J751" s="115"/>
      <c r="K751" s="115"/>
      <c r="L751" s="115"/>
      <c r="M751" s="115"/>
      <c r="N751" s="115"/>
      <c r="O751" s="115"/>
      <c r="P751" s="115"/>
    </row>
    <row r="752" spans="10:16" ht="12.5" x14ac:dyDescent="0.25">
      <c r="J752" s="115"/>
      <c r="K752" s="115"/>
      <c r="L752" s="115"/>
      <c r="M752" s="115"/>
      <c r="N752" s="115"/>
      <c r="O752" s="115"/>
      <c r="P752" s="115"/>
    </row>
    <row r="753" spans="10:16" ht="12.5" x14ac:dyDescent="0.25">
      <c r="J753" s="115"/>
      <c r="K753" s="115"/>
      <c r="L753" s="115"/>
      <c r="M753" s="115"/>
      <c r="N753" s="115"/>
      <c r="O753" s="115"/>
      <c r="P753" s="115"/>
    </row>
    <row r="754" spans="10:16" ht="12.5" x14ac:dyDescent="0.25">
      <c r="J754" s="115"/>
      <c r="K754" s="115"/>
      <c r="L754" s="115"/>
      <c r="M754" s="115"/>
      <c r="N754" s="115"/>
      <c r="O754" s="115"/>
      <c r="P754" s="115"/>
    </row>
    <row r="755" spans="10:16" ht="12.5" x14ac:dyDescent="0.25">
      <c r="J755" s="115"/>
      <c r="K755" s="115"/>
      <c r="L755" s="115"/>
      <c r="M755" s="115"/>
      <c r="N755" s="115"/>
      <c r="O755" s="115"/>
      <c r="P755" s="115"/>
    </row>
    <row r="756" spans="10:16" ht="12.5" x14ac:dyDescent="0.25">
      <c r="J756" s="115"/>
      <c r="K756" s="115"/>
      <c r="L756" s="115"/>
      <c r="M756" s="115"/>
      <c r="N756" s="115"/>
      <c r="O756" s="115"/>
      <c r="P756" s="115"/>
    </row>
    <row r="757" spans="10:16" ht="12.5" x14ac:dyDescent="0.25">
      <c r="J757" s="115"/>
      <c r="K757" s="115"/>
      <c r="L757" s="115"/>
      <c r="M757" s="115"/>
      <c r="N757" s="115"/>
      <c r="O757" s="115"/>
      <c r="P757" s="115"/>
    </row>
    <row r="758" spans="10:16" ht="12.5" x14ac:dyDescent="0.25">
      <c r="J758" s="115"/>
      <c r="K758" s="115"/>
      <c r="L758" s="115"/>
      <c r="M758" s="115"/>
      <c r="N758" s="115"/>
      <c r="O758" s="115"/>
      <c r="P758" s="115"/>
    </row>
    <row r="759" spans="10:16" ht="12.5" x14ac:dyDescent="0.25">
      <c r="J759" s="115"/>
      <c r="K759" s="115"/>
      <c r="L759" s="115"/>
      <c r="M759" s="115"/>
      <c r="N759" s="115"/>
      <c r="O759" s="115"/>
      <c r="P759" s="115"/>
    </row>
    <row r="760" spans="10:16" ht="12.5" x14ac:dyDescent="0.25">
      <c r="J760" s="115"/>
      <c r="K760" s="115"/>
      <c r="L760" s="115"/>
      <c r="M760" s="115"/>
      <c r="N760" s="115"/>
      <c r="O760" s="115"/>
      <c r="P760" s="115"/>
    </row>
    <row r="761" spans="10:16" ht="12.5" x14ac:dyDescent="0.25">
      <c r="J761" s="115"/>
      <c r="K761" s="115"/>
      <c r="L761" s="115"/>
      <c r="M761" s="115"/>
      <c r="N761" s="115"/>
      <c r="O761" s="115"/>
      <c r="P761" s="115"/>
    </row>
    <row r="762" spans="10:16" ht="12.5" x14ac:dyDescent="0.25">
      <c r="J762" s="115"/>
      <c r="K762" s="115"/>
      <c r="L762" s="115"/>
      <c r="M762" s="115"/>
      <c r="N762" s="115"/>
      <c r="O762" s="115"/>
      <c r="P762" s="115"/>
    </row>
    <row r="763" spans="10:16" ht="12.5" x14ac:dyDescent="0.25">
      <c r="J763" s="115"/>
      <c r="K763" s="115"/>
      <c r="L763" s="115"/>
      <c r="M763" s="115"/>
      <c r="N763" s="115"/>
      <c r="O763" s="115"/>
      <c r="P763" s="115"/>
    </row>
    <row r="764" spans="10:16" ht="12.5" x14ac:dyDescent="0.25">
      <c r="J764" s="115"/>
      <c r="K764" s="115"/>
      <c r="L764" s="115"/>
      <c r="M764" s="115"/>
      <c r="N764" s="115"/>
      <c r="O764" s="115"/>
      <c r="P764" s="115"/>
    </row>
    <row r="765" spans="10:16" ht="12.5" x14ac:dyDescent="0.25">
      <c r="J765" s="115"/>
      <c r="K765" s="115"/>
      <c r="L765" s="115"/>
      <c r="M765" s="115"/>
      <c r="N765" s="115"/>
      <c r="O765" s="115"/>
      <c r="P765" s="115"/>
    </row>
    <row r="766" spans="10:16" ht="12.5" x14ac:dyDescent="0.25">
      <c r="J766" s="115"/>
      <c r="K766" s="115"/>
      <c r="L766" s="115"/>
      <c r="M766" s="115"/>
      <c r="N766" s="115"/>
      <c r="O766" s="115"/>
      <c r="P766" s="115"/>
    </row>
    <row r="767" spans="10:16" ht="12.5" x14ac:dyDescent="0.25">
      <c r="J767" s="115"/>
      <c r="K767" s="115"/>
      <c r="L767" s="115"/>
      <c r="M767" s="115"/>
      <c r="N767" s="115"/>
      <c r="O767" s="115"/>
      <c r="P767" s="115"/>
    </row>
    <row r="768" spans="10:16" ht="12.5" x14ac:dyDescent="0.25">
      <c r="J768" s="115"/>
      <c r="K768" s="115"/>
      <c r="L768" s="115"/>
      <c r="M768" s="115"/>
      <c r="N768" s="115"/>
      <c r="O768" s="115"/>
      <c r="P768" s="115"/>
    </row>
    <row r="769" spans="10:16" ht="12.5" x14ac:dyDescent="0.25">
      <c r="J769" s="115"/>
      <c r="K769" s="115"/>
      <c r="L769" s="115"/>
      <c r="M769" s="115"/>
      <c r="N769" s="115"/>
      <c r="O769" s="115"/>
      <c r="P769" s="115"/>
    </row>
    <row r="770" spans="10:16" ht="12.5" x14ac:dyDescent="0.25">
      <c r="J770" s="115"/>
      <c r="K770" s="115"/>
      <c r="L770" s="115"/>
      <c r="M770" s="115"/>
      <c r="N770" s="115"/>
      <c r="O770" s="115"/>
      <c r="P770" s="115"/>
    </row>
    <row r="771" spans="10:16" ht="12.5" x14ac:dyDescent="0.25">
      <c r="J771" s="115"/>
      <c r="K771" s="115"/>
      <c r="L771" s="115"/>
      <c r="M771" s="115"/>
      <c r="N771" s="115"/>
      <c r="O771" s="115"/>
      <c r="P771" s="115"/>
    </row>
    <row r="772" spans="10:16" ht="12.5" x14ac:dyDescent="0.25">
      <c r="J772" s="115"/>
      <c r="K772" s="115"/>
      <c r="L772" s="115"/>
      <c r="M772" s="115"/>
      <c r="N772" s="115"/>
      <c r="O772" s="115"/>
      <c r="P772" s="115"/>
    </row>
    <row r="773" spans="10:16" ht="12.5" x14ac:dyDescent="0.25">
      <c r="J773" s="115"/>
      <c r="K773" s="115"/>
      <c r="L773" s="115"/>
      <c r="M773" s="115"/>
      <c r="N773" s="115"/>
      <c r="O773" s="115"/>
      <c r="P773" s="115"/>
    </row>
    <row r="774" spans="10:16" ht="12.5" x14ac:dyDescent="0.25">
      <c r="J774" s="115"/>
      <c r="K774" s="115"/>
      <c r="L774" s="115"/>
      <c r="M774" s="115"/>
      <c r="N774" s="115"/>
      <c r="O774" s="115"/>
      <c r="P774" s="115"/>
    </row>
    <row r="775" spans="10:16" ht="12.5" x14ac:dyDescent="0.25">
      <c r="J775" s="115"/>
      <c r="K775" s="115"/>
      <c r="L775" s="115"/>
      <c r="M775" s="115"/>
      <c r="N775" s="115"/>
      <c r="O775" s="115"/>
      <c r="P775" s="115"/>
    </row>
    <row r="776" spans="10:16" ht="12.5" x14ac:dyDescent="0.25">
      <c r="J776" s="115"/>
      <c r="K776" s="115"/>
      <c r="L776" s="115"/>
      <c r="M776" s="115"/>
      <c r="N776" s="115"/>
      <c r="O776" s="115"/>
      <c r="P776" s="115"/>
    </row>
    <row r="777" spans="10:16" ht="12.5" x14ac:dyDescent="0.25">
      <c r="J777" s="115"/>
      <c r="K777" s="115"/>
      <c r="L777" s="115"/>
      <c r="M777" s="115"/>
      <c r="N777" s="115"/>
      <c r="O777" s="115"/>
      <c r="P777" s="115"/>
    </row>
    <row r="778" spans="10:16" ht="12.5" x14ac:dyDescent="0.25">
      <c r="J778" s="115"/>
      <c r="K778" s="115"/>
      <c r="L778" s="115"/>
      <c r="M778" s="115"/>
      <c r="N778" s="115"/>
      <c r="O778" s="115"/>
      <c r="P778" s="115"/>
    </row>
    <row r="779" spans="10:16" ht="12.5" x14ac:dyDescent="0.25">
      <c r="J779" s="115"/>
      <c r="K779" s="115"/>
      <c r="L779" s="115"/>
      <c r="M779" s="115"/>
      <c r="N779" s="115"/>
      <c r="O779" s="115"/>
      <c r="P779" s="115"/>
    </row>
    <row r="780" spans="10:16" ht="12.5" x14ac:dyDescent="0.25">
      <c r="J780" s="115"/>
      <c r="K780" s="115"/>
      <c r="L780" s="115"/>
      <c r="M780" s="115"/>
      <c r="N780" s="115"/>
      <c r="O780" s="115"/>
      <c r="P780" s="115"/>
    </row>
    <row r="781" spans="10:16" ht="12.5" x14ac:dyDescent="0.25">
      <c r="J781" s="115"/>
      <c r="K781" s="115"/>
      <c r="L781" s="115"/>
      <c r="M781" s="115"/>
      <c r="N781" s="115"/>
      <c r="O781" s="115"/>
      <c r="P781" s="115"/>
    </row>
    <row r="782" spans="10:16" ht="12.5" x14ac:dyDescent="0.25">
      <c r="J782" s="115"/>
      <c r="K782" s="115"/>
      <c r="L782" s="115"/>
      <c r="M782" s="115"/>
      <c r="N782" s="115"/>
      <c r="O782" s="115"/>
      <c r="P782" s="115"/>
    </row>
    <row r="783" spans="10:16" ht="12.5" x14ac:dyDescent="0.25">
      <c r="J783" s="115"/>
      <c r="K783" s="115"/>
      <c r="L783" s="115"/>
      <c r="M783" s="115"/>
      <c r="N783" s="115"/>
      <c r="O783" s="115"/>
      <c r="P783" s="115"/>
    </row>
    <row r="784" spans="10:16" ht="12.5" x14ac:dyDescent="0.25">
      <c r="J784" s="115"/>
      <c r="K784" s="115"/>
      <c r="L784" s="115"/>
      <c r="M784" s="115"/>
      <c r="N784" s="115"/>
      <c r="O784" s="115"/>
      <c r="P784" s="115"/>
    </row>
    <row r="785" spans="10:16" ht="12.5" x14ac:dyDescent="0.25">
      <c r="J785" s="115"/>
      <c r="K785" s="115"/>
      <c r="L785" s="115"/>
      <c r="M785" s="115"/>
      <c r="N785" s="115"/>
      <c r="O785" s="115"/>
      <c r="P785" s="115"/>
    </row>
    <row r="786" spans="10:16" ht="12.5" x14ac:dyDescent="0.25">
      <c r="J786" s="115"/>
      <c r="K786" s="115"/>
      <c r="L786" s="115"/>
      <c r="M786" s="115"/>
      <c r="N786" s="115"/>
      <c r="O786" s="115"/>
      <c r="P786" s="115"/>
    </row>
    <row r="787" spans="10:16" ht="12.5" x14ac:dyDescent="0.25">
      <c r="J787" s="115"/>
      <c r="K787" s="115"/>
      <c r="L787" s="115"/>
      <c r="M787" s="115"/>
      <c r="N787" s="115"/>
      <c r="O787" s="115"/>
      <c r="P787" s="115"/>
    </row>
    <row r="788" spans="10:16" ht="12.5" x14ac:dyDescent="0.25">
      <c r="J788" s="115"/>
      <c r="K788" s="115"/>
      <c r="L788" s="115"/>
      <c r="M788" s="115"/>
      <c r="N788" s="115"/>
      <c r="O788" s="115"/>
      <c r="P788" s="115"/>
    </row>
    <row r="789" spans="10:16" ht="12.5" x14ac:dyDescent="0.25">
      <c r="J789" s="115"/>
      <c r="K789" s="115"/>
      <c r="L789" s="115"/>
      <c r="M789" s="115"/>
      <c r="N789" s="115"/>
      <c r="O789" s="115"/>
      <c r="P789" s="115"/>
    </row>
    <row r="790" spans="10:16" ht="12.5" x14ac:dyDescent="0.25">
      <c r="J790" s="115"/>
      <c r="K790" s="115"/>
      <c r="L790" s="115"/>
      <c r="M790" s="115"/>
      <c r="N790" s="115"/>
      <c r="O790" s="115"/>
      <c r="P790" s="115"/>
    </row>
    <row r="791" spans="10:16" ht="12.5" x14ac:dyDescent="0.25">
      <c r="J791" s="115"/>
      <c r="K791" s="115"/>
      <c r="L791" s="115"/>
      <c r="M791" s="115"/>
      <c r="N791" s="115"/>
      <c r="O791" s="115"/>
      <c r="P791" s="115"/>
    </row>
    <row r="792" spans="10:16" ht="12.5" x14ac:dyDescent="0.25">
      <c r="J792" s="115"/>
      <c r="K792" s="115"/>
      <c r="L792" s="115"/>
      <c r="M792" s="115"/>
      <c r="N792" s="115"/>
      <c r="O792" s="115"/>
      <c r="P792" s="115"/>
    </row>
    <row r="793" spans="10:16" ht="12.5" x14ac:dyDescent="0.25">
      <c r="J793" s="115"/>
      <c r="K793" s="115"/>
      <c r="L793" s="115"/>
      <c r="M793" s="115"/>
      <c r="N793" s="115"/>
      <c r="O793" s="115"/>
      <c r="P793" s="115"/>
    </row>
    <row r="794" spans="10:16" ht="12.5" x14ac:dyDescent="0.25">
      <c r="J794" s="115"/>
      <c r="K794" s="115"/>
      <c r="L794" s="115"/>
      <c r="M794" s="115"/>
      <c r="N794" s="115"/>
      <c r="O794" s="115"/>
      <c r="P794" s="115"/>
    </row>
    <row r="795" spans="10:16" ht="12.5" x14ac:dyDescent="0.25">
      <c r="J795" s="115"/>
      <c r="K795" s="115"/>
      <c r="L795" s="115"/>
      <c r="M795" s="115"/>
      <c r="N795" s="115"/>
      <c r="O795" s="115"/>
      <c r="P795" s="115"/>
    </row>
    <row r="796" spans="10:16" ht="12.5" x14ac:dyDescent="0.25">
      <c r="J796" s="115"/>
      <c r="K796" s="115"/>
      <c r="L796" s="115"/>
      <c r="M796" s="115"/>
      <c r="N796" s="115"/>
      <c r="O796" s="115"/>
      <c r="P796" s="115"/>
    </row>
    <row r="797" spans="10:16" ht="12.5" x14ac:dyDescent="0.25">
      <c r="J797" s="115"/>
      <c r="K797" s="115"/>
      <c r="L797" s="115"/>
      <c r="M797" s="115"/>
      <c r="N797" s="115"/>
      <c r="O797" s="115"/>
      <c r="P797" s="115"/>
    </row>
    <row r="798" spans="10:16" ht="12.5" x14ac:dyDescent="0.25">
      <c r="J798" s="115"/>
      <c r="K798" s="115"/>
      <c r="L798" s="115"/>
      <c r="M798" s="115"/>
      <c r="N798" s="115"/>
      <c r="O798" s="115"/>
      <c r="P798" s="115"/>
    </row>
    <row r="799" spans="10:16" ht="12.5" x14ac:dyDescent="0.25">
      <c r="J799" s="115"/>
      <c r="K799" s="115"/>
      <c r="L799" s="115"/>
      <c r="M799" s="115"/>
      <c r="N799" s="115"/>
      <c r="O799" s="115"/>
      <c r="P799" s="115"/>
    </row>
    <row r="800" spans="10:16" ht="12.5" x14ac:dyDescent="0.25">
      <c r="J800" s="115"/>
      <c r="K800" s="115"/>
      <c r="L800" s="115"/>
      <c r="M800" s="115"/>
      <c r="N800" s="115"/>
      <c r="O800" s="115"/>
      <c r="P800" s="115"/>
    </row>
    <row r="801" spans="10:16" ht="12.5" x14ac:dyDescent="0.25">
      <c r="J801" s="115"/>
      <c r="K801" s="115"/>
      <c r="L801" s="115"/>
      <c r="M801" s="115"/>
      <c r="N801" s="115"/>
      <c r="O801" s="115"/>
      <c r="P801" s="115"/>
    </row>
    <row r="802" spans="10:16" ht="12.5" x14ac:dyDescent="0.25">
      <c r="J802" s="115"/>
      <c r="K802" s="115"/>
      <c r="L802" s="115"/>
      <c r="M802" s="115"/>
      <c r="N802" s="115"/>
      <c r="O802" s="115"/>
      <c r="P802" s="115"/>
    </row>
    <row r="803" spans="10:16" ht="12.5" x14ac:dyDescent="0.25">
      <c r="J803" s="115"/>
      <c r="K803" s="115"/>
      <c r="L803" s="115"/>
      <c r="M803" s="115"/>
      <c r="N803" s="115"/>
      <c r="O803" s="115"/>
      <c r="P803" s="115"/>
    </row>
    <row r="804" spans="10:16" ht="12.5" x14ac:dyDescent="0.25">
      <c r="J804" s="115"/>
      <c r="K804" s="115"/>
      <c r="L804" s="115"/>
      <c r="M804" s="115"/>
      <c r="N804" s="115"/>
      <c r="O804" s="115"/>
      <c r="P804" s="115"/>
    </row>
    <row r="805" spans="10:16" ht="12.5" x14ac:dyDescent="0.25">
      <c r="J805" s="115"/>
      <c r="K805" s="115"/>
      <c r="L805" s="115"/>
      <c r="M805" s="115"/>
      <c r="N805" s="115"/>
      <c r="O805" s="115"/>
      <c r="P805" s="115"/>
    </row>
    <row r="806" spans="10:16" ht="12.5" x14ac:dyDescent="0.25">
      <c r="J806" s="115"/>
      <c r="K806" s="115"/>
      <c r="L806" s="115"/>
      <c r="M806" s="115"/>
      <c r="N806" s="115"/>
      <c r="O806" s="115"/>
      <c r="P806" s="115"/>
    </row>
    <row r="807" spans="10:16" ht="12.5" x14ac:dyDescent="0.25">
      <c r="J807" s="115"/>
      <c r="K807" s="115"/>
      <c r="L807" s="115"/>
      <c r="M807" s="115"/>
      <c r="N807" s="115"/>
      <c r="O807" s="115"/>
      <c r="P807" s="115"/>
    </row>
    <row r="808" spans="10:16" ht="12.5" x14ac:dyDescent="0.25">
      <c r="J808" s="115"/>
      <c r="K808" s="115"/>
      <c r="L808" s="115"/>
      <c r="M808" s="115"/>
      <c r="N808" s="115"/>
      <c r="O808" s="115"/>
      <c r="P808" s="115"/>
    </row>
    <row r="809" spans="10:16" ht="12.5" x14ac:dyDescent="0.25">
      <c r="J809" s="115"/>
      <c r="K809" s="115"/>
      <c r="L809" s="115"/>
      <c r="M809" s="115"/>
      <c r="N809" s="115"/>
      <c r="O809" s="115"/>
      <c r="P809" s="115"/>
    </row>
    <row r="810" spans="10:16" ht="12.5" x14ac:dyDescent="0.25">
      <c r="J810" s="115"/>
      <c r="K810" s="115"/>
      <c r="L810" s="115"/>
      <c r="M810" s="115"/>
      <c r="N810" s="115"/>
      <c r="O810" s="115"/>
      <c r="P810" s="115"/>
    </row>
    <row r="811" spans="10:16" ht="12.5" x14ac:dyDescent="0.25">
      <c r="J811" s="115"/>
      <c r="K811" s="115"/>
      <c r="L811" s="115"/>
      <c r="M811" s="115"/>
      <c r="N811" s="115"/>
      <c r="O811" s="115"/>
      <c r="P811" s="115"/>
    </row>
    <row r="812" spans="10:16" ht="12.5" x14ac:dyDescent="0.25">
      <c r="J812" s="115"/>
      <c r="K812" s="115"/>
      <c r="L812" s="115"/>
      <c r="M812" s="115"/>
      <c r="N812" s="115"/>
      <c r="O812" s="115"/>
      <c r="P812" s="115"/>
    </row>
    <row r="813" spans="10:16" ht="12.5" x14ac:dyDescent="0.25">
      <c r="J813" s="115"/>
      <c r="K813" s="115"/>
      <c r="L813" s="115"/>
      <c r="M813" s="115"/>
      <c r="N813" s="115"/>
      <c r="O813" s="115"/>
      <c r="P813" s="115"/>
    </row>
    <row r="814" spans="10:16" ht="12.5" x14ac:dyDescent="0.25">
      <c r="J814" s="115"/>
      <c r="K814" s="115"/>
      <c r="L814" s="115"/>
      <c r="M814" s="115"/>
      <c r="N814" s="115"/>
      <c r="O814" s="115"/>
      <c r="P814" s="115"/>
    </row>
    <row r="815" spans="10:16" ht="12.5" x14ac:dyDescent="0.25">
      <c r="J815" s="115"/>
      <c r="K815" s="115"/>
      <c r="L815" s="115"/>
      <c r="M815" s="115"/>
      <c r="N815" s="115"/>
      <c r="O815" s="115"/>
      <c r="P815" s="115"/>
    </row>
    <row r="816" spans="10:16" ht="12.5" x14ac:dyDescent="0.25">
      <c r="J816" s="115"/>
      <c r="K816" s="115"/>
      <c r="L816" s="115"/>
      <c r="M816" s="115"/>
      <c r="N816" s="115"/>
      <c r="O816" s="115"/>
      <c r="P816" s="115"/>
    </row>
    <row r="817" spans="10:16" ht="12.5" x14ac:dyDescent="0.25">
      <c r="J817" s="115"/>
      <c r="K817" s="115"/>
      <c r="L817" s="115"/>
      <c r="M817" s="115"/>
      <c r="N817" s="115"/>
      <c r="O817" s="115"/>
      <c r="P817" s="115"/>
    </row>
    <row r="818" spans="10:16" ht="12.5" x14ac:dyDescent="0.25">
      <c r="J818" s="115"/>
      <c r="K818" s="115"/>
      <c r="L818" s="115"/>
      <c r="M818" s="115"/>
      <c r="N818" s="115"/>
      <c r="O818" s="115"/>
      <c r="P818" s="115"/>
    </row>
    <row r="819" spans="10:16" ht="12.5" x14ac:dyDescent="0.25">
      <c r="J819" s="115"/>
      <c r="K819" s="115"/>
      <c r="L819" s="115"/>
      <c r="M819" s="115"/>
      <c r="N819" s="115"/>
      <c r="O819" s="115"/>
      <c r="P819" s="115"/>
    </row>
    <row r="820" spans="10:16" ht="12.5" x14ac:dyDescent="0.25">
      <c r="J820" s="115"/>
      <c r="K820" s="115"/>
      <c r="L820" s="115"/>
      <c r="M820" s="115"/>
      <c r="N820" s="115"/>
      <c r="O820" s="115"/>
      <c r="P820" s="115"/>
    </row>
    <row r="821" spans="10:16" ht="12.5" x14ac:dyDescent="0.25">
      <c r="J821" s="115"/>
      <c r="K821" s="115"/>
      <c r="L821" s="115"/>
      <c r="M821" s="115"/>
      <c r="N821" s="115"/>
      <c r="O821" s="115"/>
      <c r="P821" s="115"/>
    </row>
    <row r="822" spans="10:16" ht="12.5" x14ac:dyDescent="0.25">
      <c r="J822" s="115"/>
      <c r="K822" s="115"/>
      <c r="L822" s="115"/>
      <c r="M822" s="115"/>
      <c r="N822" s="115"/>
      <c r="O822" s="115"/>
      <c r="P822" s="115"/>
    </row>
    <row r="823" spans="10:16" ht="12.5" x14ac:dyDescent="0.25">
      <c r="J823" s="115"/>
      <c r="K823" s="115"/>
      <c r="L823" s="115"/>
      <c r="M823" s="115"/>
      <c r="N823" s="115"/>
      <c r="O823" s="115"/>
      <c r="P823" s="115"/>
    </row>
    <row r="824" spans="10:16" ht="12.5" x14ac:dyDescent="0.25">
      <c r="J824" s="115"/>
      <c r="K824" s="115"/>
      <c r="L824" s="115"/>
      <c r="M824" s="115"/>
      <c r="N824" s="115"/>
      <c r="O824" s="115"/>
      <c r="P824" s="115"/>
    </row>
    <row r="825" spans="10:16" ht="12.5" x14ac:dyDescent="0.25">
      <c r="J825" s="115"/>
      <c r="K825" s="115"/>
      <c r="L825" s="115"/>
      <c r="M825" s="115"/>
      <c r="N825" s="115"/>
      <c r="O825" s="115"/>
      <c r="P825" s="115"/>
    </row>
    <row r="826" spans="10:16" ht="12.5" x14ac:dyDescent="0.25">
      <c r="J826" s="115"/>
      <c r="K826" s="115"/>
      <c r="L826" s="115"/>
      <c r="M826" s="115"/>
      <c r="N826" s="115"/>
      <c r="O826" s="115"/>
      <c r="P826" s="115"/>
    </row>
    <row r="827" spans="10:16" ht="12.5" x14ac:dyDescent="0.25">
      <c r="J827" s="115"/>
      <c r="K827" s="115"/>
      <c r="L827" s="115"/>
      <c r="M827" s="115"/>
      <c r="N827" s="115"/>
      <c r="O827" s="115"/>
      <c r="P827" s="115"/>
    </row>
    <row r="828" spans="10:16" ht="12.5" x14ac:dyDescent="0.25">
      <c r="J828" s="115"/>
      <c r="K828" s="115"/>
      <c r="L828" s="115"/>
      <c r="M828" s="115"/>
      <c r="N828" s="115"/>
      <c r="O828" s="115"/>
      <c r="P828" s="115"/>
    </row>
    <row r="829" spans="10:16" ht="12.5" x14ac:dyDescent="0.25">
      <c r="J829" s="115"/>
      <c r="K829" s="115"/>
      <c r="L829" s="115"/>
      <c r="M829" s="115"/>
      <c r="N829" s="115"/>
      <c r="O829" s="115"/>
      <c r="P829" s="115"/>
    </row>
    <row r="830" spans="10:16" ht="12.5" x14ac:dyDescent="0.25">
      <c r="J830" s="115"/>
      <c r="K830" s="115"/>
      <c r="L830" s="115"/>
      <c r="M830" s="115"/>
      <c r="N830" s="115"/>
      <c r="O830" s="115"/>
      <c r="P830" s="115"/>
    </row>
    <row r="831" spans="10:16" ht="12.5" x14ac:dyDescent="0.25">
      <c r="J831" s="115"/>
      <c r="K831" s="115"/>
      <c r="L831" s="115"/>
      <c r="M831" s="115"/>
      <c r="N831" s="115"/>
      <c r="O831" s="115"/>
      <c r="P831" s="115"/>
    </row>
    <row r="832" spans="10:16" ht="12.5" x14ac:dyDescent="0.25">
      <c r="J832" s="115"/>
      <c r="K832" s="115"/>
      <c r="L832" s="115"/>
      <c r="M832" s="115"/>
      <c r="N832" s="115"/>
      <c r="O832" s="115"/>
      <c r="P832" s="115"/>
    </row>
    <row r="833" spans="10:16" ht="12.5" x14ac:dyDescent="0.25">
      <c r="J833" s="115"/>
      <c r="K833" s="115"/>
      <c r="L833" s="115"/>
      <c r="M833" s="115"/>
      <c r="N833" s="115"/>
      <c r="O833" s="115"/>
      <c r="P833" s="115"/>
    </row>
    <row r="834" spans="10:16" ht="12.5" x14ac:dyDescent="0.25">
      <c r="J834" s="115"/>
      <c r="K834" s="115"/>
      <c r="L834" s="115"/>
      <c r="M834" s="115"/>
      <c r="N834" s="115"/>
      <c r="O834" s="115"/>
      <c r="P834" s="115"/>
    </row>
    <row r="835" spans="10:16" ht="12.5" x14ac:dyDescent="0.25">
      <c r="J835" s="115"/>
      <c r="K835" s="115"/>
      <c r="L835" s="115"/>
      <c r="M835" s="115"/>
      <c r="N835" s="115"/>
      <c r="O835" s="115"/>
      <c r="P835" s="115"/>
    </row>
    <row r="836" spans="10:16" ht="12.5" x14ac:dyDescent="0.25">
      <c r="J836" s="115"/>
      <c r="K836" s="115"/>
      <c r="L836" s="115"/>
      <c r="M836" s="115"/>
      <c r="N836" s="115"/>
      <c r="O836" s="115"/>
      <c r="P836" s="115"/>
    </row>
    <row r="837" spans="10:16" ht="12.5" x14ac:dyDescent="0.25">
      <c r="J837" s="115"/>
      <c r="K837" s="115"/>
      <c r="L837" s="115"/>
      <c r="M837" s="115"/>
      <c r="N837" s="115"/>
      <c r="O837" s="115"/>
      <c r="P837" s="115"/>
    </row>
    <row r="838" spans="10:16" ht="12.5" x14ac:dyDescent="0.25">
      <c r="J838" s="115"/>
      <c r="K838" s="115"/>
      <c r="L838" s="115"/>
      <c r="M838" s="115"/>
      <c r="N838" s="115"/>
      <c r="O838" s="115"/>
      <c r="P838" s="115"/>
    </row>
    <row r="839" spans="10:16" ht="12.5" x14ac:dyDescent="0.25">
      <c r="J839" s="115"/>
      <c r="K839" s="115"/>
      <c r="L839" s="115"/>
      <c r="M839" s="115"/>
      <c r="N839" s="115"/>
      <c r="O839" s="115"/>
      <c r="P839" s="115"/>
    </row>
    <row r="840" spans="10:16" ht="12.5" x14ac:dyDescent="0.25">
      <c r="J840" s="115"/>
      <c r="K840" s="115"/>
      <c r="L840" s="115"/>
      <c r="M840" s="115"/>
      <c r="N840" s="115"/>
      <c r="O840" s="115"/>
      <c r="P840" s="115"/>
    </row>
    <row r="841" spans="10:16" ht="12.5" x14ac:dyDescent="0.25">
      <c r="J841" s="115"/>
      <c r="K841" s="115"/>
      <c r="L841" s="115"/>
      <c r="M841" s="115"/>
      <c r="N841" s="115"/>
      <c r="O841" s="115"/>
      <c r="P841" s="115"/>
    </row>
    <row r="842" spans="10:16" ht="12.5" x14ac:dyDescent="0.25">
      <c r="J842" s="115"/>
      <c r="K842" s="115"/>
      <c r="L842" s="115"/>
      <c r="M842" s="115"/>
      <c r="N842" s="115"/>
      <c r="O842" s="115"/>
      <c r="P842" s="115"/>
    </row>
    <row r="843" spans="10:16" ht="12.5" x14ac:dyDescent="0.25">
      <c r="J843" s="115"/>
      <c r="K843" s="115"/>
      <c r="L843" s="115"/>
      <c r="M843" s="115"/>
      <c r="N843" s="115"/>
      <c r="O843" s="115"/>
      <c r="P843" s="115"/>
    </row>
    <row r="844" spans="10:16" ht="12.5" x14ac:dyDescent="0.25">
      <c r="J844" s="115"/>
      <c r="K844" s="115"/>
      <c r="L844" s="115"/>
      <c r="M844" s="115"/>
      <c r="N844" s="115"/>
      <c r="O844" s="115"/>
      <c r="P844" s="115"/>
    </row>
    <row r="845" spans="10:16" ht="12.5" x14ac:dyDescent="0.25">
      <c r="J845" s="115"/>
      <c r="K845" s="115"/>
      <c r="L845" s="115"/>
      <c r="M845" s="115"/>
      <c r="N845" s="115"/>
      <c r="O845" s="115"/>
      <c r="P845" s="115"/>
    </row>
    <row r="846" spans="10:16" ht="12.5" x14ac:dyDescent="0.25">
      <c r="J846" s="115"/>
      <c r="K846" s="115"/>
      <c r="L846" s="115"/>
      <c r="M846" s="115"/>
      <c r="N846" s="115"/>
      <c r="O846" s="115"/>
      <c r="P846" s="115"/>
    </row>
    <row r="847" spans="10:16" ht="12.5" x14ac:dyDescent="0.25">
      <c r="J847" s="115"/>
      <c r="K847" s="115"/>
      <c r="L847" s="115"/>
      <c r="M847" s="115"/>
      <c r="N847" s="115"/>
      <c r="O847" s="115"/>
      <c r="P847" s="115"/>
    </row>
    <row r="848" spans="10:16" ht="12.5" x14ac:dyDescent="0.25">
      <c r="J848" s="115"/>
      <c r="K848" s="115"/>
      <c r="L848" s="115"/>
      <c r="M848" s="115"/>
      <c r="N848" s="115"/>
      <c r="O848" s="115"/>
      <c r="P848" s="115"/>
    </row>
    <row r="849" spans="10:16" ht="12.5" x14ac:dyDescent="0.25">
      <c r="J849" s="115"/>
      <c r="K849" s="115"/>
      <c r="L849" s="115"/>
      <c r="M849" s="115"/>
      <c r="N849" s="115"/>
      <c r="O849" s="115"/>
      <c r="P849" s="115"/>
    </row>
    <row r="850" spans="10:16" ht="12.5" x14ac:dyDescent="0.25">
      <c r="J850" s="115"/>
      <c r="K850" s="115"/>
      <c r="L850" s="115"/>
      <c r="M850" s="115"/>
      <c r="N850" s="115"/>
      <c r="O850" s="115"/>
      <c r="P850" s="115"/>
    </row>
    <row r="851" spans="10:16" ht="12.5" x14ac:dyDescent="0.25">
      <c r="J851" s="115"/>
      <c r="K851" s="115"/>
      <c r="L851" s="115"/>
      <c r="M851" s="115"/>
      <c r="N851" s="115"/>
      <c r="O851" s="115"/>
      <c r="P851" s="115"/>
    </row>
    <row r="852" spans="10:16" ht="12.5" x14ac:dyDescent="0.25">
      <c r="J852" s="115"/>
      <c r="K852" s="115"/>
      <c r="L852" s="115"/>
      <c r="M852" s="115"/>
      <c r="N852" s="115"/>
      <c r="O852" s="115"/>
      <c r="P852" s="115"/>
    </row>
    <row r="853" spans="10:16" ht="12.5" x14ac:dyDescent="0.25">
      <c r="J853" s="115"/>
      <c r="K853" s="115"/>
      <c r="L853" s="115"/>
      <c r="M853" s="115"/>
      <c r="N853" s="115"/>
      <c r="O853" s="115"/>
      <c r="P853" s="115"/>
    </row>
    <row r="854" spans="10:16" ht="12.5" x14ac:dyDescent="0.25">
      <c r="J854" s="115"/>
      <c r="K854" s="115"/>
      <c r="L854" s="115"/>
      <c r="M854" s="115"/>
      <c r="N854" s="115"/>
      <c r="O854" s="115"/>
      <c r="P854" s="115"/>
    </row>
    <row r="855" spans="10:16" ht="12.5" x14ac:dyDescent="0.25">
      <c r="J855" s="115"/>
      <c r="K855" s="115"/>
      <c r="L855" s="115"/>
      <c r="M855" s="115"/>
      <c r="N855" s="115"/>
      <c r="O855" s="115"/>
      <c r="P855" s="115"/>
    </row>
    <row r="856" spans="10:16" ht="12.5" x14ac:dyDescent="0.25">
      <c r="J856" s="115"/>
      <c r="K856" s="115"/>
      <c r="L856" s="115"/>
      <c r="M856" s="115"/>
      <c r="N856" s="115"/>
      <c r="O856" s="115"/>
      <c r="P856" s="115"/>
    </row>
    <row r="857" spans="10:16" ht="12.5" x14ac:dyDescent="0.25">
      <c r="J857" s="115"/>
      <c r="K857" s="115"/>
      <c r="L857" s="115"/>
      <c r="M857" s="115"/>
      <c r="N857" s="115"/>
      <c r="O857" s="115"/>
      <c r="P857" s="115"/>
    </row>
    <row r="858" spans="10:16" ht="12.5" x14ac:dyDescent="0.25">
      <c r="J858" s="115"/>
      <c r="K858" s="115"/>
      <c r="L858" s="115"/>
      <c r="M858" s="115"/>
      <c r="N858" s="115"/>
      <c r="O858" s="115"/>
      <c r="P858" s="115"/>
    </row>
    <row r="859" spans="10:16" ht="12.5" x14ac:dyDescent="0.25">
      <c r="J859" s="115"/>
      <c r="K859" s="115"/>
      <c r="L859" s="115"/>
      <c r="M859" s="115"/>
      <c r="N859" s="115"/>
      <c r="O859" s="115"/>
      <c r="P859" s="115"/>
    </row>
    <row r="860" spans="10:16" ht="12.5" x14ac:dyDescent="0.25">
      <c r="J860" s="115"/>
      <c r="K860" s="115"/>
      <c r="L860" s="115"/>
      <c r="M860" s="115"/>
      <c r="N860" s="115"/>
      <c r="O860" s="115"/>
      <c r="P860" s="115"/>
    </row>
    <row r="861" spans="10:16" ht="12.5" x14ac:dyDescent="0.25">
      <c r="J861" s="115"/>
      <c r="K861" s="115"/>
      <c r="L861" s="115"/>
      <c r="M861" s="115"/>
      <c r="N861" s="115"/>
      <c r="O861" s="115"/>
      <c r="P861" s="115"/>
    </row>
    <row r="862" spans="10:16" ht="12.5" x14ac:dyDescent="0.25">
      <c r="J862" s="115"/>
      <c r="K862" s="115"/>
      <c r="L862" s="115"/>
      <c r="M862" s="115"/>
      <c r="N862" s="115"/>
      <c r="O862" s="115"/>
      <c r="P862" s="115"/>
    </row>
    <row r="863" spans="10:16" ht="12.5" x14ac:dyDescent="0.25">
      <c r="J863" s="115"/>
      <c r="K863" s="115"/>
      <c r="L863" s="115"/>
      <c r="M863" s="115"/>
      <c r="N863" s="115"/>
      <c r="O863" s="115"/>
      <c r="P863" s="115"/>
    </row>
    <row r="864" spans="10:16" ht="12.5" x14ac:dyDescent="0.25">
      <c r="J864" s="115"/>
      <c r="K864" s="115"/>
      <c r="L864" s="115"/>
      <c r="M864" s="115"/>
      <c r="N864" s="115"/>
      <c r="O864" s="115"/>
      <c r="P864" s="115"/>
    </row>
    <row r="865" spans="10:16" ht="12.5" x14ac:dyDescent="0.25">
      <c r="J865" s="115"/>
      <c r="K865" s="115"/>
      <c r="L865" s="115"/>
      <c r="M865" s="115"/>
      <c r="N865" s="115"/>
      <c r="O865" s="115"/>
      <c r="P865" s="115"/>
    </row>
    <row r="866" spans="10:16" ht="12.5" x14ac:dyDescent="0.25">
      <c r="J866" s="115"/>
      <c r="K866" s="115"/>
      <c r="L866" s="115"/>
      <c r="M866" s="115"/>
      <c r="N866" s="115"/>
      <c r="O866" s="115"/>
      <c r="P866" s="115"/>
    </row>
    <row r="867" spans="10:16" ht="12.5" x14ac:dyDescent="0.25">
      <c r="J867" s="115"/>
      <c r="K867" s="115"/>
      <c r="L867" s="115"/>
      <c r="M867" s="115"/>
      <c r="N867" s="115"/>
      <c r="O867" s="115"/>
      <c r="P867" s="115"/>
    </row>
    <row r="868" spans="10:16" ht="12.5" x14ac:dyDescent="0.25">
      <c r="J868" s="115"/>
      <c r="K868" s="115"/>
      <c r="L868" s="115"/>
      <c r="M868" s="115"/>
      <c r="N868" s="115"/>
      <c r="O868" s="115"/>
      <c r="P868" s="115"/>
    </row>
    <row r="869" spans="10:16" ht="12.5" x14ac:dyDescent="0.25">
      <c r="J869" s="115"/>
      <c r="K869" s="115"/>
      <c r="L869" s="115"/>
      <c r="M869" s="115"/>
      <c r="N869" s="115"/>
      <c r="O869" s="115"/>
      <c r="P869" s="115"/>
    </row>
    <row r="870" spans="10:16" ht="12.5" x14ac:dyDescent="0.25">
      <c r="J870" s="115"/>
      <c r="K870" s="115"/>
      <c r="L870" s="115"/>
      <c r="M870" s="115"/>
      <c r="N870" s="115"/>
      <c r="O870" s="115"/>
      <c r="P870" s="115"/>
    </row>
    <row r="871" spans="10:16" ht="12.5" x14ac:dyDescent="0.25">
      <c r="J871" s="115"/>
      <c r="K871" s="115"/>
      <c r="L871" s="115"/>
      <c r="M871" s="115"/>
      <c r="N871" s="115"/>
      <c r="O871" s="115"/>
      <c r="P871" s="115"/>
    </row>
    <row r="872" spans="10:16" ht="12.5" x14ac:dyDescent="0.25">
      <c r="J872" s="115"/>
      <c r="K872" s="115"/>
      <c r="L872" s="115"/>
      <c r="M872" s="115"/>
      <c r="N872" s="115"/>
      <c r="O872" s="115"/>
      <c r="P872" s="115"/>
    </row>
    <row r="873" spans="10:16" ht="12.5" x14ac:dyDescent="0.25">
      <c r="J873" s="115"/>
      <c r="K873" s="115"/>
      <c r="L873" s="115"/>
      <c r="M873" s="115"/>
      <c r="N873" s="115"/>
      <c r="O873" s="115"/>
      <c r="P873" s="115"/>
    </row>
    <row r="874" spans="10:16" ht="12.5" x14ac:dyDescent="0.25">
      <c r="J874" s="115"/>
      <c r="K874" s="115"/>
      <c r="L874" s="115"/>
      <c r="M874" s="115"/>
      <c r="N874" s="115"/>
      <c r="O874" s="115"/>
      <c r="P874" s="115"/>
    </row>
    <row r="875" spans="10:16" ht="12.5" x14ac:dyDescent="0.25">
      <c r="J875" s="115"/>
      <c r="K875" s="115"/>
      <c r="L875" s="115"/>
      <c r="M875" s="115"/>
      <c r="N875" s="115"/>
      <c r="O875" s="115"/>
      <c r="P875" s="115"/>
    </row>
    <row r="876" spans="10:16" ht="12.5" x14ac:dyDescent="0.25">
      <c r="J876" s="115"/>
      <c r="K876" s="115"/>
      <c r="L876" s="115"/>
      <c r="M876" s="115"/>
      <c r="N876" s="115"/>
      <c r="O876" s="115"/>
      <c r="P876" s="115"/>
    </row>
    <row r="877" spans="10:16" ht="12.5" x14ac:dyDescent="0.25">
      <c r="J877" s="115"/>
      <c r="K877" s="115"/>
      <c r="L877" s="115"/>
      <c r="M877" s="115"/>
      <c r="N877" s="115"/>
      <c r="O877" s="115"/>
      <c r="P877" s="115"/>
    </row>
    <row r="878" spans="10:16" ht="12.5" x14ac:dyDescent="0.25">
      <c r="J878" s="115"/>
      <c r="K878" s="115"/>
      <c r="L878" s="115"/>
      <c r="M878" s="115"/>
      <c r="N878" s="115"/>
      <c r="O878" s="115"/>
      <c r="P878" s="115"/>
    </row>
    <row r="879" spans="10:16" ht="12.5" x14ac:dyDescent="0.25">
      <c r="J879" s="115"/>
      <c r="K879" s="115"/>
      <c r="L879" s="115"/>
      <c r="M879" s="115"/>
      <c r="N879" s="115"/>
      <c r="O879" s="115"/>
      <c r="P879" s="115"/>
    </row>
    <row r="880" spans="10:16" ht="12.5" x14ac:dyDescent="0.25">
      <c r="J880" s="115"/>
      <c r="K880" s="115"/>
      <c r="L880" s="115"/>
      <c r="M880" s="115"/>
      <c r="N880" s="115"/>
      <c r="O880" s="115"/>
      <c r="P880" s="115"/>
    </row>
    <row r="881" spans="10:16" ht="12.5" x14ac:dyDescent="0.25">
      <c r="J881" s="115"/>
      <c r="K881" s="115"/>
      <c r="L881" s="115"/>
      <c r="M881" s="115"/>
      <c r="N881" s="115"/>
      <c r="O881" s="115"/>
      <c r="P881" s="115"/>
    </row>
    <row r="882" spans="10:16" ht="12.5" x14ac:dyDescent="0.25">
      <c r="J882" s="115"/>
      <c r="K882" s="115"/>
      <c r="L882" s="115"/>
      <c r="M882" s="115"/>
      <c r="N882" s="115"/>
      <c r="O882" s="115"/>
      <c r="P882" s="115"/>
    </row>
    <row r="883" spans="10:16" ht="12.5" x14ac:dyDescent="0.25">
      <c r="J883" s="115"/>
      <c r="K883" s="115"/>
      <c r="L883" s="115"/>
      <c r="M883" s="115"/>
      <c r="N883" s="115"/>
      <c r="O883" s="115"/>
      <c r="P883" s="115"/>
    </row>
    <row r="884" spans="10:16" ht="12.5" x14ac:dyDescent="0.25">
      <c r="J884" s="115"/>
      <c r="K884" s="115"/>
      <c r="L884" s="115"/>
      <c r="M884" s="115"/>
      <c r="N884" s="115"/>
      <c r="O884" s="115"/>
      <c r="P884" s="115"/>
    </row>
    <row r="885" spans="10:16" ht="12.5" x14ac:dyDescent="0.25">
      <c r="J885" s="115"/>
      <c r="K885" s="115"/>
      <c r="L885" s="115"/>
      <c r="M885" s="115"/>
      <c r="N885" s="115"/>
      <c r="O885" s="115"/>
      <c r="P885" s="115"/>
    </row>
    <row r="886" spans="10:16" ht="12.5" x14ac:dyDescent="0.25">
      <c r="J886" s="115"/>
      <c r="K886" s="115"/>
      <c r="L886" s="115"/>
      <c r="M886" s="115"/>
      <c r="N886" s="115"/>
      <c r="O886" s="115"/>
      <c r="P886" s="115"/>
    </row>
    <row r="887" spans="10:16" ht="12.5" x14ac:dyDescent="0.25">
      <c r="J887" s="115"/>
      <c r="K887" s="115"/>
      <c r="L887" s="115"/>
      <c r="M887" s="115"/>
      <c r="N887" s="115"/>
      <c r="O887" s="115"/>
      <c r="P887" s="115"/>
    </row>
    <row r="888" spans="10:16" ht="12.5" x14ac:dyDescent="0.25">
      <c r="J888" s="115"/>
      <c r="K888" s="115"/>
      <c r="L888" s="115"/>
      <c r="M888" s="115"/>
      <c r="N888" s="115"/>
      <c r="O888" s="115"/>
      <c r="P888" s="115"/>
    </row>
    <row r="889" spans="10:16" ht="12.5" x14ac:dyDescent="0.25">
      <c r="J889" s="115"/>
      <c r="K889" s="115"/>
      <c r="L889" s="115"/>
      <c r="M889" s="115"/>
      <c r="N889" s="115"/>
      <c r="O889" s="115"/>
      <c r="P889" s="115"/>
    </row>
    <row r="890" spans="10:16" ht="12.5" x14ac:dyDescent="0.25">
      <c r="J890" s="115"/>
      <c r="K890" s="115"/>
      <c r="L890" s="115"/>
      <c r="M890" s="115"/>
      <c r="N890" s="115"/>
      <c r="O890" s="115"/>
      <c r="P890" s="115"/>
    </row>
    <row r="891" spans="10:16" ht="12.5" x14ac:dyDescent="0.25">
      <c r="J891" s="115"/>
      <c r="K891" s="115"/>
      <c r="L891" s="115"/>
      <c r="M891" s="115"/>
      <c r="N891" s="115"/>
      <c r="O891" s="115"/>
      <c r="P891" s="115"/>
    </row>
    <row r="892" spans="10:16" ht="12.5" x14ac:dyDescent="0.25">
      <c r="J892" s="115"/>
      <c r="K892" s="115"/>
      <c r="L892" s="115"/>
      <c r="M892" s="115"/>
      <c r="N892" s="115"/>
      <c r="O892" s="115"/>
      <c r="P892" s="115"/>
    </row>
    <row r="893" spans="10:16" ht="12.5" x14ac:dyDescent="0.25">
      <c r="J893" s="115"/>
      <c r="K893" s="115"/>
      <c r="L893" s="115"/>
      <c r="M893" s="115"/>
      <c r="N893" s="115"/>
      <c r="O893" s="115"/>
      <c r="P893" s="115"/>
    </row>
    <row r="894" spans="10:16" ht="12.5" x14ac:dyDescent="0.25">
      <c r="J894" s="115"/>
      <c r="K894" s="115"/>
      <c r="L894" s="115"/>
      <c r="M894" s="115"/>
      <c r="N894" s="115"/>
      <c r="O894" s="115"/>
      <c r="P894" s="115"/>
    </row>
    <row r="895" spans="10:16" ht="12.5" x14ac:dyDescent="0.25">
      <c r="J895" s="115"/>
      <c r="K895" s="115"/>
      <c r="L895" s="115"/>
      <c r="M895" s="115"/>
      <c r="N895" s="115"/>
      <c r="O895" s="115"/>
      <c r="P895" s="115"/>
    </row>
    <row r="896" spans="10:16" ht="12.5" x14ac:dyDescent="0.25">
      <c r="J896" s="115"/>
      <c r="K896" s="115"/>
      <c r="L896" s="115"/>
      <c r="M896" s="115"/>
      <c r="N896" s="115"/>
      <c r="O896" s="115"/>
      <c r="P896" s="115"/>
    </row>
    <row r="897" spans="10:16" ht="12.5" x14ac:dyDescent="0.25">
      <c r="J897" s="115"/>
      <c r="K897" s="115"/>
      <c r="L897" s="115"/>
      <c r="M897" s="115"/>
      <c r="N897" s="115"/>
      <c r="O897" s="115"/>
      <c r="P897" s="115"/>
    </row>
    <row r="898" spans="10:16" ht="12.5" x14ac:dyDescent="0.25">
      <c r="J898" s="115"/>
      <c r="K898" s="115"/>
      <c r="L898" s="115"/>
      <c r="M898" s="115"/>
      <c r="N898" s="115"/>
      <c r="O898" s="115"/>
      <c r="P898" s="115"/>
    </row>
    <row r="899" spans="10:16" ht="12.5" x14ac:dyDescent="0.25">
      <c r="J899" s="115"/>
      <c r="K899" s="115"/>
      <c r="L899" s="115"/>
      <c r="M899" s="115"/>
      <c r="N899" s="115"/>
      <c r="O899" s="115"/>
      <c r="P899" s="115"/>
    </row>
    <row r="900" spans="10:16" ht="12.5" x14ac:dyDescent="0.25">
      <c r="J900" s="115"/>
      <c r="K900" s="115"/>
      <c r="L900" s="115"/>
      <c r="M900" s="115"/>
      <c r="N900" s="115"/>
      <c r="O900" s="115"/>
      <c r="P900" s="115"/>
    </row>
    <row r="901" spans="10:16" ht="12.5" x14ac:dyDescent="0.25">
      <c r="J901" s="115"/>
      <c r="K901" s="115"/>
      <c r="L901" s="115"/>
      <c r="M901" s="115"/>
      <c r="N901" s="115"/>
      <c r="O901" s="115"/>
      <c r="P901" s="115"/>
    </row>
    <row r="902" spans="10:16" ht="12.5" x14ac:dyDescent="0.25">
      <c r="J902" s="115"/>
      <c r="K902" s="115"/>
      <c r="L902" s="115"/>
      <c r="M902" s="115"/>
      <c r="N902" s="115"/>
      <c r="O902" s="115"/>
      <c r="P902" s="115"/>
    </row>
    <row r="903" spans="10:16" ht="12.5" x14ac:dyDescent="0.25">
      <c r="J903" s="115"/>
      <c r="K903" s="115"/>
      <c r="L903" s="115"/>
      <c r="M903" s="115"/>
      <c r="N903" s="115"/>
      <c r="O903" s="115"/>
      <c r="P903" s="115"/>
    </row>
    <row r="904" spans="10:16" ht="12.5" x14ac:dyDescent="0.25">
      <c r="J904" s="115"/>
      <c r="K904" s="115"/>
      <c r="L904" s="115"/>
      <c r="M904" s="115"/>
      <c r="N904" s="115"/>
      <c r="O904" s="115"/>
      <c r="P904" s="115"/>
    </row>
    <row r="905" spans="10:16" ht="12.5" x14ac:dyDescent="0.25">
      <c r="J905" s="115"/>
      <c r="K905" s="115"/>
      <c r="L905" s="115"/>
      <c r="M905" s="115"/>
      <c r="N905" s="115"/>
      <c r="O905" s="115"/>
      <c r="P905" s="115"/>
    </row>
    <row r="906" spans="10:16" ht="12.5" x14ac:dyDescent="0.25">
      <c r="J906" s="115"/>
      <c r="K906" s="115"/>
      <c r="L906" s="115"/>
      <c r="M906" s="115"/>
      <c r="N906" s="115"/>
      <c r="O906" s="115"/>
      <c r="P906" s="115"/>
    </row>
    <row r="907" spans="10:16" ht="12.5" x14ac:dyDescent="0.25">
      <c r="J907" s="115"/>
      <c r="K907" s="115"/>
      <c r="L907" s="115"/>
      <c r="M907" s="115"/>
      <c r="N907" s="115"/>
      <c r="O907" s="115"/>
      <c r="P907" s="115"/>
    </row>
    <row r="908" spans="10:16" ht="12.5" x14ac:dyDescent="0.25">
      <c r="J908" s="115"/>
      <c r="K908" s="115"/>
      <c r="L908" s="115"/>
      <c r="M908" s="115"/>
      <c r="N908" s="115"/>
      <c r="O908" s="115"/>
      <c r="P908" s="115"/>
    </row>
    <row r="909" spans="10:16" ht="12.5" x14ac:dyDescent="0.25">
      <c r="J909" s="115"/>
      <c r="K909" s="115"/>
      <c r="L909" s="115"/>
      <c r="M909" s="115"/>
      <c r="N909" s="115"/>
      <c r="O909" s="115"/>
      <c r="P909" s="115"/>
    </row>
    <row r="910" spans="10:16" ht="12.5" x14ac:dyDescent="0.25">
      <c r="J910" s="115"/>
      <c r="K910" s="115"/>
      <c r="L910" s="115"/>
      <c r="M910" s="115"/>
      <c r="N910" s="115"/>
      <c r="O910" s="115"/>
      <c r="P910" s="115"/>
    </row>
    <row r="911" spans="10:16" ht="12.5" x14ac:dyDescent="0.25">
      <c r="J911" s="115"/>
      <c r="K911" s="115"/>
      <c r="L911" s="115"/>
      <c r="M911" s="115"/>
      <c r="N911" s="115"/>
      <c r="O911" s="115"/>
      <c r="P911" s="115"/>
    </row>
    <row r="912" spans="10:16" ht="12.5" x14ac:dyDescent="0.25">
      <c r="J912" s="115"/>
      <c r="K912" s="115"/>
      <c r="L912" s="115"/>
      <c r="M912" s="115"/>
      <c r="N912" s="115"/>
      <c r="O912" s="115"/>
      <c r="P912" s="115"/>
    </row>
    <row r="913" spans="10:16" ht="12.5" x14ac:dyDescent="0.25">
      <c r="J913" s="115"/>
      <c r="K913" s="115"/>
      <c r="L913" s="115"/>
      <c r="M913" s="115"/>
      <c r="N913" s="115"/>
      <c r="O913" s="115"/>
      <c r="P913" s="115"/>
    </row>
    <row r="914" spans="10:16" ht="12.5" x14ac:dyDescent="0.25">
      <c r="J914" s="115"/>
      <c r="K914" s="115"/>
      <c r="L914" s="115"/>
      <c r="M914" s="115"/>
      <c r="N914" s="115"/>
      <c r="O914" s="115"/>
      <c r="P914" s="115"/>
    </row>
    <row r="915" spans="10:16" ht="12.5" x14ac:dyDescent="0.25">
      <c r="J915" s="115"/>
      <c r="K915" s="115"/>
      <c r="L915" s="115"/>
      <c r="M915" s="115"/>
      <c r="N915" s="115"/>
      <c r="O915" s="115"/>
      <c r="P915" s="115"/>
    </row>
    <row r="916" spans="10:16" ht="12.5" x14ac:dyDescent="0.25">
      <c r="J916" s="115"/>
      <c r="K916" s="115"/>
      <c r="L916" s="115"/>
      <c r="M916" s="115"/>
      <c r="N916" s="115"/>
      <c r="O916" s="115"/>
      <c r="P916" s="115"/>
    </row>
    <row r="917" spans="10:16" ht="12.5" x14ac:dyDescent="0.25">
      <c r="J917" s="115"/>
      <c r="K917" s="115"/>
      <c r="L917" s="115"/>
      <c r="M917" s="115"/>
      <c r="N917" s="115"/>
      <c r="O917" s="115"/>
      <c r="P917" s="115"/>
    </row>
    <row r="918" spans="10:16" ht="12.5" x14ac:dyDescent="0.25">
      <c r="J918" s="115"/>
      <c r="K918" s="115"/>
      <c r="L918" s="115"/>
      <c r="M918" s="115"/>
      <c r="N918" s="115"/>
      <c r="O918" s="115"/>
      <c r="P918" s="115"/>
    </row>
    <row r="919" spans="10:16" ht="12.5" x14ac:dyDescent="0.25">
      <c r="J919" s="115"/>
      <c r="K919" s="115"/>
      <c r="L919" s="115"/>
      <c r="M919" s="115"/>
      <c r="N919" s="115"/>
      <c r="O919" s="115"/>
      <c r="P919" s="115"/>
    </row>
    <row r="920" spans="10:16" ht="12.5" x14ac:dyDescent="0.25">
      <c r="J920" s="115"/>
      <c r="K920" s="115"/>
      <c r="L920" s="115"/>
      <c r="M920" s="115"/>
      <c r="N920" s="115"/>
      <c r="O920" s="115"/>
      <c r="P920" s="115"/>
    </row>
    <row r="921" spans="10:16" ht="12.5" x14ac:dyDescent="0.25">
      <c r="J921" s="115"/>
      <c r="K921" s="115"/>
      <c r="L921" s="115"/>
      <c r="M921" s="115"/>
      <c r="N921" s="115"/>
      <c r="O921" s="115"/>
      <c r="P921" s="115"/>
    </row>
    <row r="922" spans="10:16" ht="12.5" x14ac:dyDescent="0.25">
      <c r="J922" s="115"/>
      <c r="K922" s="115"/>
      <c r="L922" s="115"/>
      <c r="M922" s="115"/>
      <c r="N922" s="115"/>
      <c r="O922" s="115"/>
      <c r="P922" s="115"/>
    </row>
    <row r="923" spans="10:16" ht="12.5" x14ac:dyDescent="0.25">
      <c r="J923" s="115"/>
      <c r="K923" s="115"/>
      <c r="L923" s="115"/>
      <c r="M923" s="115"/>
      <c r="N923" s="115"/>
      <c r="O923" s="115"/>
      <c r="P923" s="115"/>
    </row>
    <row r="924" spans="10:16" ht="12.5" x14ac:dyDescent="0.25">
      <c r="J924" s="115"/>
      <c r="K924" s="115"/>
      <c r="L924" s="115"/>
      <c r="M924" s="115"/>
      <c r="N924" s="115"/>
      <c r="O924" s="115"/>
      <c r="P924" s="115"/>
    </row>
    <row r="925" spans="10:16" ht="12.5" x14ac:dyDescent="0.25">
      <c r="J925" s="115"/>
      <c r="K925" s="115"/>
      <c r="L925" s="115"/>
      <c r="M925" s="115"/>
      <c r="N925" s="115"/>
      <c r="O925" s="115"/>
      <c r="P925" s="115"/>
    </row>
    <row r="926" spans="10:16" ht="12.5" x14ac:dyDescent="0.25">
      <c r="J926" s="115"/>
      <c r="K926" s="115"/>
      <c r="L926" s="115"/>
      <c r="M926" s="115"/>
      <c r="N926" s="115"/>
      <c r="O926" s="115"/>
      <c r="P926" s="115"/>
    </row>
    <row r="927" spans="10:16" ht="12.5" x14ac:dyDescent="0.25">
      <c r="J927" s="115"/>
      <c r="K927" s="115"/>
      <c r="L927" s="115"/>
      <c r="M927" s="115"/>
      <c r="N927" s="115"/>
      <c r="O927" s="115"/>
      <c r="P927" s="115"/>
    </row>
    <row r="928" spans="10:16" ht="12.5" x14ac:dyDescent="0.25">
      <c r="J928" s="115"/>
      <c r="K928" s="115"/>
      <c r="L928" s="115"/>
      <c r="M928" s="115"/>
      <c r="N928" s="115"/>
      <c r="O928" s="115"/>
      <c r="P928" s="115"/>
    </row>
    <row r="929" spans="10:16" ht="12.5" x14ac:dyDescent="0.25">
      <c r="J929" s="115"/>
      <c r="K929" s="115"/>
      <c r="L929" s="115"/>
      <c r="M929" s="115"/>
      <c r="N929" s="115"/>
      <c r="O929" s="115"/>
      <c r="P929" s="115"/>
    </row>
    <row r="930" spans="10:16" ht="12.5" x14ac:dyDescent="0.25">
      <c r="J930" s="115"/>
      <c r="K930" s="115"/>
      <c r="L930" s="115"/>
      <c r="M930" s="115"/>
      <c r="N930" s="115"/>
      <c r="O930" s="115"/>
      <c r="P930" s="115"/>
    </row>
    <row r="931" spans="10:16" ht="12.5" x14ac:dyDescent="0.25">
      <c r="J931" s="115"/>
      <c r="K931" s="115"/>
      <c r="L931" s="115"/>
      <c r="M931" s="115"/>
      <c r="N931" s="115"/>
      <c r="O931" s="115"/>
      <c r="P931" s="115"/>
    </row>
    <row r="932" spans="10:16" ht="12.5" x14ac:dyDescent="0.25">
      <c r="J932" s="115"/>
      <c r="K932" s="115"/>
      <c r="L932" s="115"/>
      <c r="M932" s="115"/>
      <c r="N932" s="115"/>
      <c r="O932" s="115"/>
      <c r="P932" s="115"/>
    </row>
    <row r="933" spans="10:16" ht="12.5" x14ac:dyDescent="0.25">
      <c r="J933" s="115"/>
      <c r="K933" s="115"/>
      <c r="L933" s="115"/>
      <c r="M933" s="115"/>
      <c r="N933" s="115"/>
      <c r="O933" s="115"/>
      <c r="P933" s="115"/>
    </row>
    <row r="934" spans="10:16" ht="12.5" x14ac:dyDescent="0.25">
      <c r="J934" s="115"/>
      <c r="K934" s="115"/>
      <c r="L934" s="115"/>
      <c r="M934" s="115"/>
      <c r="N934" s="115"/>
      <c r="O934" s="115"/>
      <c r="P934" s="115"/>
    </row>
    <row r="935" spans="10:16" ht="12.5" x14ac:dyDescent="0.25">
      <c r="J935" s="115"/>
      <c r="K935" s="115"/>
      <c r="L935" s="115"/>
      <c r="M935" s="115"/>
      <c r="N935" s="115"/>
      <c r="O935" s="115"/>
      <c r="P935" s="115"/>
    </row>
    <row r="936" spans="10:16" ht="12.5" x14ac:dyDescent="0.25">
      <c r="J936" s="115"/>
      <c r="K936" s="115"/>
      <c r="L936" s="115"/>
      <c r="M936" s="115"/>
      <c r="N936" s="115"/>
      <c r="O936" s="115"/>
      <c r="P936" s="115"/>
    </row>
    <row r="937" spans="10:16" ht="12.5" x14ac:dyDescent="0.25">
      <c r="J937" s="115"/>
      <c r="K937" s="115"/>
      <c r="L937" s="115"/>
      <c r="M937" s="115"/>
      <c r="N937" s="115"/>
      <c r="O937" s="115"/>
      <c r="P937" s="115"/>
    </row>
    <row r="938" spans="10:16" ht="12.5" x14ac:dyDescent="0.25">
      <c r="J938" s="115"/>
      <c r="K938" s="115"/>
      <c r="L938" s="115"/>
      <c r="M938" s="115"/>
      <c r="N938" s="115"/>
      <c r="O938" s="115"/>
      <c r="P938" s="115"/>
    </row>
    <row r="939" spans="10:16" ht="12.5" x14ac:dyDescent="0.25">
      <c r="J939" s="115"/>
      <c r="K939" s="115"/>
      <c r="L939" s="115"/>
      <c r="M939" s="115"/>
      <c r="N939" s="115"/>
      <c r="O939" s="115"/>
      <c r="P939" s="115"/>
    </row>
    <row r="940" spans="10:16" ht="12.5" x14ac:dyDescent="0.25">
      <c r="J940" s="115"/>
      <c r="K940" s="115"/>
      <c r="L940" s="115"/>
      <c r="M940" s="115"/>
      <c r="N940" s="115"/>
      <c r="O940" s="115"/>
      <c r="P940" s="115"/>
    </row>
    <row r="941" spans="10:16" ht="12.5" x14ac:dyDescent="0.25">
      <c r="J941" s="115"/>
      <c r="K941" s="115"/>
      <c r="L941" s="115"/>
      <c r="M941" s="115"/>
      <c r="N941" s="115"/>
      <c r="O941" s="115"/>
      <c r="P941" s="115"/>
    </row>
    <row r="942" spans="10:16" ht="12.5" x14ac:dyDescent="0.25">
      <c r="J942" s="115"/>
      <c r="K942" s="115"/>
      <c r="L942" s="115"/>
      <c r="M942" s="115"/>
      <c r="N942" s="115"/>
      <c r="O942" s="115"/>
      <c r="P942" s="115"/>
    </row>
    <row r="943" spans="10:16" ht="12.5" x14ac:dyDescent="0.25">
      <c r="J943" s="115"/>
      <c r="K943" s="115"/>
      <c r="L943" s="115"/>
      <c r="M943" s="115"/>
      <c r="N943" s="115"/>
      <c r="O943" s="115"/>
      <c r="P943" s="115"/>
    </row>
    <row r="944" spans="10:16" ht="12.5" x14ac:dyDescent="0.25">
      <c r="J944" s="115"/>
      <c r="K944" s="115"/>
      <c r="L944" s="115"/>
      <c r="M944" s="115"/>
      <c r="N944" s="115"/>
      <c r="O944" s="115"/>
      <c r="P944" s="115"/>
    </row>
    <row r="945" spans="10:16" ht="12.5" x14ac:dyDescent="0.25">
      <c r="J945" s="115"/>
      <c r="K945" s="115"/>
      <c r="L945" s="115"/>
      <c r="M945" s="115"/>
      <c r="N945" s="115"/>
      <c r="O945" s="115"/>
      <c r="P945" s="115"/>
    </row>
    <row r="946" spans="10:16" ht="12.5" x14ac:dyDescent="0.25">
      <c r="J946" s="115"/>
      <c r="K946" s="115"/>
      <c r="L946" s="115"/>
      <c r="M946" s="115"/>
      <c r="N946" s="115"/>
      <c r="O946" s="115"/>
      <c r="P946" s="115"/>
    </row>
    <row r="947" spans="10:16" ht="12.5" x14ac:dyDescent="0.25">
      <c r="J947" s="115"/>
      <c r="K947" s="115"/>
      <c r="L947" s="115"/>
      <c r="M947" s="115"/>
      <c r="N947" s="115"/>
      <c r="O947" s="115"/>
      <c r="P947" s="115"/>
    </row>
    <row r="948" spans="10:16" ht="12.5" x14ac:dyDescent="0.25">
      <c r="J948" s="115"/>
      <c r="K948" s="115"/>
      <c r="L948" s="115"/>
      <c r="M948" s="115"/>
      <c r="N948" s="115"/>
      <c r="O948" s="115"/>
      <c r="P948" s="115"/>
    </row>
    <row r="949" spans="10:16" ht="12.5" x14ac:dyDescent="0.25">
      <c r="J949" s="115"/>
      <c r="K949" s="115"/>
      <c r="L949" s="115"/>
      <c r="M949" s="115"/>
      <c r="N949" s="115"/>
      <c r="O949" s="115"/>
      <c r="P949" s="115"/>
    </row>
    <row r="950" spans="10:16" ht="12.5" x14ac:dyDescent="0.25">
      <c r="J950" s="115"/>
      <c r="K950" s="115"/>
      <c r="L950" s="115"/>
      <c r="M950" s="115"/>
      <c r="N950" s="115"/>
      <c r="O950" s="115"/>
      <c r="P950" s="115"/>
    </row>
    <row r="951" spans="10:16" ht="12.5" x14ac:dyDescent="0.25">
      <c r="J951" s="115"/>
      <c r="K951" s="115"/>
      <c r="L951" s="115"/>
      <c r="M951" s="115"/>
      <c r="N951" s="115"/>
      <c r="O951" s="115"/>
      <c r="P951" s="115"/>
    </row>
    <row r="952" spans="10:16" ht="12.5" x14ac:dyDescent="0.25">
      <c r="J952" s="115"/>
      <c r="K952" s="115"/>
      <c r="L952" s="115"/>
      <c r="M952" s="115"/>
      <c r="N952" s="115"/>
      <c r="O952" s="115"/>
      <c r="P952" s="115"/>
    </row>
    <row r="953" spans="10:16" ht="12.5" x14ac:dyDescent="0.25">
      <c r="J953" s="115"/>
      <c r="K953" s="115"/>
      <c r="L953" s="115"/>
      <c r="M953" s="115"/>
      <c r="N953" s="115"/>
      <c r="O953" s="115"/>
      <c r="P953" s="115"/>
    </row>
    <row r="954" spans="10:16" ht="12.5" x14ac:dyDescent="0.25">
      <c r="J954" s="115"/>
      <c r="K954" s="115"/>
      <c r="L954" s="115"/>
      <c r="M954" s="115"/>
      <c r="N954" s="115"/>
      <c r="O954" s="115"/>
      <c r="P954" s="115"/>
    </row>
    <row r="955" spans="10:16" ht="12.5" x14ac:dyDescent="0.25">
      <c r="J955" s="115"/>
      <c r="K955" s="115"/>
      <c r="L955" s="115"/>
      <c r="M955" s="115"/>
      <c r="N955" s="115"/>
      <c r="O955" s="115"/>
      <c r="P955" s="115"/>
    </row>
    <row r="956" spans="10:16" ht="12.5" x14ac:dyDescent="0.25">
      <c r="J956" s="115"/>
      <c r="K956" s="115"/>
      <c r="L956" s="115"/>
      <c r="M956" s="115"/>
      <c r="N956" s="115"/>
      <c r="O956" s="115"/>
      <c r="P956" s="115"/>
    </row>
    <row r="957" spans="10:16" ht="12.5" x14ac:dyDescent="0.25">
      <c r="J957" s="115"/>
      <c r="K957" s="115"/>
      <c r="L957" s="115"/>
      <c r="M957" s="115"/>
      <c r="N957" s="115"/>
      <c r="O957" s="115"/>
      <c r="P957" s="115"/>
    </row>
    <row r="958" spans="10:16" ht="12.5" x14ac:dyDescent="0.25">
      <c r="J958" s="115"/>
      <c r="K958" s="115"/>
      <c r="L958" s="115"/>
      <c r="M958" s="115"/>
      <c r="N958" s="115"/>
      <c r="O958" s="115"/>
      <c r="P958" s="115"/>
    </row>
    <row r="959" spans="10:16" ht="12.5" x14ac:dyDescent="0.25">
      <c r="J959" s="115"/>
      <c r="K959" s="115"/>
      <c r="L959" s="115"/>
      <c r="M959" s="115"/>
      <c r="N959" s="115"/>
      <c r="O959" s="115"/>
      <c r="P959" s="115"/>
    </row>
    <row r="960" spans="10:16" ht="12.5" x14ac:dyDescent="0.25">
      <c r="J960" s="115"/>
      <c r="K960" s="115"/>
      <c r="L960" s="115"/>
      <c r="M960" s="115"/>
      <c r="N960" s="115"/>
      <c r="O960" s="115"/>
      <c r="P960" s="115"/>
    </row>
    <row r="961" spans="10:16" ht="12.5" x14ac:dyDescent="0.25">
      <c r="J961" s="115"/>
      <c r="K961" s="115"/>
      <c r="L961" s="115"/>
      <c r="M961" s="115"/>
      <c r="N961" s="115"/>
      <c r="O961" s="115"/>
      <c r="P961" s="115"/>
    </row>
    <row r="962" spans="10:16" ht="12.5" x14ac:dyDescent="0.25">
      <c r="J962" s="115"/>
      <c r="K962" s="115"/>
      <c r="L962" s="115"/>
      <c r="M962" s="115"/>
      <c r="N962" s="115"/>
      <c r="O962" s="115"/>
      <c r="P962" s="115"/>
    </row>
    <row r="963" spans="10:16" ht="12.5" x14ac:dyDescent="0.25">
      <c r="J963" s="115"/>
      <c r="K963" s="115"/>
      <c r="L963" s="115"/>
      <c r="M963" s="115"/>
      <c r="N963" s="115"/>
      <c r="O963" s="115"/>
      <c r="P963" s="115"/>
    </row>
    <row r="964" spans="10:16" ht="12.5" x14ac:dyDescent="0.25">
      <c r="J964" s="115"/>
      <c r="K964" s="115"/>
      <c r="L964" s="115"/>
      <c r="M964" s="115"/>
      <c r="N964" s="115"/>
      <c r="O964" s="115"/>
      <c r="P964" s="115"/>
    </row>
    <row r="965" spans="10:16" ht="12.5" x14ac:dyDescent="0.25">
      <c r="J965" s="115"/>
      <c r="K965" s="115"/>
      <c r="L965" s="115"/>
      <c r="M965" s="115"/>
      <c r="N965" s="115"/>
      <c r="O965" s="115"/>
      <c r="P965" s="115"/>
    </row>
    <row r="966" spans="10:16" ht="12.5" x14ac:dyDescent="0.25">
      <c r="J966" s="115"/>
      <c r="K966" s="115"/>
      <c r="L966" s="115"/>
      <c r="M966" s="115"/>
      <c r="N966" s="115"/>
      <c r="O966" s="115"/>
      <c r="P966" s="115"/>
    </row>
    <row r="967" spans="10:16" ht="12.5" x14ac:dyDescent="0.25">
      <c r="J967" s="115"/>
      <c r="K967" s="115"/>
      <c r="L967" s="115"/>
      <c r="M967" s="115"/>
      <c r="N967" s="115"/>
      <c r="O967" s="115"/>
      <c r="P967" s="115"/>
    </row>
    <row r="968" spans="10:16" ht="12.5" x14ac:dyDescent="0.25">
      <c r="J968" s="115"/>
      <c r="K968" s="115"/>
      <c r="L968" s="115"/>
      <c r="M968" s="115"/>
      <c r="N968" s="115"/>
      <c r="O968" s="115"/>
      <c r="P968" s="115"/>
    </row>
    <row r="969" spans="10:16" ht="12.5" x14ac:dyDescent="0.25">
      <c r="J969" s="115"/>
      <c r="K969" s="115"/>
      <c r="L969" s="115"/>
      <c r="M969" s="115"/>
      <c r="N969" s="115"/>
      <c r="O969" s="115"/>
      <c r="P969" s="115"/>
    </row>
    <row r="970" spans="10:16" ht="12.5" x14ac:dyDescent="0.25">
      <c r="J970" s="115"/>
      <c r="K970" s="115"/>
      <c r="L970" s="115"/>
      <c r="M970" s="115"/>
      <c r="N970" s="115"/>
      <c r="O970" s="115"/>
      <c r="P970" s="115"/>
    </row>
    <row r="971" spans="10:16" ht="12.5" x14ac:dyDescent="0.25">
      <c r="J971" s="115"/>
      <c r="K971" s="115"/>
      <c r="L971" s="115"/>
      <c r="M971" s="115"/>
      <c r="N971" s="115"/>
      <c r="O971" s="115"/>
      <c r="P971" s="115"/>
    </row>
    <row r="972" spans="10:16" ht="12.5" x14ac:dyDescent="0.25">
      <c r="J972" s="115"/>
      <c r="K972" s="115"/>
      <c r="L972" s="115"/>
      <c r="M972" s="115"/>
      <c r="N972" s="115"/>
      <c r="O972" s="115"/>
      <c r="P972" s="115"/>
    </row>
    <row r="973" spans="10:16" ht="12.5" x14ac:dyDescent="0.25">
      <c r="J973" s="115"/>
      <c r="K973" s="115"/>
      <c r="L973" s="115"/>
      <c r="M973" s="115"/>
      <c r="N973" s="115"/>
      <c r="O973" s="115"/>
      <c r="P973" s="115"/>
    </row>
    <row r="974" spans="10:16" ht="12.5" x14ac:dyDescent="0.25">
      <c r="J974" s="115"/>
      <c r="K974" s="115"/>
      <c r="L974" s="115"/>
      <c r="M974" s="115"/>
      <c r="N974" s="115"/>
      <c r="O974" s="115"/>
      <c r="P974" s="115"/>
    </row>
    <row r="975" spans="10:16" ht="12.5" x14ac:dyDescent="0.25">
      <c r="J975" s="115"/>
      <c r="K975" s="115"/>
      <c r="L975" s="115"/>
      <c r="M975" s="115"/>
      <c r="N975" s="115"/>
      <c r="O975" s="115"/>
      <c r="P975" s="115"/>
    </row>
    <row r="976" spans="10:16" ht="12.5" x14ac:dyDescent="0.25">
      <c r="J976" s="115"/>
      <c r="K976" s="115"/>
      <c r="L976" s="115"/>
      <c r="M976" s="115"/>
      <c r="N976" s="115"/>
      <c r="O976" s="115"/>
      <c r="P976" s="115"/>
    </row>
    <row r="977" spans="10:16" ht="12.5" x14ac:dyDescent="0.25">
      <c r="J977" s="115"/>
      <c r="K977" s="115"/>
      <c r="L977" s="115"/>
      <c r="M977" s="115"/>
      <c r="N977" s="115"/>
      <c r="O977" s="115"/>
      <c r="P977" s="115"/>
    </row>
    <row r="978" spans="10:16" ht="12.5" x14ac:dyDescent="0.25">
      <c r="J978" s="115"/>
      <c r="K978" s="115"/>
      <c r="L978" s="115"/>
      <c r="M978" s="115"/>
      <c r="N978" s="115"/>
      <c r="O978" s="115"/>
      <c r="P978" s="115"/>
    </row>
    <row r="979" spans="10:16" ht="12.5" x14ac:dyDescent="0.25">
      <c r="J979" s="115"/>
      <c r="K979" s="115"/>
      <c r="L979" s="115"/>
      <c r="M979" s="115"/>
      <c r="N979" s="115"/>
      <c r="O979" s="115"/>
      <c r="P979" s="115"/>
    </row>
    <row r="980" spans="10:16" ht="12.5" x14ac:dyDescent="0.25">
      <c r="J980" s="115"/>
      <c r="K980" s="115"/>
      <c r="L980" s="115"/>
      <c r="M980" s="115"/>
      <c r="N980" s="115"/>
      <c r="O980" s="115"/>
      <c r="P980" s="115"/>
    </row>
    <row r="981" spans="10:16" ht="12.5" x14ac:dyDescent="0.25">
      <c r="J981" s="115"/>
      <c r="K981" s="115"/>
      <c r="L981" s="115"/>
      <c r="M981" s="115"/>
      <c r="N981" s="115"/>
      <c r="O981" s="115"/>
      <c r="P981" s="115"/>
    </row>
    <row r="982" spans="10:16" ht="12.5" x14ac:dyDescent="0.25">
      <c r="J982" s="115"/>
      <c r="K982" s="115"/>
      <c r="L982" s="115"/>
      <c r="M982" s="115"/>
      <c r="N982" s="115"/>
      <c r="O982" s="115"/>
      <c r="P982" s="115"/>
    </row>
    <row r="983" spans="10:16" ht="12.5" x14ac:dyDescent="0.25">
      <c r="J983" s="115"/>
      <c r="K983" s="115"/>
      <c r="L983" s="115"/>
      <c r="M983" s="115"/>
      <c r="N983" s="115"/>
      <c r="O983" s="115"/>
      <c r="P983" s="115"/>
    </row>
    <row r="984" spans="10:16" ht="12.5" x14ac:dyDescent="0.25">
      <c r="J984" s="115"/>
      <c r="K984" s="115"/>
      <c r="L984" s="115"/>
      <c r="M984" s="115"/>
      <c r="N984" s="115"/>
      <c r="O984" s="115"/>
      <c r="P984" s="115"/>
    </row>
    <row r="985" spans="10:16" ht="12.5" x14ac:dyDescent="0.25">
      <c r="J985" s="115"/>
      <c r="K985" s="115"/>
      <c r="L985" s="115"/>
      <c r="M985" s="115"/>
      <c r="N985" s="115"/>
      <c r="O985" s="115"/>
      <c r="P985" s="115"/>
    </row>
    <row r="986" spans="10:16" ht="12.5" x14ac:dyDescent="0.25">
      <c r="J986" s="115"/>
      <c r="K986" s="115"/>
      <c r="L986" s="115"/>
      <c r="M986" s="115"/>
      <c r="N986" s="115"/>
      <c r="O986" s="115"/>
      <c r="P986" s="115"/>
    </row>
    <row r="987" spans="10:16" ht="12.5" x14ac:dyDescent="0.25">
      <c r="J987" s="115"/>
      <c r="K987" s="115"/>
      <c r="L987" s="115"/>
      <c r="M987" s="115"/>
      <c r="N987" s="115"/>
      <c r="O987" s="115"/>
      <c r="P987" s="115"/>
    </row>
    <row r="988" spans="10:16" ht="12.5" x14ac:dyDescent="0.25">
      <c r="J988" s="115"/>
      <c r="K988" s="115"/>
      <c r="L988" s="115"/>
      <c r="M988" s="115"/>
      <c r="N988" s="115"/>
      <c r="O988" s="115"/>
      <c r="P988" s="115"/>
    </row>
    <row r="989" spans="10:16" ht="12.5" x14ac:dyDescent="0.25">
      <c r="J989" s="115"/>
      <c r="K989" s="115"/>
      <c r="L989" s="115"/>
      <c r="M989" s="115"/>
      <c r="N989" s="115"/>
      <c r="O989" s="115"/>
      <c r="P989" s="115"/>
    </row>
    <row r="990" spans="10:16" ht="12.5" x14ac:dyDescent="0.25">
      <c r="J990" s="115"/>
      <c r="K990" s="115"/>
      <c r="L990" s="115"/>
      <c r="M990" s="115"/>
      <c r="N990" s="115"/>
      <c r="O990" s="115"/>
      <c r="P990" s="115"/>
    </row>
    <row r="991" spans="10:16" ht="12.5" x14ac:dyDescent="0.25">
      <c r="J991" s="115"/>
      <c r="K991" s="115"/>
      <c r="L991" s="115"/>
      <c r="M991" s="115"/>
      <c r="N991" s="115"/>
      <c r="O991" s="115"/>
      <c r="P991" s="115"/>
    </row>
    <row r="992" spans="10:16" ht="12.5" x14ac:dyDescent="0.25">
      <c r="J992" s="115"/>
      <c r="K992" s="115"/>
      <c r="L992" s="115"/>
      <c r="M992" s="115"/>
      <c r="N992" s="115"/>
      <c r="O992" s="115"/>
      <c r="P992" s="115"/>
    </row>
    <row r="993" spans="10:16" ht="12.5" x14ac:dyDescent="0.25">
      <c r="J993" s="115"/>
      <c r="K993" s="115"/>
      <c r="L993" s="115"/>
      <c r="M993" s="115"/>
      <c r="N993" s="115"/>
      <c r="O993" s="115"/>
      <c r="P993" s="115"/>
    </row>
    <row r="994" spans="10:16" ht="12.5" x14ac:dyDescent="0.25">
      <c r="J994" s="115"/>
      <c r="K994" s="115"/>
      <c r="L994" s="115"/>
      <c r="M994" s="115"/>
      <c r="N994" s="115"/>
      <c r="O994" s="115"/>
      <c r="P994" s="115"/>
    </row>
    <row r="995" spans="10:16" ht="12.5" x14ac:dyDescent="0.25">
      <c r="J995" s="115"/>
      <c r="K995" s="115"/>
      <c r="L995" s="115"/>
      <c r="M995" s="115"/>
      <c r="N995" s="115"/>
      <c r="O995" s="115"/>
      <c r="P995" s="115"/>
    </row>
    <row r="996" spans="10:16" ht="12.5" x14ac:dyDescent="0.25">
      <c r="J996" s="115"/>
      <c r="K996" s="115"/>
      <c r="L996" s="115"/>
      <c r="M996" s="115"/>
      <c r="N996" s="115"/>
      <c r="O996" s="115"/>
      <c r="P996" s="115"/>
    </row>
    <row r="997" spans="10:16" ht="12.5" x14ac:dyDescent="0.25">
      <c r="J997" s="115"/>
      <c r="K997" s="115"/>
      <c r="L997" s="115"/>
      <c r="M997" s="115"/>
      <c r="N997" s="115"/>
      <c r="O997" s="115"/>
      <c r="P997" s="115"/>
    </row>
    <row r="998" spans="10:16" ht="12.5" x14ac:dyDescent="0.25">
      <c r="J998" s="115"/>
      <c r="K998" s="115"/>
      <c r="L998" s="115"/>
      <c r="M998" s="115"/>
      <c r="N998" s="115"/>
      <c r="O998" s="115"/>
      <c r="P998" s="115"/>
    </row>
    <row r="999" spans="10:16" ht="12.5" x14ac:dyDescent="0.25">
      <c r="J999" s="115"/>
      <c r="K999" s="115"/>
      <c r="L999" s="115"/>
      <c r="M999" s="115"/>
      <c r="N999" s="115"/>
      <c r="O999" s="115"/>
      <c r="P999" s="115"/>
    </row>
    <row r="1000" spans="10:16" ht="12.5" x14ac:dyDescent="0.25">
      <c r="J1000" s="115"/>
      <c r="K1000" s="115"/>
      <c r="L1000" s="115"/>
      <c r="M1000" s="115"/>
      <c r="N1000" s="115"/>
      <c r="O1000" s="115"/>
      <c r="P1000" s="115"/>
    </row>
    <row r="1001" spans="10:16" ht="12.5" x14ac:dyDescent="0.25">
      <c r="J1001" s="115"/>
      <c r="K1001" s="115"/>
      <c r="L1001" s="115"/>
      <c r="M1001" s="115"/>
      <c r="N1001" s="115"/>
      <c r="O1001" s="115"/>
      <c r="P1001" s="115"/>
    </row>
    <row r="1002" spans="10:16" ht="12.5" x14ac:dyDescent="0.25">
      <c r="J1002" s="115"/>
      <c r="K1002" s="115"/>
      <c r="L1002" s="115"/>
      <c r="M1002" s="115"/>
      <c r="N1002" s="115"/>
      <c r="O1002" s="115"/>
      <c r="P1002" s="115"/>
    </row>
    <row r="1003" spans="10:16" ht="12.5" x14ac:dyDescent="0.25">
      <c r="J1003" s="115"/>
      <c r="K1003" s="115"/>
      <c r="L1003" s="115"/>
      <c r="M1003" s="115"/>
      <c r="N1003" s="115"/>
      <c r="O1003" s="115"/>
      <c r="P1003" s="115"/>
    </row>
    <row r="1004" spans="10:16" ht="12.5" x14ac:dyDescent="0.25">
      <c r="J1004" s="115"/>
      <c r="K1004" s="115"/>
      <c r="L1004" s="115"/>
      <c r="M1004" s="115"/>
      <c r="N1004" s="115"/>
      <c r="O1004" s="115"/>
      <c r="P1004" s="115"/>
    </row>
    <row r="1005" spans="10:16" ht="12.5" x14ac:dyDescent="0.25">
      <c r="J1005" s="115"/>
      <c r="K1005" s="115"/>
      <c r="L1005" s="115"/>
      <c r="M1005" s="115"/>
      <c r="N1005" s="115"/>
      <c r="O1005" s="115"/>
      <c r="P1005" s="115"/>
    </row>
    <row r="1006" spans="10:16" ht="12.5" x14ac:dyDescent="0.25">
      <c r="J1006" s="115"/>
      <c r="K1006" s="115"/>
      <c r="L1006" s="115"/>
      <c r="M1006" s="115"/>
      <c r="N1006" s="115"/>
      <c r="O1006" s="115"/>
      <c r="P1006" s="115"/>
    </row>
    <row r="1007" spans="10:16" ht="12.5" x14ac:dyDescent="0.25">
      <c r="J1007" s="115"/>
      <c r="K1007" s="115"/>
      <c r="L1007" s="115"/>
      <c r="M1007" s="115"/>
      <c r="N1007" s="115"/>
      <c r="O1007" s="115"/>
      <c r="P1007" s="115"/>
    </row>
    <row r="1008" spans="10:16" ht="12.5" x14ac:dyDescent="0.25">
      <c r="J1008" s="115"/>
      <c r="K1008" s="115"/>
      <c r="L1008" s="115"/>
      <c r="M1008" s="115"/>
      <c r="N1008" s="115"/>
      <c r="O1008" s="115"/>
      <c r="P1008" s="115"/>
    </row>
    <row r="1009" spans="10:16" ht="12.5" x14ac:dyDescent="0.25">
      <c r="J1009" s="115"/>
      <c r="K1009" s="115"/>
      <c r="L1009" s="115"/>
      <c r="M1009" s="115"/>
      <c r="N1009" s="115"/>
      <c r="O1009" s="115"/>
      <c r="P1009" s="115"/>
    </row>
    <row r="1010" spans="10:16" ht="12.5" x14ac:dyDescent="0.25">
      <c r="J1010" s="115"/>
      <c r="K1010" s="115"/>
      <c r="L1010" s="115"/>
      <c r="M1010" s="115"/>
      <c r="N1010" s="115"/>
      <c r="O1010" s="115"/>
      <c r="P1010" s="115"/>
    </row>
    <row r="1011" spans="10:16" ht="12.5" x14ac:dyDescent="0.25">
      <c r="J1011" s="115"/>
      <c r="K1011" s="115"/>
      <c r="L1011" s="115"/>
      <c r="M1011" s="115"/>
      <c r="N1011" s="115"/>
      <c r="O1011" s="115"/>
      <c r="P1011" s="115"/>
    </row>
    <row r="1012" spans="10:16" ht="12.5" x14ac:dyDescent="0.25">
      <c r="J1012" s="115"/>
      <c r="K1012" s="115"/>
      <c r="L1012" s="115"/>
      <c r="M1012" s="115"/>
      <c r="N1012" s="115"/>
      <c r="O1012" s="115"/>
      <c r="P1012" s="115"/>
    </row>
    <row r="1013" spans="10:16" ht="12.5" x14ac:dyDescent="0.25">
      <c r="J1013" s="115"/>
      <c r="K1013" s="115"/>
      <c r="L1013" s="115"/>
      <c r="M1013" s="115"/>
      <c r="N1013" s="115"/>
      <c r="O1013" s="115"/>
      <c r="P1013" s="115"/>
    </row>
    <row r="1014" spans="10:16" ht="12.5" x14ac:dyDescent="0.25">
      <c r="J1014" s="115"/>
      <c r="K1014" s="115"/>
      <c r="L1014" s="115"/>
      <c r="M1014" s="115"/>
      <c r="N1014" s="115"/>
      <c r="O1014" s="115"/>
      <c r="P1014" s="115"/>
    </row>
    <row r="1015" spans="10:16" ht="12.5" x14ac:dyDescent="0.25">
      <c r="J1015" s="115"/>
      <c r="K1015" s="115"/>
      <c r="L1015" s="115"/>
      <c r="M1015" s="115"/>
      <c r="N1015" s="115"/>
      <c r="O1015" s="115"/>
      <c r="P1015" s="115"/>
    </row>
    <row r="1016" spans="10:16" ht="12.5" x14ac:dyDescent="0.25">
      <c r="J1016" s="115"/>
      <c r="K1016" s="115"/>
      <c r="L1016" s="115"/>
      <c r="M1016" s="115"/>
      <c r="N1016" s="115"/>
      <c r="O1016" s="115"/>
      <c r="P1016" s="115"/>
    </row>
    <row r="1017" spans="10:16" ht="12.5" x14ac:dyDescent="0.25">
      <c r="J1017" s="115"/>
      <c r="K1017" s="115"/>
      <c r="L1017" s="115"/>
      <c r="M1017" s="115"/>
      <c r="N1017" s="115"/>
      <c r="O1017" s="115"/>
      <c r="P1017" s="115"/>
    </row>
    <row r="1018" spans="10:16" ht="12.5" x14ac:dyDescent="0.25">
      <c r="J1018" s="115"/>
      <c r="K1018" s="115"/>
      <c r="L1018" s="115"/>
      <c r="M1018" s="115"/>
      <c r="N1018" s="115"/>
      <c r="O1018" s="115"/>
      <c r="P1018" s="115"/>
    </row>
    <row r="1019" spans="10:16" ht="12.5" x14ac:dyDescent="0.25">
      <c r="J1019" s="115"/>
      <c r="K1019" s="115"/>
      <c r="L1019" s="115"/>
      <c r="M1019" s="115"/>
      <c r="N1019" s="115"/>
      <c r="O1019" s="115"/>
      <c r="P1019" s="115"/>
    </row>
    <row r="1020" spans="10:16" ht="12.5" x14ac:dyDescent="0.25">
      <c r="J1020" s="115"/>
      <c r="K1020" s="115"/>
      <c r="L1020" s="115"/>
      <c r="M1020" s="115"/>
      <c r="N1020" s="115"/>
      <c r="O1020" s="115"/>
      <c r="P1020" s="115"/>
    </row>
    <row r="1021" spans="10:16" ht="12.5" x14ac:dyDescent="0.25">
      <c r="J1021" s="115"/>
      <c r="K1021" s="115"/>
      <c r="L1021" s="115"/>
      <c r="M1021" s="115"/>
      <c r="N1021" s="115"/>
      <c r="O1021" s="115"/>
      <c r="P1021" s="115"/>
    </row>
    <row r="1022" spans="10:16" ht="12.5" x14ac:dyDescent="0.25">
      <c r="J1022" s="115"/>
      <c r="K1022" s="115"/>
      <c r="L1022" s="115"/>
      <c r="M1022" s="115"/>
      <c r="N1022" s="115"/>
      <c r="O1022" s="115"/>
      <c r="P1022" s="115"/>
    </row>
    <row r="1023" spans="10:16" ht="12.5" x14ac:dyDescent="0.25">
      <c r="J1023" s="115"/>
      <c r="K1023" s="115"/>
      <c r="L1023" s="115"/>
      <c r="M1023" s="115"/>
      <c r="N1023" s="115"/>
      <c r="O1023" s="115"/>
      <c r="P1023" s="115"/>
    </row>
    <row r="1024" spans="10:16" ht="12.5" x14ac:dyDescent="0.25">
      <c r="J1024" s="115"/>
      <c r="K1024" s="115"/>
      <c r="L1024" s="115"/>
      <c r="M1024" s="115"/>
      <c r="N1024" s="115"/>
      <c r="O1024" s="115"/>
      <c r="P1024" s="115"/>
    </row>
    <row r="1025" spans="10:16" ht="12.5" x14ac:dyDescent="0.25">
      <c r="J1025" s="115"/>
      <c r="K1025" s="115"/>
      <c r="L1025" s="115"/>
      <c r="M1025" s="115"/>
      <c r="N1025" s="115"/>
      <c r="O1025" s="115"/>
      <c r="P1025" s="115"/>
    </row>
    <row r="1026" spans="10:16" ht="12.5" x14ac:dyDescent="0.25">
      <c r="J1026" s="115"/>
      <c r="K1026" s="115"/>
      <c r="L1026" s="115"/>
      <c r="M1026" s="115"/>
      <c r="N1026" s="115"/>
      <c r="O1026" s="115"/>
      <c r="P1026" s="115"/>
    </row>
    <row r="1027" spans="10:16" ht="12.5" x14ac:dyDescent="0.25">
      <c r="J1027" s="115"/>
      <c r="K1027" s="115"/>
      <c r="L1027" s="115"/>
      <c r="M1027" s="115"/>
      <c r="N1027" s="115"/>
      <c r="O1027" s="115"/>
      <c r="P1027" s="115"/>
    </row>
    <row r="1028" spans="10:16" ht="12.5" x14ac:dyDescent="0.25">
      <c r="J1028" s="115"/>
      <c r="K1028" s="115"/>
      <c r="L1028" s="115"/>
      <c r="M1028" s="115"/>
      <c r="N1028" s="115"/>
      <c r="O1028" s="115"/>
      <c r="P1028" s="115"/>
    </row>
    <row r="1029" spans="10:16" ht="12.5" x14ac:dyDescent="0.25">
      <c r="J1029" s="115"/>
      <c r="K1029" s="115"/>
      <c r="L1029" s="115"/>
      <c r="M1029" s="115"/>
      <c r="N1029" s="115"/>
      <c r="O1029" s="115"/>
      <c r="P1029" s="115"/>
    </row>
    <row r="1030" spans="10:16" ht="12.5" x14ac:dyDescent="0.25">
      <c r="J1030" s="115"/>
      <c r="K1030" s="115"/>
      <c r="L1030" s="115"/>
      <c r="M1030" s="115"/>
      <c r="N1030" s="115"/>
      <c r="O1030" s="115"/>
      <c r="P1030" s="115"/>
    </row>
    <row r="1031" spans="10:16" ht="12.5" x14ac:dyDescent="0.25">
      <c r="J1031" s="115"/>
      <c r="K1031" s="115"/>
      <c r="L1031" s="115"/>
      <c r="M1031" s="115"/>
      <c r="N1031" s="115"/>
      <c r="O1031" s="115"/>
      <c r="P1031" s="115"/>
    </row>
    <row r="1032" spans="10:16" ht="12.5" x14ac:dyDescent="0.25">
      <c r="J1032" s="115"/>
      <c r="K1032" s="115"/>
      <c r="L1032" s="115"/>
      <c r="M1032" s="115"/>
      <c r="N1032" s="115"/>
      <c r="O1032" s="115"/>
      <c r="P1032" s="115"/>
    </row>
    <row r="1033" spans="10:16" ht="12.5" x14ac:dyDescent="0.25">
      <c r="J1033" s="115"/>
      <c r="K1033" s="115"/>
      <c r="L1033" s="115"/>
      <c r="M1033" s="115"/>
      <c r="N1033" s="115"/>
      <c r="O1033" s="115"/>
      <c r="P1033" s="115"/>
    </row>
    <row r="1034" spans="10:16" ht="12.5" x14ac:dyDescent="0.25">
      <c r="J1034" s="115"/>
      <c r="K1034" s="115"/>
      <c r="L1034" s="115"/>
      <c r="M1034" s="115"/>
      <c r="N1034" s="115"/>
      <c r="O1034" s="115"/>
      <c r="P1034" s="115"/>
    </row>
    <row r="1035" spans="10:16" ht="12.5" x14ac:dyDescent="0.25">
      <c r="J1035" s="115"/>
      <c r="K1035" s="115"/>
      <c r="L1035" s="115"/>
      <c r="M1035" s="115"/>
      <c r="N1035" s="115"/>
      <c r="O1035" s="115"/>
      <c r="P1035" s="115"/>
    </row>
    <row r="1036" spans="10:16" ht="12.5" x14ac:dyDescent="0.25">
      <c r="J1036" s="115"/>
      <c r="K1036" s="115"/>
      <c r="L1036" s="115"/>
      <c r="M1036" s="115"/>
      <c r="N1036" s="115"/>
      <c r="O1036" s="115"/>
      <c r="P1036" s="115"/>
    </row>
    <row r="1037" spans="10:16" ht="12.5" x14ac:dyDescent="0.25">
      <c r="J1037" s="115"/>
      <c r="K1037" s="115"/>
      <c r="L1037" s="115"/>
      <c r="M1037" s="115"/>
      <c r="N1037" s="115"/>
      <c r="O1037" s="115"/>
      <c r="P1037" s="115"/>
    </row>
    <row r="1038" spans="10:16" ht="12.5" x14ac:dyDescent="0.25">
      <c r="J1038" s="115"/>
      <c r="K1038" s="115"/>
      <c r="L1038" s="115"/>
      <c r="M1038" s="115"/>
      <c r="N1038" s="115"/>
      <c r="O1038" s="115"/>
      <c r="P1038" s="115"/>
    </row>
    <row r="1039" spans="10:16" ht="12.5" x14ac:dyDescent="0.25">
      <c r="J1039" s="115"/>
      <c r="K1039" s="115"/>
      <c r="L1039" s="115"/>
      <c r="M1039" s="115"/>
      <c r="N1039" s="115"/>
      <c r="O1039" s="115"/>
      <c r="P1039" s="115"/>
    </row>
    <row r="1040" spans="10:16" ht="12.5" x14ac:dyDescent="0.25">
      <c r="J1040" s="115"/>
      <c r="K1040" s="115"/>
      <c r="L1040" s="115"/>
      <c r="M1040" s="115"/>
      <c r="N1040" s="115"/>
      <c r="O1040" s="115"/>
      <c r="P1040" s="115"/>
    </row>
    <row r="1041" spans="10:16" ht="12.5" x14ac:dyDescent="0.25">
      <c r="J1041" s="115"/>
      <c r="K1041" s="115"/>
      <c r="L1041" s="115"/>
      <c r="M1041" s="115"/>
      <c r="N1041" s="115"/>
      <c r="O1041" s="115"/>
      <c r="P1041" s="115"/>
    </row>
    <row r="1042" spans="10:16" ht="12.5" x14ac:dyDescent="0.25">
      <c r="J1042" s="115"/>
      <c r="K1042" s="115"/>
      <c r="L1042" s="115"/>
      <c r="M1042" s="115"/>
      <c r="N1042" s="115"/>
      <c r="O1042" s="115"/>
      <c r="P1042" s="115"/>
    </row>
    <row r="1043" spans="10:16" ht="12.5" x14ac:dyDescent="0.25">
      <c r="J1043" s="115"/>
      <c r="K1043" s="115"/>
      <c r="L1043" s="115"/>
      <c r="M1043" s="115"/>
      <c r="N1043" s="115"/>
      <c r="O1043" s="115"/>
      <c r="P1043" s="115"/>
    </row>
    <row r="1044" spans="10:16" ht="12.5" x14ac:dyDescent="0.25">
      <c r="J1044" s="115"/>
      <c r="K1044" s="115"/>
      <c r="L1044" s="115"/>
      <c r="M1044" s="115"/>
      <c r="N1044" s="115"/>
      <c r="O1044" s="115"/>
      <c r="P1044" s="115"/>
    </row>
  </sheetData>
  <mergeCells count="421">
    <mergeCell ref="D112:I112"/>
    <mergeCell ref="K112:L112"/>
    <mergeCell ref="M112:N112"/>
    <mergeCell ref="O112:P112"/>
    <mergeCell ref="K113:L113"/>
    <mergeCell ref="M113:N113"/>
    <mergeCell ref="O113:P113"/>
    <mergeCell ref="D114:I114"/>
    <mergeCell ref="K114:L114"/>
    <mergeCell ref="M114:N114"/>
    <mergeCell ref="O114:P114"/>
    <mergeCell ref="K109:L109"/>
    <mergeCell ref="M109:N109"/>
    <mergeCell ref="O109:P109"/>
    <mergeCell ref="D110:I110"/>
    <mergeCell ref="K110:L110"/>
    <mergeCell ref="M110:N110"/>
    <mergeCell ref="O110:P110"/>
    <mergeCell ref="K111:L111"/>
    <mergeCell ref="M111:N111"/>
    <mergeCell ref="O111:P111"/>
    <mergeCell ref="D106:I106"/>
    <mergeCell ref="K106:L106"/>
    <mergeCell ref="M106:N106"/>
    <mergeCell ref="O106:P106"/>
    <mergeCell ref="K107:L107"/>
    <mergeCell ref="M107:N107"/>
    <mergeCell ref="O107:P107"/>
    <mergeCell ref="D108:I108"/>
    <mergeCell ref="K108:L108"/>
    <mergeCell ref="M108:N108"/>
    <mergeCell ref="O108:P108"/>
    <mergeCell ref="K103:L103"/>
    <mergeCell ref="M103:N103"/>
    <mergeCell ref="O103:P103"/>
    <mergeCell ref="D104:I104"/>
    <mergeCell ref="K104:L104"/>
    <mergeCell ref="M104:N104"/>
    <mergeCell ref="O104:P104"/>
    <mergeCell ref="K105:L105"/>
    <mergeCell ref="M105:N105"/>
    <mergeCell ref="O105:P105"/>
    <mergeCell ref="D100:I100"/>
    <mergeCell ref="K100:L100"/>
    <mergeCell ref="M100:N100"/>
    <mergeCell ref="O100:P100"/>
    <mergeCell ref="K101:L101"/>
    <mergeCell ref="M101:N101"/>
    <mergeCell ref="O101:P101"/>
    <mergeCell ref="D102:I102"/>
    <mergeCell ref="K102:L102"/>
    <mergeCell ref="M102:N102"/>
    <mergeCell ref="O102:P102"/>
    <mergeCell ref="K97:L97"/>
    <mergeCell ref="M97:N97"/>
    <mergeCell ref="O97:P97"/>
    <mergeCell ref="D98:I98"/>
    <mergeCell ref="K98:L98"/>
    <mergeCell ref="M98:N98"/>
    <mergeCell ref="O98:P98"/>
    <mergeCell ref="K99:L99"/>
    <mergeCell ref="M99:N99"/>
    <mergeCell ref="O99:P99"/>
    <mergeCell ref="D94:I94"/>
    <mergeCell ref="K94:L94"/>
    <mergeCell ref="M94:N94"/>
    <mergeCell ref="O94:P94"/>
    <mergeCell ref="K95:L95"/>
    <mergeCell ref="M95:N95"/>
    <mergeCell ref="O95:P95"/>
    <mergeCell ref="D96:I96"/>
    <mergeCell ref="K96:L96"/>
    <mergeCell ref="M96:N96"/>
    <mergeCell ref="O96:P96"/>
    <mergeCell ref="M91:N91"/>
    <mergeCell ref="O91:P91"/>
    <mergeCell ref="D92:I92"/>
    <mergeCell ref="K92:L92"/>
    <mergeCell ref="M92:N92"/>
    <mergeCell ref="O92:P92"/>
    <mergeCell ref="K93:L93"/>
    <mergeCell ref="M93:N93"/>
    <mergeCell ref="O93:P93"/>
    <mergeCell ref="D82:I82"/>
    <mergeCell ref="K82:L82"/>
    <mergeCell ref="M82:N82"/>
    <mergeCell ref="O82:P82"/>
    <mergeCell ref="K119:L119"/>
    <mergeCell ref="M119:N119"/>
    <mergeCell ref="O119:P119"/>
    <mergeCell ref="D120:N120"/>
    <mergeCell ref="O120:P120"/>
    <mergeCell ref="K87:L87"/>
    <mergeCell ref="M87:N87"/>
    <mergeCell ref="O87:P87"/>
    <mergeCell ref="D88:I88"/>
    <mergeCell ref="K88:L88"/>
    <mergeCell ref="M88:N88"/>
    <mergeCell ref="O88:P88"/>
    <mergeCell ref="K89:L89"/>
    <mergeCell ref="M89:N89"/>
    <mergeCell ref="O89:P89"/>
    <mergeCell ref="D90:I90"/>
    <mergeCell ref="K90:L90"/>
    <mergeCell ref="M90:N90"/>
    <mergeCell ref="O90:P90"/>
    <mergeCell ref="K91:L91"/>
    <mergeCell ref="D78:I78"/>
    <mergeCell ref="K78:L78"/>
    <mergeCell ref="M78:N78"/>
    <mergeCell ref="O78:P78"/>
    <mergeCell ref="K79:L79"/>
    <mergeCell ref="M79:N79"/>
    <mergeCell ref="O79:P79"/>
    <mergeCell ref="D80:I80"/>
    <mergeCell ref="K80:L80"/>
    <mergeCell ref="M80:N80"/>
    <mergeCell ref="O80:P80"/>
    <mergeCell ref="D118:I118"/>
    <mergeCell ref="K118:L118"/>
    <mergeCell ref="M118:N118"/>
    <mergeCell ref="O118:P118"/>
    <mergeCell ref="D68:I68"/>
    <mergeCell ref="D70:I70"/>
    <mergeCell ref="K70:L70"/>
    <mergeCell ref="M70:N70"/>
    <mergeCell ref="O70:P70"/>
    <mergeCell ref="D72:I72"/>
    <mergeCell ref="K72:L72"/>
    <mergeCell ref="K73:L73"/>
    <mergeCell ref="M73:N73"/>
    <mergeCell ref="O73:P73"/>
    <mergeCell ref="D74:I74"/>
    <mergeCell ref="K74:L74"/>
    <mergeCell ref="M74:N74"/>
    <mergeCell ref="O74:P74"/>
    <mergeCell ref="K75:L75"/>
    <mergeCell ref="M75:N75"/>
    <mergeCell ref="O75:P75"/>
    <mergeCell ref="D76:I76"/>
    <mergeCell ref="K76:L76"/>
    <mergeCell ref="M76:N76"/>
    <mergeCell ref="K115:L115"/>
    <mergeCell ref="M115:N115"/>
    <mergeCell ref="O115:P115"/>
    <mergeCell ref="D116:I116"/>
    <mergeCell ref="K116:L116"/>
    <mergeCell ref="M116:N116"/>
    <mergeCell ref="O116:P116"/>
    <mergeCell ref="K117:L117"/>
    <mergeCell ref="M117:N117"/>
    <mergeCell ref="O117:P117"/>
    <mergeCell ref="D84:I84"/>
    <mergeCell ref="K84:L84"/>
    <mergeCell ref="M84:N84"/>
    <mergeCell ref="O84:P84"/>
    <mergeCell ref="K85:L85"/>
    <mergeCell ref="M85:N85"/>
    <mergeCell ref="O85:P85"/>
    <mergeCell ref="D86:I86"/>
    <mergeCell ref="K86:L86"/>
    <mergeCell ref="M86:N86"/>
    <mergeCell ref="O86:P86"/>
    <mergeCell ref="M72:N72"/>
    <mergeCell ref="O72:P72"/>
    <mergeCell ref="Q72:V72"/>
    <mergeCell ref="Q73:V73"/>
    <mergeCell ref="Q74:V74"/>
    <mergeCell ref="Q75:V75"/>
    <mergeCell ref="Q76:V76"/>
    <mergeCell ref="K83:L83"/>
    <mergeCell ref="M83:N83"/>
    <mergeCell ref="O83:P83"/>
    <mergeCell ref="O76:P76"/>
    <mergeCell ref="K77:L77"/>
    <mergeCell ref="M77:N77"/>
    <mergeCell ref="O77:P77"/>
    <mergeCell ref="K81:L81"/>
    <mergeCell ref="M81:N81"/>
    <mergeCell ref="O81:P81"/>
    <mergeCell ref="K68:L68"/>
    <mergeCell ref="M68:N68"/>
    <mergeCell ref="O68:P68"/>
    <mergeCell ref="Q68:V68"/>
    <mergeCell ref="D59:I59"/>
    <mergeCell ref="D60:I60"/>
    <mergeCell ref="D61:I61"/>
    <mergeCell ref="D62:I62"/>
    <mergeCell ref="D63:I63"/>
    <mergeCell ref="D64:I64"/>
    <mergeCell ref="D66:I66"/>
    <mergeCell ref="Q104:V104"/>
    <mergeCell ref="Q112:V112"/>
    <mergeCell ref="Q113:V113"/>
    <mergeCell ref="Q114:V114"/>
    <mergeCell ref="Q115:V115"/>
    <mergeCell ref="Q116:V116"/>
    <mergeCell ref="Q117:V117"/>
    <mergeCell ref="Q118:V118"/>
    <mergeCell ref="Q119:V119"/>
    <mergeCell ref="Q105:V105"/>
    <mergeCell ref="Q106:V106"/>
    <mergeCell ref="Q107:V107"/>
    <mergeCell ref="Q108:V108"/>
    <mergeCell ref="Q109:V109"/>
    <mergeCell ref="Q110:V110"/>
    <mergeCell ref="Q111:V111"/>
    <mergeCell ref="Q95:V95"/>
    <mergeCell ref="Q96:V96"/>
    <mergeCell ref="Q97:V97"/>
    <mergeCell ref="Q98:V98"/>
    <mergeCell ref="Q99:V99"/>
    <mergeCell ref="Q100:V100"/>
    <mergeCell ref="Q101:V101"/>
    <mergeCell ref="Q102:V102"/>
    <mergeCell ref="Q103:V103"/>
    <mergeCell ref="Q86:V86"/>
    <mergeCell ref="Q87:V87"/>
    <mergeCell ref="Q88:V88"/>
    <mergeCell ref="Q89:V89"/>
    <mergeCell ref="Q90:V90"/>
    <mergeCell ref="Q91:V91"/>
    <mergeCell ref="Q92:V92"/>
    <mergeCell ref="Q93:V93"/>
    <mergeCell ref="Q94:V94"/>
    <mergeCell ref="Q77:V77"/>
    <mergeCell ref="Q78:V78"/>
    <mergeCell ref="Q79:V79"/>
    <mergeCell ref="Q80:V80"/>
    <mergeCell ref="Q81:V81"/>
    <mergeCell ref="Q82:V82"/>
    <mergeCell ref="Q83:V83"/>
    <mergeCell ref="Q84:V84"/>
    <mergeCell ref="Q85:V85"/>
    <mergeCell ref="O71:P71"/>
    <mergeCell ref="Q71:V71"/>
    <mergeCell ref="K69:L69"/>
    <mergeCell ref="M69:N69"/>
    <mergeCell ref="O69:P69"/>
    <mergeCell ref="Q69:V69"/>
    <mergeCell ref="Q70:V70"/>
    <mergeCell ref="K71:L71"/>
    <mergeCell ref="M71:N71"/>
    <mergeCell ref="M65:N65"/>
    <mergeCell ref="O65:P65"/>
    <mergeCell ref="Q65:V65"/>
    <mergeCell ref="Q66:V66"/>
    <mergeCell ref="Q67:V67"/>
    <mergeCell ref="K65:L65"/>
    <mergeCell ref="K66:L66"/>
    <mergeCell ref="M66:N66"/>
    <mergeCell ref="O66:P66"/>
    <mergeCell ref="K67:L67"/>
    <mergeCell ref="M67:N67"/>
    <mergeCell ref="O67:P67"/>
    <mergeCell ref="K62:L62"/>
    <mergeCell ref="K63:L63"/>
    <mergeCell ref="M63:N63"/>
    <mergeCell ref="O63:P63"/>
    <mergeCell ref="Q63:V63"/>
    <mergeCell ref="K64:L64"/>
    <mergeCell ref="M64:N64"/>
    <mergeCell ref="O64:P64"/>
    <mergeCell ref="Q64:V64"/>
    <mergeCell ref="M62:N62"/>
    <mergeCell ref="O62:P62"/>
    <mergeCell ref="Q62:V62"/>
    <mergeCell ref="M60:N60"/>
    <mergeCell ref="O60:P60"/>
    <mergeCell ref="Q60:V60"/>
    <mergeCell ref="Q61:V61"/>
    <mergeCell ref="K58:L58"/>
    <mergeCell ref="K59:L59"/>
    <mergeCell ref="K60:L60"/>
    <mergeCell ref="K61:L61"/>
    <mergeCell ref="M61:N61"/>
    <mergeCell ref="O61:P61"/>
    <mergeCell ref="O58:P58"/>
    <mergeCell ref="Q58:V58"/>
    <mergeCell ref="M58:N58"/>
    <mergeCell ref="Q59:V59"/>
    <mergeCell ref="D35:F35"/>
    <mergeCell ref="D36:E37"/>
    <mergeCell ref="F36:G36"/>
    <mergeCell ref="F37:G37"/>
    <mergeCell ref="D39:F40"/>
    <mergeCell ref="G39:H40"/>
    <mergeCell ref="D42:H43"/>
    <mergeCell ref="M59:N59"/>
    <mergeCell ref="O59:P59"/>
    <mergeCell ref="D44:F44"/>
    <mergeCell ref="D45:F45"/>
    <mergeCell ref="D46:F46"/>
    <mergeCell ref="D47:F47"/>
    <mergeCell ref="D48:F48"/>
    <mergeCell ref="D49:F49"/>
    <mergeCell ref="D50:F50"/>
    <mergeCell ref="D51:F51"/>
    <mergeCell ref="D52:G52"/>
    <mergeCell ref="D53:G53"/>
    <mergeCell ref="D56:V57"/>
    <mergeCell ref="D58:I58"/>
    <mergeCell ref="Z38:AA38"/>
    <mergeCell ref="Z39:AA39"/>
    <mergeCell ref="T40:V40"/>
    <mergeCell ref="Z40:AA40"/>
    <mergeCell ref="J42:R42"/>
    <mergeCell ref="T42:V42"/>
    <mergeCell ref="X35:Y35"/>
    <mergeCell ref="Z35:AA35"/>
    <mergeCell ref="X36:AA36"/>
    <mergeCell ref="X37:Y37"/>
    <mergeCell ref="Z37:AA37"/>
    <mergeCell ref="X38:Y38"/>
    <mergeCell ref="X39:Y40"/>
    <mergeCell ref="T34:U34"/>
    <mergeCell ref="X34:AA34"/>
    <mergeCell ref="D28:F28"/>
    <mergeCell ref="D29:F29"/>
    <mergeCell ref="D30:F30"/>
    <mergeCell ref="D31:F31"/>
    <mergeCell ref="D32:F32"/>
    <mergeCell ref="D33:F33"/>
    <mergeCell ref="D34:F34"/>
    <mergeCell ref="T28:U28"/>
    <mergeCell ref="R29:S29"/>
    <mergeCell ref="T29:U29"/>
    <mergeCell ref="X29:Y29"/>
    <mergeCell ref="T30:U30"/>
    <mergeCell ref="X30:Y30"/>
    <mergeCell ref="R31:S31"/>
    <mergeCell ref="T31:U31"/>
    <mergeCell ref="T32:U32"/>
    <mergeCell ref="X32:AA33"/>
    <mergeCell ref="T33:U33"/>
    <mergeCell ref="D16:G16"/>
    <mergeCell ref="J16:K16"/>
    <mergeCell ref="D17:G17"/>
    <mergeCell ref="D18:G18"/>
    <mergeCell ref="D19:G19"/>
    <mergeCell ref="T27:U27"/>
    <mergeCell ref="X27:Y27"/>
    <mergeCell ref="R39:S39"/>
    <mergeCell ref="R40:S40"/>
    <mergeCell ref="R33:S33"/>
    <mergeCell ref="R35:S35"/>
    <mergeCell ref="T35:U35"/>
    <mergeCell ref="T36:U36"/>
    <mergeCell ref="R37:S37"/>
    <mergeCell ref="T37:U37"/>
    <mergeCell ref="T39:U39"/>
    <mergeCell ref="D25:F25"/>
    <mergeCell ref="D26:F26"/>
    <mergeCell ref="R26:S26"/>
    <mergeCell ref="X26:AA26"/>
    <mergeCell ref="D27:F27"/>
    <mergeCell ref="R27:S27"/>
    <mergeCell ref="X28:Y28"/>
    <mergeCell ref="T26:U26"/>
    <mergeCell ref="D2:E2"/>
    <mergeCell ref="G2:L2"/>
    <mergeCell ref="D3:E3"/>
    <mergeCell ref="N3:Q5"/>
    <mergeCell ref="H4:I4"/>
    <mergeCell ref="J4:K4"/>
    <mergeCell ref="H5:I5"/>
    <mergeCell ref="X14:Y14"/>
    <mergeCell ref="Z14:AA14"/>
    <mergeCell ref="J14:K14"/>
    <mergeCell ref="J5:K5"/>
    <mergeCell ref="S5:X5"/>
    <mergeCell ref="U8:V8"/>
    <mergeCell ref="W8:X8"/>
    <mergeCell ref="N6:Q6"/>
    <mergeCell ref="N7:P7"/>
    <mergeCell ref="S7:T7"/>
    <mergeCell ref="U7:V7"/>
    <mergeCell ref="W7:X7"/>
    <mergeCell ref="N8:P8"/>
    <mergeCell ref="S8:T8"/>
    <mergeCell ref="R24:S24"/>
    <mergeCell ref="R25:S25"/>
    <mergeCell ref="D20:G20"/>
    <mergeCell ref="D21:G21"/>
    <mergeCell ref="D23:H24"/>
    <mergeCell ref="R23:S23"/>
    <mergeCell ref="T23:U23"/>
    <mergeCell ref="T24:U24"/>
    <mergeCell ref="T25:U25"/>
    <mergeCell ref="R21:S21"/>
    <mergeCell ref="R22:S22"/>
    <mergeCell ref="R18:S18"/>
    <mergeCell ref="T18:U18"/>
    <mergeCell ref="R19:S19"/>
    <mergeCell ref="T19:U19"/>
    <mergeCell ref="R20:S20"/>
    <mergeCell ref="T20:U20"/>
    <mergeCell ref="T21:U21"/>
    <mergeCell ref="T22:U22"/>
    <mergeCell ref="Z16:AA16"/>
    <mergeCell ref="Z17:AA17"/>
    <mergeCell ref="R15:S15"/>
    <mergeCell ref="T15:U15"/>
    <mergeCell ref="R16:S16"/>
    <mergeCell ref="T16:U16"/>
    <mergeCell ref="X16:Y16"/>
    <mergeCell ref="R17:S17"/>
    <mergeCell ref="T17:U17"/>
    <mergeCell ref="R12:V13"/>
    <mergeCell ref="R14:S14"/>
    <mergeCell ref="T14:U14"/>
    <mergeCell ref="X15:Y15"/>
    <mergeCell ref="Z15:AA15"/>
    <mergeCell ref="D12:H13"/>
    <mergeCell ref="J12:P13"/>
    <mergeCell ref="X12:AA12"/>
    <mergeCell ref="X13:Y13"/>
    <mergeCell ref="Z13:AA13"/>
    <mergeCell ref="D14:G14"/>
    <mergeCell ref="D15:G15"/>
    <mergeCell ref="J15:K15"/>
  </mergeCells>
  <conditionalFormatting sqref="Z39:AA40">
    <cfRule type="cellIs" dxfId="47" priority="1" operator="greaterThanOrEqual">
      <formula>0</formula>
    </cfRule>
    <cfRule type="cellIs" dxfId="46" priority="3" operator="lessThan">
      <formula>0</formula>
    </cfRule>
    <cfRule type="containsText" dxfId="45" priority="4" operator="containsText" text="falta">
      <formula>NOT(ISERROR(SEARCH(("falta"),(Z39))))</formula>
    </cfRule>
  </conditionalFormatting>
  <conditionalFormatting sqref="Z40:AA40">
    <cfRule type="containsText" dxfId="44" priority="2" operator="containsText" text="sobra">
      <formula>NOT(ISERROR(SEARCH(("sobra"),(Z40))))</formula>
    </cfRule>
  </conditionalFormatting>
  <dataValidations count="3">
    <dataValidation type="list" allowBlank="1" showErrorMessage="1" sqref="G45:G51" xr:uid="{00000000-0002-0000-0200-000000000000}">
      <formula1>"Ahorro,Inversión"</formula1>
    </dataValidation>
    <dataValidation type="list" allowBlank="1" showErrorMessage="1" sqref="K59:K119" xr:uid="{00000000-0002-0000-0200-000001000000}">
      <formula1>"Transporte,Alimentación,Restaurantes,Delivery,Bares,Ropa,Belleza,Gasolina,Hogar,Tarjeta de crédito,Ocio,Pequeñas compras,Tasas/Impuestos,Viajes/vacaciones,Tecnología,Reparaciones,Salud,Higiene,Cursos/Formación/Trabajo,Mascotas,Familia,Otros,Préstamos"</formula1>
    </dataValidation>
    <dataValidation type="list" allowBlank="1" showErrorMessage="1" sqref="N15:N39 M59:M119" xr:uid="{00000000-0002-0000-0200-000002000000}">
      <formula1>"Transferencia,Tarjeta de débito,Efectivo,Tarjeta de crédito"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D1044"/>
  <sheetViews>
    <sheetView workbookViewId="0"/>
  </sheetViews>
  <sheetFormatPr baseColWidth="10" defaultColWidth="12.6328125" defaultRowHeight="15.75" customHeight="1" x14ac:dyDescent="0.25"/>
  <cols>
    <col min="7" max="7" width="13.7265625" customWidth="1"/>
    <col min="14" max="14" width="17.6328125" customWidth="1"/>
  </cols>
  <sheetData>
    <row r="1" spans="1:30" ht="15.7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8"/>
      <c r="O1" s="28"/>
      <c r="P1" s="28"/>
      <c r="Q1" s="28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x14ac:dyDescent="0.3">
      <c r="A2" s="2"/>
      <c r="B2" s="2"/>
      <c r="C2" s="2"/>
      <c r="D2" s="254" t="s">
        <v>45</v>
      </c>
      <c r="E2" s="200"/>
      <c r="F2" s="11"/>
      <c r="G2" s="244" t="s">
        <v>46</v>
      </c>
      <c r="H2" s="245"/>
      <c r="I2" s="245"/>
      <c r="J2" s="245"/>
      <c r="K2" s="245"/>
      <c r="L2" s="246"/>
      <c r="M2" s="29"/>
      <c r="N2" s="11"/>
      <c r="O2" s="11"/>
      <c r="P2" s="11"/>
      <c r="Q2" s="11"/>
      <c r="R2" s="11"/>
      <c r="S2" s="11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5.75" customHeight="1" x14ac:dyDescent="0.4">
      <c r="A3" s="2"/>
      <c r="B3" s="2"/>
      <c r="C3" s="2"/>
      <c r="D3" s="255">
        <f>CTAS!D3</f>
        <v>0</v>
      </c>
      <c r="E3" s="236"/>
      <c r="F3" s="2"/>
      <c r="G3" s="2"/>
      <c r="H3" s="2"/>
      <c r="I3" s="2"/>
      <c r="J3" s="2"/>
      <c r="K3" s="2"/>
      <c r="L3" s="2"/>
      <c r="M3" s="11"/>
      <c r="N3" s="256" t="s">
        <v>1</v>
      </c>
      <c r="O3" s="209"/>
      <c r="P3" s="209"/>
      <c r="Q3" s="129"/>
      <c r="R3" s="30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3">
      <c r="A4" s="2"/>
      <c r="B4" s="2"/>
      <c r="C4" s="2"/>
      <c r="D4" s="28"/>
      <c r="E4" s="28"/>
      <c r="F4" s="2"/>
      <c r="G4" s="28"/>
      <c r="H4" s="259" t="s">
        <v>15</v>
      </c>
      <c r="I4" s="224"/>
      <c r="J4" s="260" t="s">
        <v>47</v>
      </c>
      <c r="K4" s="119"/>
      <c r="L4" s="31" t="s">
        <v>14</v>
      </c>
      <c r="M4" s="32"/>
      <c r="N4" s="257"/>
      <c r="O4" s="197"/>
      <c r="P4" s="197"/>
      <c r="Q4" s="258"/>
      <c r="R4" s="30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x14ac:dyDescent="0.3">
      <c r="A5" s="2"/>
      <c r="B5" s="2"/>
      <c r="C5" s="2"/>
      <c r="D5" s="2"/>
      <c r="E5" s="2"/>
      <c r="F5" s="2"/>
      <c r="G5" s="33" t="s">
        <v>48</v>
      </c>
      <c r="H5" s="261">
        <f>H37</f>
        <v>0</v>
      </c>
      <c r="I5" s="219"/>
      <c r="J5" s="243">
        <f>G39</f>
        <v>0</v>
      </c>
      <c r="K5" s="201"/>
      <c r="L5" s="34">
        <f>H5+J5</f>
        <v>0</v>
      </c>
      <c r="M5" s="32"/>
      <c r="N5" s="257"/>
      <c r="O5" s="197"/>
      <c r="P5" s="197"/>
      <c r="Q5" s="258"/>
      <c r="R5" s="29"/>
      <c r="S5" s="244" t="s">
        <v>49</v>
      </c>
      <c r="T5" s="245"/>
      <c r="U5" s="245"/>
      <c r="V5" s="245"/>
      <c r="W5" s="245"/>
      <c r="X5" s="246"/>
      <c r="Y5" s="30"/>
      <c r="Z5" s="2"/>
      <c r="AA5" s="2"/>
      <c r="AB5" s="2"/>
      <c r="AC5" s="2"/>
      <c r="AD5" s="2"/>
    </row>
    <row r="6" spans="1:30" ht="15.75" customHeight="1" x14ac:dyDescent="0.25">
      <c r="A6" s="2"/>
      <c r="B6" s="2"/>
      <c r="C6" s="2"/>
      <c r="D6" s="35"/>
      <c r="E6" s="35"/>
      <c r="F6" s="2"/>
      <c r="G6" s="35"/>
      <c r="H6" s="2"/>
      <c r="I6" s="36"/>
      <c r="J6" s="37"/>
      <c r="K6" s="37"/>
      <c r="L6" s="37"/>
      <c r="M6" s="38"/>
      <c r="N6" s="248">
        <v>2026</v>
      </c>
      <c r="O6" s="218"/>
      <c r="P6" s="218"/>
      <c r="Q6" s="249"/>
      <c r="R6" s="30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x14ac:dyDescent="0.3">
      <c r="A7" s="2"/>
      <c r="B7" s="2"/>
      <c r="C7" s="2"/>
      <c r="D7" s="2"/>
      <c r="E7" s="2"/>
      <c r="F7" s="2"/>
      <c r="G7" s="2"/>
      <c r="H7" s="39" t="s">
        <v>50</v>
      </c>
      <c r="I7" s="39" t="s">
        <v>51</v>
      </c>
      <c r="J7" s="7" t="s">
        <v>19</v>
      </c>
      <c r="K7" s="7" t="s">
        <v>52</v>
      </c>
      <c r="L7" s="7" t="s">
        <v>14</v>
      </c>
      <c r="M7" s="40"/>
      <c r="N7" s="250" t="s">
        <v>53</v>
      </c>
      <c r="O7" s="224"/>
      <c r="P7" s="227"/>
      <c r="Q7" s="41">
        <v>46054</v>
      </c>
      <c r="R7" s="30"/>
      <c r="S7" s="251" t="s">
        <v>54</v>
      </c>
      <c r="T7" s="219"/>
      <c r="U7" s="252" t="s">
        <v>55</v>
      </c>
      <c r="V7" s="219"/>
      <c r="W7" s="253" t="s">
        <v>56</v>
      </c>
      <c r="X7" s="219"/>
      <c r="Y7" s="2"/>
      <c r="Z7" s="2"/>
      <c r="AA7" s="2"/>
      <c r="AB7" s="2"/>
      <c r="AC7" s="2"/>
      <c r="AD7" s="2"/>
    </row>
    <row r="8" spans="1:30" x14ac:dyDescent="0.3">
      <c r="A8" s="2"/>
      <c r="B8" s="2"/>
      <c r="C8" s="2"/>
      <c r="D8" s="2"/>
      <c r="E8" s="2"/>
      <c r="F8" s="2"/>
      <c r="G8" s="42" t="s">
        <v>55</v>
      </c>
      <c r="H8" s="43">
        <f>M40</f>
        <v>0</v>
      </c>
      <c r="I8" s="44">
        <f>O120</f>
        <v>0</v>
      </c>
      <c r="J8" s="45">
        <f>H52</f>
        <v>0</v>
      </c>
      <c r="K8" s="45">
        <f>H53</f>
        <v>0</v>
      </c>
      <c r="L8" s="46">
        <f>SUM(H8:K8)</f>
        <v>0</v>
      </c>
      <c r="M8" s="40"/>
      <c r="N8" s="250" t="s">
        <v>57</v>
      </c>
      <c r="O8" s="224"/>
      <c r="P8" s="227"/>
      <c r="Q8" s="116">
        <v>46081</v>
      </c>
      <c r="R8" s="30"/>
      <c r="S8" s="247">
        <f>L5</f>
        <v>0</v>
      </c>
      <c r="T8" s="142"/>
      <c r="U8" s="247">
        <f>L8</f>
        <v>0</v>
      </c>
      <c r="V8" s="142"/>
      <c r="W8" s="247">
        <f>S8-U8</f>
        <v>0</v>
      </c>
      <c r="X8" s="142"/>
      <c r="Y8" s="2"/>
      <c r="Z8" s="2"/>
      <c r="AA8" s="2"/>
      <c r="AB8" s="2"/>
      <c r="AC8" s="2"/>
      <c r="AD8" s="2"/>
    </row>
    <row r="9" spans="1:30" ht="15.75" customHeight="1" x14ac:dyDescent="0.25">
      <c r="A9" s="2"/>
      <c r="B9" s="2"/>
      <c r="C9" s="2"/>
      <c r="D9" s="47"/>
      <c r="E9" s="47"/>
      <c r="F9" s="2"/>
      <c r="G9" s="2"/>
      <c r="H9" s="35"/>
      <c r="I9" s="35"/>
      <c r="J9" s="48"/>
      <c r="K9" s="48"/>
      <c r="L9" s="48"/>
      <c r="M9" s="49"/>
      <c r="N9" s="49"/>
      <c r="O9" s="49"/>
      <c r="P9" s="49"/>
      <c r="Q9" s="49"/>
      <c r="R9" s="49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15.75" customHeight="1" x14ac:dyDescent="0.25">
      <c r="A10" s="2"/>
      <c r="B10" s="2"/>
      <c r="C10" s="2"/>
      <c r="D10" s="35"/>
      <c r="E10" s="35"/>
      <c r="F10" s="2"/>
      <c r="G10" s="2"/>
      <c r="H10" s="2"/>
      <c r="I10" s="2"/>
      <c r="J10" s="49"/>
      <c r="K10" s="49"/>
      <c r="L10" s="49"/>
      <c r="M10" s="49"/>
      <c r="N10" s="49"/>
      <c r="O10" s="49"/>
      <c r="P10" s="49"/>
      <c r="Q10" s="49"/>
      <c r="R10" s="49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15.75" customHeight="1" x14ac:dyDescent="0.25">
      <c r="A11" s="2"/>
      <c r="B11" s="2"/>
      <c r="C11" s="2"/>
      <c r="D11" s="28"/>
      <c r="E11" s="28"/>
      <c r="F11" s="28"/>
      <c r="G11" s="28"/>
      <c r="H11" s="28"/>
      <c r="I11" s="2"/>
      <c r="J11" s="50"/>
      <c r="K11" s="50"/>
      <c r="L11" s="50"/>
      <c r="M11" s="50"/>
      <c r="N11" s="50"/>
      <c r="O11" s="50"/>
      <c r="P11" s="50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15.75" customHeight="1" x14ac:dyDescent="0.35">
      <c r="A12" s="2"/>
      <c r="B12" s="2"/>
      <c r="C12" s="11"/>
      <c r="D12" s="215" t="s">
        <v>58</v>
      </c>
      <c r="E12" s="209"/>
      <c r="F12" s="209"/>
      <c r="G12" s="209"/>
      <c r="H12" s="129"/>
      <c r="I12" s="29"/>
      <c r="J12" s="216" t="s">
        <v>16</v>
      </c>
      <c r="K12" s="209"/>
      <c r="L12" s="209"/>
      <c r="M12" s="209"/>
      <c r="N12" s="209"/>
      <c r="O12" s="209"/>
      <c r="P12" s="129"/>
      <c r="Q12" s="30"/>
      <c r="R12" s="208" t="s">
        <v>17</v>
      </c>
      <c r="S12" s="209"/>
      <c r="T12" s="209"/>
      <c r="U12" s="209"/>
      <c r="V12" s="129"/>
      <c r="X12" s="217" t="s">
        <v>18</v>
      </c>
      <c r="Y12" s="218"/>
      <c r="Z12" s="218"/>
      <c r="AA12" s="219"/>
      <c r="AB12" s="2"/>
      <c r="AC12" s="2"/>
      <c r="AD12" s="2"/>
    </row>
    <row r="13" spans="1:30" ht="15.75" customHeight="1" x14ac:dyDescent="0.25">
      <c r="A13" s="2"/>
      <c r="B13" s="2"/>
      <c r="C13" s="11"/>
      <c r="D13" s="130"/>
      <c r="E13" s="200"/>
      <c r="F13" s="200"/>
      <c r="G13" s="200"/>
      <c r="H13" s="131"/>
      <c r="I13" s="29"/>
      <c r="J13" s="130"/>
      <c r="K13" s="200"/>
      <c r="L13" s="200"/>
      <c r="M13" s="200"/>
      <c r="N13" s="200"/>
      <c r="O13" s="200"/>
      <c r="P13" s="131"/>
      <c r="Q13" s="30"/>
      <c r="R13" s="130"/>
      <c r="S13" s="200"/>
      <c r="T13" s="200"/>
      <c r="U13" s="200"/>
      <c r="V13" s="131"/>
      <c r="W13" s="2"/>
      <c r="X13" s="220" t="s">
        <v>59</v>
      </c>
      <c r="Y13" s="221"/>
      <c r="Z13" s="222">
        <f>M40</f>
        <v>0</v>
      </c>
      <c r="AA13" s="198"/>
      <c r="AB13" s="2"/>
      <c r="AC13" s="2"/>
      <c r="AD13" s="2"/>
    </row>
    <row r="14" spans="1:30" ht="15.75" customHeight="1" x14ac:dyDescent="0.25">
      <c r="A14" s="2"/>
      <c r="B14" s="2"/>
      <c r="C14" s="11"/>
      <c r="D14" s="223" t="s">
        <v>62</v>
      </c>
      <c r="E14" s="224"/>
      <c r="F14" s="224"/>
      <c r="G14" s="225"/>
      <c r="H14" s="51" t="s">
        <v>61</v>
      </c>
      <c r="I14" s="29"/>
      <c r="J14" s="266" t="s">
        <v>62</v>
      </c>
      <c r="K14" s="119"/>
      <c r="L14" s="52" t="s">
        <v>63</v>
      </c>
      <c r="M14" s="52" t="s">
        <v>64</v>
      </c>
      <c r="N14" s="52" t="s">
        <v>65</v>
      </c>
      <c r="O14" s="52" t="s">
        <v>104</v>
      </c>
      <c r="P14" s="52" t="s">
        <v>67</v>
      </c>
      <c r="Q14" s="29"/>
      <c r="R14" s="210" t="s">
        <v>68</v>
      </c>
      <c r="S14" s="119"/>
      <c r="T14" s="210" t="s">
        <v>69</v>
      </c>
      <c r="U14" s="119"/>
      <c r="V14" s="53" t="s">
        <v>70</v>
      </c>
      <c r="W14" s="29"/>
      <c r="X14" s="262" t="s">
        <v>71</v>
      </c>
      <c r="Y14" s="263"/>
      <c r="Z14" s="264">
        <f>O120</f>
        <v>0</v>
      </c>
      <c r="AA14" s="265"/>
      <c r="AB14" s="30"/>
      <c r="AC14" s="2"/>
      <c r="AD14" s="2"/>
    </row>
    <row r="15" spans="1:30" ht="15.75" customHeight="1" x14ac:dyDescent="0.25">
      <c r="A15" s="2"/>
      <c r="B15" s="2"/>
      <c r="C15" s="11"/>
      <c r="D15" s="226"/>
      <c r="E15" s="224"/>
      <c r="F15" s="224"/>
      <c r="G15" s="227"/>
      <c r="H15" s="54">
        <v>0</v>
      </c>
      <c r="I15" s="29"/>
      <c r="J15" s="117"/>
      <c r="K15" s="4"/>
      <c r="L15" s="4"/>
      <c r="M15" s="4"/>
      <c r="N15" s="4"/>
      <c r="O15" s="4"/>
      <c r="P15" s="56">
        <v>0</v>
      </c>
      <c r="Q15" s="29"/>
      <c r="R15" s="231" t="s">
        <v>22</v>
      </c>
      <c r="S15" s="232"/>
      <c r="T15" s="233">
        <f t="shared" ref="T15:T37" si="0">SUMIF($K$59:$L$119,R15,$O$59:$P$119)</f>
        <v>0</v>
      </c>
      <c r="U15" s="232"/>
      <c r="V15" s="57" t="e">
        <f t="shared" ref="V15:V37" si="1">T15*1/$T$40</f>
        <v>#DIV/0!</v>
      </c>
      <c r="W15" s="30"/>
      <c r="X15" s="211" t="s">
        <v>73</v>
      </c>
      <c r="Y15" s="212"/>
      <c r="Z15" s="213">
        <f t="shared" ref="Z15:Z16" si="2">H52</f>
        <v>0</v>
      </c>
      <c r="AA15" s="214"/>
      <c r="AB15" s="2"/>
      <c r="AC15" s="2"/>
      <c r="AD15" s="2"/>
    </row>
    <row r="16" spans="1:30" ht="15.75" customHeight="1" x14ac:dyDescent="0.25">
      <c r="A16" s="2"/>
      <c r="B16" s="2"/>
      <c r="C16" s="2"/>
      <c r="D16" s="240"/>
      <c r="E16" s="224"/>
      <c r="F16" s="224"/>
      <c r="G16" s="241"/>
      <c r="H16" s="58">
        <v>0</v>
      </c>
      <c r="I16" s="11"/>
      <c r="J16" s="66"/>
      <c r="K16" s="59"/>
      <c r="L16" s="59"/>
      <c r="M16" s="59"/>
      <c r="N16" s="59"/>
      <c r="O16" s="59"/>
      <c r="P16" s="61">
        <v>0</v>
      </c>
      <c r="Q16" s="29"/>
      <c r="R16" s="234" t="s">
        <v>23</v>
      </c>
      <c r="S16" s="142"/>
      <c r="T16" s="235">
        <f t="shared" si="0"/>
        <v>0</v>
      </c>
      <c r="U16" s="236"/>
      <c r="V16" s="62" t="e">
        <f t="shared" si="1"/>
        <v>#DIV/0!</v>
      </c>
      <c r="W16" s="30"/>
      <c r="X16" s="237" t="s">
        <v>74</v>
      </c>
      <c r="Y16" s="238"/>
      <c r="Z16" s="228">
        <f t="shared" si="2"/>
        <v>0</v>
      </c>
      <c r="AA16" s="198"/>
      <c r="AB16" s="2"/>
      <c r="AC16" s="2"/>
      <c r="AD16" s="2"/>
    </row>
    <row r="17" spans="1:30" x14ac:dyDescent="0.3">
      <c r="A17" s="2"/>
      <c r="B17" s="2"/>
      <c r="C17" s="2"/>
      <c r="D17" s="226"/>
      <c r="E17" s="224"/>
      <c r="F17" s="224"/>
      <c r="G17" s="227"/>
      <c r="H17" s="54">
        <v>0</v>
      </c>
      <c r="I17" s="11"/>
      <c r="J17" s="63"/>
      <c r="K17" s="3"/>
      <c r="L17" s="3"/>
      <c r="M17" s="3"/>
      <c r="N17" s="3"/>
      <c r="O17" s="3"/>
      <c r="P17" s="64">
        <v>0</v>
      </c>
      <c r="Q17" s="29"/>
      <c r="R17" s="231" t="s">
        <v>24</v>
      </c>
      <c r="S17" s="232"/>
      <c r="T17" s="233">
        <f t="shared" si="0"/>
        <v>0</v>
      </c>
      <c r="U17" s="232"/>
      <c r="V17" s="57" t="e">
        <f t="shared" si="1"/>
        <v>#DIV/0!</v>
      </c>
      <c r="W17" s="30"/>
      <c r="X17" s="65" t="s">
        <v>14</v>
      </c>
      <c r="Y17" s="65"/>
      <c r="Z17" s="229">
        <f>SUM(Z13:Z16)</f>
        <v>0</v>
      </c>
      <c r="AA17" s="230"/>
      <c r="AB17" s="2"/>
      <c r="AC17" s="2"/>
      <c r="AD17" s="2"/>
    </row>
    <row r="18" spans="1:30" ht="15.75" customHeight="1" x14ac:dyDescent="0.25">
      <c r="A18" s="2"/>
      <c r="B18" s="2"/>
      <c r="C18" s="2"/>
      <c r="D18" s="240"/>
      <c r="E18" s="224"/>
      <c r="F18" s="224"/>
      <c r="G18" s="241"/>
      <c r="H18" s="58">
        <v>0</v>
      </c>
      <c r="I18" s="11"/>
      <c r="J18" s="66"/>
      <c r="K18" s="59"/>
      <c r="L18" s="59"/>
      <c r="M18" s="59"/>
      <c r="N18" s="59"/>
      <c r="O18" s="59"/>
      <c r="P18" s="61">
        <v>0</v>
      </c>
      <c r="Q18" s="29"/>
      <c r="R18" s="239" t="s">
        <v>25</v>
      </c>
      <c r="S18" s="236"/>
      <c r="T18" s="235">
        <f t="shared" si="0"/>
        <v>0</v>
      </c>
      <c r="U18" s="236"/>
      <c r="V18" s="62" t="e">
        <f t="shared" si="1"/>
        <v>#DIV/0!</v>
      </c>
      <c r="W18" s="30"/>
      <c r="X18" s="2"/>
      <c r="Y18" s="2"/>
      <c r="Z18" s="2"/>
      <c r="AA18" s="2"/>
      <c r="AB18" s="2"/>
      <c r="AC18" s="2"/>
      <c r="AD18" s="2"/>
    </row>
    <row r="19" spans="1:30" ht="15.75" customHeight="1" x14ac:dyDescent="0.25">
      <c r="A19" s="2"/>
      <c r="B19" s="2"/>
      <c r="C19" s="2"/>
      <c r="D19" s="226"/>
      <c r="E19" s="224"/>
      <c r="F19" s="224"/>
      <c r="G19" s="227"/>
      <c r="H19" s="54">
        <v>0</v>
      </c>
      <c r="I19" s="11"/>
      <c r="J19" s="63"/>
      <c r="K19" s="3"/>
      <c r="L19" s="3"/>
      <c r="M19" s="3"/>
      <c r="N19" s="3"/>
      <c r="O19" s="3"/>
      <c r="P19" s="64">
        <v>0</v>
      </c>
      <c r="Q19" s="29"/>
      <c r="R19" s="231" t="s">
        <v>26</v>
      </c>
      <c r="S19" s="232"/>
      <c r="T19" s="233">
        <f t="shared" si="0"/>
        <v>0</v>
      </c>
      <c r="U19" s="232"/>
      <c r="V19" s="57" t="e">
        <f t="shared" si="1"/>
        <v>#DIV/0!</v>
      </c>
      <c r="W19" s="30"/>
      <c r="X19" s="2"/>
      <c r="Y19" s="2"/>
      <c r="Z19" s="2"/>
      <c r="AA19" s="2"/>
      <c r="AB19" s="2"/>
      <c r="AC19" s="2"/>
      <c r="AD19" s="2"/>
    </row>
    <row r="20" spans="1:30" ht="15.75" customHeight="1" x14ac:dyDescent="0.25">
      <c r="A20" s="2"/>
      <c r="B20" s="2"/>
      <c r="C20" s="2"/>
      <c r="D20" s="240"/>
      <c r="E20" s="224"/>
      <c r="F20" s="224"/>
      <c r="G20" s="241"/>
      <c r="H20" s="58">
        <v>0</v>
      </c>
      <c r="I20" s="11"/>
      <c r="J20" s="66"/>
      <c r="K20" s="59"/>
      <c r="L20" s="59"/>
      <c r="M20" s="59"/>
      <c r="N20" s="59"/>
      <c r="O20" s="59"/>
      <c r="P20" s="61">
        <v>0</v>
      </c>
      <c r="Q20" s="29"/>
      <c r="R20" s="239" t="s">
        <v>27</v>
      </c>
      <c r="S20" s="236"/>
      <c r="T20" s="235">
        <f t="shared" si="0"/>
        <v>0</v>
      </c>
      <c r="U20" s="236"/>
      <c r="V20" s="62" t="e">
        <f t="shared" si="1"/>
        <v>#DIV/0!</v>
      </c>
      <c r="W20" s="30"/>
      <c r="X20" s="2"/>
      <c r="Y20" s="2"/>
      <c r="Z20" s="2"/>
      <c r="AA20" s="2"/>
      <c r="AB20" s="2"/>
      <c r="AC20" s="2"/>
      <c r="AD20" s="2"/>
    </row>
    <row r="21" spans="1:30" ht="15.75" customHeight="1" x14ac:dyDescent="0.25">
      <c r="A21" s="2"/>
      <c r="B21" s="2"/>
      <c r="C21" s="2"/>
      <c r="D21" s="226"/>
      <c r="E21" s="224"/>
      <c r="F21" s="224"/>
      <c r="G21" s="227"/>
      <c r="H21" s="54">
        <v>0</v>
      </c>
      <c r="I21" s="11"/>
      <c r="J21" s="63"/>
      <c r="K21" s="3"/>
      <c r="L21" s="3"/>
      <c r="M21" s="3"/>
      <c r="N21" s="3"/>
      <c r="O21" s="3"/>
      <c r="P21" s="64">
        <v>0</v>
      </c>
      <c r="Q21" s="29"/>
      <c r="R21" s="231" t="s">
        <v>28</v>
      </c>
      <c r="S21" s="232"/>
      <c r="T21" s="233">
        <f t="shared" si="0"/>
        <v>0</v>
      </c>
      <c r="U21" s="232"/>
      <c r="V21" s="57" t="e">
        <f t="shared" si="1"/>
        <v>#DIV/0!</v>
      </c>
      <c r="W21" s="30"/>
      <c r="X21" s="2"/>
      <c r="Y21" s="2"/>
      <c r="Z21" s="2"/>
      <c r="AA21" s="2"/>
      <c r="AB21" s="2"/>
      <c r="AC21" s="2"/>
      <c r="AD21" s="2"/>
    </row>
    <row r="22" spans="1:30" ht="15.75" customHeight="1" x14ac:dyDescent="0.25">
      <c r="A22" s="2"/>
      <c r="B22" s="2"/>
      <c r="C22" s="2"/>
      <c r="D22" s="28"/>
      <c r="E22" s="28"/>
      <c r="F22" s="28"/>
      <c r="G22" s="28"/>
      <c r="H22" s="28"/>
      <c r="I22" s="11"/>
      <c r="J22" s="66"/>
      <c r="K22" s="59"/>
      <c r="L22" s="59"/>
      <c r="M22" s="59"/>
      <c r="N22" s="59"/>
      <c r="O22" s="59"/>
      <c r="P22" s="61">
        <v>0</v>
      </c>
      <c r="Q22" s="29"/>
      <c r="R22" s="239" t="s">
        <v>29</v>
      </c>
      <c r="S22" s="236"/>
      <c r="T22" s="235">
        <f t="shared" si="0"/>
        <v>0</v>
      </c>
      <c r="U22" s="236"/>
      <c r="V22" s="62" t="e">
        <f t="shared" si="1"/>
        <v>#DIV/0!</v>
      </c>
      <c r="W22" s="30"/>
      <c r="X22" s="2"/>
      <c r="Y22" s="2"/>
      <c r="Z22" s="2"/>
      <c r="AA22" s="2"/>
      <c r="AB22" s="2"/>
      <c r="AC22" s="2"/>
      <c r="AD22" s="2"/>
    </row>
    <row r="23" spans="1:30" ht="15.75" customHeight="1" x14ac:dyDescent="0.25">
      <c r="A23" s="2"/>
      <c r="B23" s="2"/>
      <c r="C23" s="11"/>
      <c r="D23" s="242" t="s">
        <v>15</v>
      </c>
      <c r="E23" s="209"/>
      <c r="F23" s="209"/>
      <c r="G23" s="209"/>
      <c r="H23" s="129"/>
      <c r="I23" s="29"/>
      <c r="J23" s="63"/>
      <c r="K23" s="3"/>
      <c r="L23" s="3"/>
      <c r="M23" s="3"/>
      <c r="N23" s="3"/>
      <c r="O23" s="3"/>
      <c r="P23" s="64">
        <v>0</v>
      </c>
      <c r="Q23" s="29"/>
      <c r="R23" s="231" t="s">
        <v>30</v>
      </c>
      <c r="S23" s="232"/>
      <c r="T23" s="233">
        <f t="shared" si="0"/>
        <v>0</v>
      </c>
      <c r="U23" s="232"/>
      <c r="V23" s="57" t="e">
        <f t="shared" si="1"/>
        <v>#DIV/0!</v>
      </c>
      <c r="W23" s="30"/>
      <c r="X23" s="2"/>
      <c r="Y23" s="2"/>
      <c r="Z23" s="2"/>
      <c r="AA23" s="2"/>
      <c r="AB23" s="2"/>
      <c r="AC23" s="2"/>
      <c r="AD23" s="2"/>
    </row>
    <row r="24" spans="1:30" ht="15.75" customHeight="1" x14ac:dyDescent="0.25">
      <c r="A24" s="2"/>
      <c r="B24" s="2"/>
      <c r="C24" s="11"/>
      <c r="D24" s="130"/>
      <c r="E24" s="200"/>
      <c r="F24" s="200"/>
      <c r="G24" s="200"/>
      <c r="H24" s="131"/>
      <c r="I24" s="29"/>
      <c r="J24" s="66"/>
      <c r="K24" s="59"/>
      <c r="L24" s="59"/>
      <c r="M24" s="59"/>
      <c r="N24" s="59"/>
      <c r="O24" s="59"/>
      <c r="P24" s="61">
        <v>0</v>
      </c>
      <c r="Q24" s="29"/>
      <c r="R24" s="239" t="s">
        <v>31</v>
      </c>
      <c r="S24" s="236"/>
      <c r="T24" s="235">
        <f t="shared" si="0"/>
        <v>0</v>
      </c>
      <c r="U24" s="236"/>
      <c r="V24" s="62" t="e">
        <f t="shared" si="1"/>
        <v>#DIV/0!</v>
      </c>
      <c r="W24" s="30"/>
      <c r="X24" s="67"/>
      <c r="Y24" s="67"/>
      <c r="Z24" s="67"/>
      <c r="AA24" s="67"/>
      <c r="AB24" s="2"/>
      <c r="AC24" s="2"/>
      <c r="AD24" s="2"/>
    </row>
    <row r="25" spans="1:30" ht="15.75" customHeight="1" x14ac:dyDescent="0.25">
      <c r="A25" s="2"/>
      <c r="B25" s="2"/>
      <c r="C25" s="11"/>
      <c r="D25" s="275" t="s">
        <v>62</v>
      </c>
      <c r="E25" s="224"/>
      <c r="F25" s="119"/>
      <c r="G25" s="68" t="s">
        <v>75</v>
      </c>
      <c r="H25" s="69" t="s">
        <v>76</v>
      </c>
      <c r="I25" s="29"/>
      <c r="J25" s="63"/>
      <c r="K25" s="3"/>
      <c r="L25" s="3"/>
      <c r="M25" s="3"/>
      <c r="N25" s="3"/>
      <c r="O25" s="3"/>
      <c r="P25" s="64">
        <v>0</v>
      </c>
      <c r="Q25" s="29"/>
      <c r="R25" s="231" t="s">
        <v>32</v>
      </c>
      <c r="S25" s="232"/>
      <c r="T25" s="233">
        <f t="shared" si="0"/>
        <v>0</v>
      </c>
      <c r="U25" s="232"/>
      <c r="V25" s="57" t="e">
        <f t="shared" si="1"/>
        <v>#DIV/0!</v>
      </c>
      <c r="W25" s="2"/>
      <c r="X25" s="2"/>
      <c r="Y25" s="2"/>
      <c r="Z25" s="2"/>
      <c r="AA25" s="2"/>
      <c r="AB25" s="2"/>
      <c r="AC25" s="2"/>
      <c r="AD25" s="2"/>
    </row>
    <row r="26" spans="1:30" ht="15.75" customHeight="1" x14ac:dyDescent="0.25">
      <c r="A26" s="2"/>
      <c r="B26" s="2"/>
      <c r="C26" s="11"/>
      <c r="D26" s="276"/>
      <c r="E26" s="277"/>
      <c r="F26" s="142"/>
      <c r="G26" s="70"/>
      <c r="H26" s="71"/>
      <c r="I26" s="29"/>
      <c r="J26" s="66"/>
      <c r="K26" s="59"/>
      <c r="L26" s="59"/>
      <c r="M26" s="59"/>
      <c r="N26" s="59"/>
      <c r="O26" s="59"/>
      <c r="P26" s="61">
        <v>0</v>
      </c>
      <c r="Q26" s="29"/>
      <c r="R26" s="239" t="s">
        <v>33</v>
      </c>
      <c r="S26" s="236"/>
      <c r="T26" s="235">
        <f t="shared" si="0"/>
        <v>0</v>
      </c>
      <c r="U26" s="236"/>
      <c r="V26" s="62" t="e">
        <f t="shared" si="1"/>
        <v>#DIV/0!</v>
      </c>
      <c r="W26" s="29"/>
      <c r="X26" s="278" t="s">
        <v>77</v>
      </c>
      <c r="Y26" s="224"/>
      <c r="Z26" s="224"/>
      <c r="AA26" s="119"/>
      <c r="AB26" s="30"/>
      <c r="AC26" s="2"/>
      <c r="AD26" s="2"/>
    </row>
    <row r="27" spans="1:30" x14ac:dyDescent="0.3">
      <c r="A27" s="2"/>
      <c r="B27" s="2"/>
      <c r="C27" s="11"/>
      <c r="D27" s="279"/>
      <c r="E27" s="245"/>
      <c r="F27" s="280"/>
      <c r="G27" s="72"/>
      <c r="H27" s="73"/>
      <c r="I27" s="29"/>
      <c r="J27" s="63"/>
      <c r="K27" s="3"/>
      <c r="L27" s="3"/>
      <c r="M27" s="3"/>
      <c r="N27" s="3"/>
      <c r="O27" s="3"/>
      <c r="P27" s="64">
        <v>0</v>
      </c>
      <c r="Q27" s="29"/>
      <c r="R27" s="231" t="s">
        <v>34</v>
      </c>
      <c r="S27" s="232"/>
      <c r="T27" s="233">
        <f t="shared" si="0"/>
        <v>0</v>
      </c>
      <c r="U27" s="232"/>
      <c r="V27" s="57" t="e">
        <f t="shared" si="1"/>
        <v>#DIV/0!</v>
      </c>
      <c r="W27" s="29"/>
      <c r="X27" s="270" t="s">
        <v>78</v>
      </c>
      <c r="Y27" s="119"/>
      <c r="Z27" s="74">
        <f>SUMIF(M59:N119,"Tarjeta de débito",O59:P119)+SUMIF(N15:N39,"Tarjeta de débito",M15:M39)</f>
        <v>0</v>
      </c>
      <c r="AA27" s="75" t="e">
        <f t="shared" ref="AA27:AA30" si="3">Z27*1/$U$8</f>
        <v>#DIV/0!</v>
      </c>
      <c r="AB27" s="30"/>
      <c r="AC27" s="2"/>
      <c r="AD27" s="2"/>
    </row>
    <row r="28" spans="1:30" x14ac:dyDescent="0.3">
      <c r="A28" s="2"/>
      <c r="B28" s="2"/>
      <c r="C28" s="11"/>
      <c r="D28" s="286"/>
      <c r="E28" s="245"/>
      <c r="F28" s="236"/>
      <c r="G28" s="76"/>
      <c r="H28" s="77"/>
      <c r="I28" s="29"/>
      <c r="J28" s="66"/>
      <c r="K28" s="59"/>
      <c r="L28" s="59"/>
      <c r="M28" s="59"/>
      <c r="N28" s="59"/>
      <c r="O28" s="59"/>
      <c r="P28" s="61">
        <v>0</v>
      </c>
      <c r="Q28" s="29"/>
      <c r="R28" s="78" t="s">
        <v>35</v>
      </c>
      <c r="S28" s="79"/>
      <c r="T28" s="235">
        <f t="shared" si="0"/>
        <v>0</v>
      </c>
      <c r="U28" s="236"/>
      <c r="V28" s="62" t="e">
        <f t="shared" si="1"/>
        <v>#DIV/0!</v>
      </c>
      <c r="W28" s="29"/>
      <c r="X28" s="281" t="s">
        <v>31</v>
      </c>
      <c r="Y28" s="119"/>
      <c r="Z28" s="80">
        <f>SUMIF(M59:N119,"Tarjeta de crédito",O59:P119)+SUMIF(N15:N39,"Tarjeta de crédito",M15:M39)</f>
        <v>0</v>
      </c>
      <c r="AA28" s="75" t="e">
        <f t="shared" si="3"/>
        <v>#DIV/0!</v>
      </c>
      <c r="AB28" s="30"/>
      <c r="AC28" s="2"/>
      <c r="AD28" s="2"/>
    </row>
    <row r="29" spans="1:30" x14ac:dyDescent="0.3">
      <c r="A29" s="2"/>
      <c r="B29" s="2"/>
      <c r="C29" s="11"/>
      <c r="D29" s="279"/>
      <c r="E29" s="245"/>
      <c r="F29" s="280"/>
      <c r="G29" s="72"/>
      <c r="H29" s="73"/>
      <c r="I29" s="29"/>
      <c r="J29" s="63"/>
      <c r="K29" s="3"/>
      <c r="L29" s="3"/>
      <c r="M29" s="3"/>
      <c r="N29" s="3"/>
      <c r="O29" s="3"/>
      <c r="P29" s="64">
        <v>0</v>
      </c>
      <c r="Q29" s="29"/>
      <c r="R29" s="231" t="s">
        <v>79</v>
      </c>
      <c r="S29" s="232"/>
      <c r="T29" s="233">
        <f t="shared" si="0"/>
        <v>0</v>
      </c>
      <c r="U29" s="232"/>
      <c r="V29" s="57" t="e">
        <f t="shared" si="1"/>
        <v>#DIV/0!</v>
      </c>
      <c r="W29" s="29"/>
      <c r="X29" s="282" t="s">
        <v>80</v>
      </c>
      <c r="Y29" s="119"/>
      <c r="Z29" s="80">
        <f>SUMIF(M59:N119,"Efectivo",O59:P119)+SUMIF(N15:N39,"Efectivo",M15:M39)</f>
        <v>0</v>
      </c>
      <c r="AA29" s="75" t="e">
        <f t="shared" si="3"/>
        <v>#DIV/0!</v>
      </c>
      <c r="AB29" s="30"/>
      <c r="AC29" s="2"/>
      <c r="AD29" s="2"/>
    </row>
    <row r="30" spans="1:30" x14ac:dyDescent="0.3">
      <c r="A30" s="2"/>
      <c r="B30" s="2"/>
      <c r="C30" s="11"/>
      <c r="D30" s="286"/>
      <c r="E30" s="245"/>
      <c r="F30" s="236"/>
      <c r="G30" s="76"/>
      <c r="H30" s="77"/>
      <c r="I30" s="29"/>
      <c r="J30" s="66"/>
      <c r="K30" s="59"/>
      <c r="L30" s="59"/>
      <c r="M30" s="59"/>
      <c r="N30" s="59"/>
      <c r="O30" s="59"/>
      <c r="P30" s="61">
        <v>0</v>
      </c>
      <c r="Q30" s="29"/>
      <c r="R30" s="78" t="s">
        <v>37</v>
      </c>
      <c r="S30" s="79"/>
      <c r="T30" s="235">
        <f t="shared" si="0"/>
        <v>0</v>
      </c>
      <c r="U30" s="236"/>
      <c r="V30" s="62" t="e">
        <f t="shared" si="1"/>
        <v>#DIV/0!</v>
      </c>
      <c r="W30" s="29"/>
      <c r="X30" s="283" t="s">
        <v>72</v>
      </c>
      <c r="Y30" s="119"/>
      <c r="Z30" s="74">
        <f>SUMIF(M59:N119,"Transferencia",O59:P119)+SUMIF(N15:N39,"Transferencia",M15:M39)</f>
        <v>0</v>
      </c>
      <c r="AA30" s="75" t="e">
        <f t="shared" si="3"/>
        <v>#DIV/0!</v>
      </c>
      <c r="AB30" s="30"/>
      <c r="AC30" s="2"/>
      <c r="AD30" s="2"/>
    </row>
    <row r="31" spans="1:30" ht="15.75" customHeight="1" x14ac:dyDescent="0.25">
      <c r="A31" s="2"/>
      <c r="B31" s="2"/>
      <c r="C31" s="11"/>
      <c r="D31" s="279"/>
      <c r="E31" s="245"/>
      <c r="F31" s="280"/>
      <c r="G31" s="72"/>
      <c r="H31" s="73"/>
      <c r="I31" s="29"/>
      <c r="J31" s="63"/>
      <c r="K31" s="3"/>
      <c r="L31" s="3"/>
      <c r="M31" s="3"/>
      <c r="N31" s="3"/>
      <c r="O31" s="3"/>
      <c r="P31" s="64">
        <v>0</v>
      </c>
      <c r="Q31" s="29"/>
      <c r="R31" s="231" t="s">
        <v>38</v>
      </c>
      <c r="S31" s="232"/>
      <c r="T31" s="233">
        <f t="shared" si="0"/>
        <v>0</v>
      </c>
      <c r="U31" s="232"/>
      <c r="V31" s="57" t="e">
        <f t="shared" si="1"/>
        <v>#DIV/0!</v>
      </c>
      <c r="W31" s="2"/>
      <c r="X31" s="28"/>
      <c r="Y31" s="28"/>
      <c r="Z31" s="28"/>
      <c r="AA31" s="28"/>
      <c r="AB31" s="2"/>
      <c r="AC31" s="2"/>
      <c r="AD31" s="2"/>
    </row>
    <row r="32" spans="1:30" ht="15.75" customHeight="1" x14ac:dyDescent="0.25">
      <c r="A32" s="2"/>
      <c r="B32" s="2"/>
      <c r="C32" s="11"/>
      <c r="D32" s="286"/>
      <c r="E32" s="245"/>
      <c r="F32" s="236"/>
      <c r="G32" s="76"/>
      <c r="H32" s="77"/>
      <c r="I32" s="29"/>
      <c r="J32" s="81"/>
      <c r="K32" s="82"/>
      <c r="L32" s="82"/>
      <c r="M32" s="82"/>
      <c r="N32" s="82"/>
      <c r="O32" s="82"/>
      <c r="P32" s="83">
        <v>0</v>
      </c>
      <c r="Q32" s="29"/>
      <c r="R32" s="78" t="s">
        <v>39</v>
      </c>
      <c r="S32" s="79"/>
      <c r="T32" s="235">
        <f t="shared" si="0"/>
        <v>0</v>
      </c>
      <c r="U32" s="236"/>
      <c r="V32" s="62" t="e">
        <f t="shared" si="1"/>
        <v>#DIV/0!</v>
      </c>
      <c r="W32" s="29"/>
      <c r="X32" s="284" t="s">
        <v>81</v>
      </c>
      <c r="Y32" s="209"/>
      <c r="Z32" s="209"/>
      <c r="AA32" s="129"/>
      <c r="AB32" s="30"/>
      <c r="AC32" s="2"/>
      <c r="AD32" s="2"/>
    </row>
    <row r="33" spans="1:30" ht="15.75" customHeight="1" x14ac:dyDescent="0.25">
      <c r="A33" s="2"/>
      <c r="B33" s="2"/>
      <c r="C33" s="11"/>
      <c r="D33" s="279"/>
      <c r="E33" s="245"/>
      <c r="F33" s="280"/>
      <c r="G33" s="72"/>
      <c r="H33" s="73"/>
      <c r="I33" s="29"/>
      <c r="J33" s="84"/>
      <c r="K33" s="85"/>
      <c r="L33" s="85"/>
      <c r="M33" s="85"/>
      <c r="N33" s="85"/>
      <c r="O33" s="85"/>
      <c r="P33" s="86">
        <v>0</v>
      </c>
      <c r="Q33" s="29"/>
      <c r="R33" s="231" t="s">
        <v>40</v>
      </c>
      <c r="S33" s="232"/>
      <c r="T33" s="233">
        <f t="shared" si="0"/>
        <v>0</v>
      </c>
      <c r="U33" s="232"/>
      <c r="V33" s="57" t="e">
        <f t="shared" si="1"/>
        <v>#DIV/0!</v>
      </c>
      <c r="W33" s="29"/>
      <c r="X33" s="130"/>
      <c r="Y33" s="200"/>
      <c r="Z33" s="200"/>
      <c r="AA33" s="131"/>
      <c r="AB33" s="30"/>
      <c r="AC33" s="2"/>
      <c r="AD33" s="2"/>
    </row>
    <row r="34" spans="1:30" x14ac:dyDescent="0.3">
      <c r="A34" s="2"/>
      <c r="B34" s="2"/>
      <c r="C34" s="11"/>
      <c r="D34" s="287"/>
      <c r="E34" s="245"/>
      <c r="F34" s="236"/>
      <c r="G34" s="87"/>
      <c r="H34" s="88"/>
      <c r="I34" s="29"/>
      <c r="J34" s="81"/>
      <c r="K34" s="82"/>
      <c r="L34" s="82"/>
      <c r="M34" s="82"/>
      <c r="N34" s="82"/>
      <c r="O34" s="82"/>
      <c r="P34" s="83">
        <v>0</v>
      </c>
      <c r="Q34" s="29"/>
      <c r="R34" s="78" t="s">
        <v>41</v>
      </c>
      <c r="S34" s="79"/>
      <c r="T34" s="235">
        <f t="shared" si="0"/>
        <v>0</v>
      </c>
      <c r="U34" s="236"/>
      <c r="V34" s="62" t="e">
        <f t="shared" si="1"/>
        <v>#DIV/0!</v>
      </c>
      <c r="W34" s="29"/>
      <c r="X34" s="285" t="s">
        <v>82</v>
      </c>
      <c r="Y34" s="224"/>
      <c r="Z34" s="224"/>
      <c r="AA34" s="119"/>
      <c r="AB34" s="30"/>
      <c r="AC34" s="2"/>
      <c r="AD34" s="2"/>
    </row>
    <row r="35" spans="1:30" ht="15.75" customHeight="1" x14ac:dyDescent="0.25">
      <c r="A35" s="2"/>
      <c r="B35" s="2"/>
      <c r="C35" s="11"/>
      <c r="D35" s="304"/>
      <c r="E35" s="194"/>
      <c r="F35" s="305"/>
      <c r="G35" s="89"/>
      <c r="H35" s="90"/>
      <c r="I35" s="29"/>
      <c r="J35" s="84"/>
      <c r="K35" s="85"/>
      <c r="L35" s="85"/>
      <c r="M35" s="85"/>
      <c r="N35" s="85"/>
      <c r="O35" s="85"/>
      <c r="P35" s="86">
        <v>0</v>
      </c>
      <c r="Q35" s="29"/>
      <c r="R35" s="231" t="s">
        <v>42</v>
      </c>
      <c r="S35" s="232"/>
      <c r="T35" s="233">
        <f t="shared" si="0"/>
        <v>0</v>
      </c>
      <c r="U35" s="232"/>
      <c r="V35" s="57" t="e">
        <f t="shared" si="1"/>
        <v>#DIV/0!</v>
      </c>
      <c r="W35" s="29"/>
      <c r="X35" s="294" t="s">
        <v>83</v>
      </c>
      <c r="Y35" s="295"/>
      <c r="Z35" s="296">
        <f>W8</f>
        <v>0</v>
      </c>
      <c r="AA35" s="258"/>
      <c r="AB35" s="30"/>
      <c r="AC35" s="2"/>
      <c r="AD35" s="2"/>
    </row>
    <row r="36" spans="1:30" x14ac:dyDescent="0.3">
      <c r="A36" s="2"/>
      <c r="B36" s="2"/>
      <c r="C36" s="11"/>
      <c r="D36" s="306" t="s">
        <v>84</v>
      </c>
      <c r="E36" s="129"/>
      <c r="F36" s="307" t="s">
        <v>85</v>
      </c>
      <c r="G36" s="308"/>
      <c r="H36" s="91">
        <f>SUM(G26:G35)</f>
        <v>0</v>
      </c>
      <c r="I36" s="29"/>
      <c r="J36" s="81"/>
      <c r="K36" s="82"/>
      <c r="L36" s="82"/>
      <c r="M36" s="82"/>
      <c r="N36" s="82"/>
      <c r="O36" s="82"/>
      <c r="P36" s="83">
        <v>0</v>
      </c>
      <c r="Q36" s="29"/>
      <c r="R36" s="78" t="s">
        <v>43</v>
      </c>
      <c r="S36" s="79"/>
      <c r="T36" s="235">
        <f t="shared" si="0"/>
        <v>0</v>
      </c>
      <c r="U36" s="236"/>
      <c r="V36" s="62" t="e">
        <f t="shared" si="1"/>
        <v>#DIV/0!</v>
      </c>
      <c r="W36" s="29"/>
      <c r="X36" s="285" t="s">
        <v>86</v>
      </c>
      <c r="Y36" s="224"/>
      <c r="Z36" s="224"/>
      <c r="AA36" s="119"/>
      <c r="AB36" s="30"/>
      <c r="AC36" s="2"/>
      <c r="AD36" s="2"/>
    </row>
    <row r="37" spans="1:30" ht="13" x14ac:dyDescent="0.3">
      <c r="A37" s="2"/>
      <c r="B37" s="2"/>
      <c r="C37" s="11"/>
      <c r="D37" s="130"/>
      <c r="E37" s="131"/>
      <c r="F37" s="309" t="s">
        <v>87</v>
      </c>
      <c r="G37" s="310"/>
      <c r="H37" s="92">
        <f>SUM(H26:H35)</f>
        <v>0</v>
      </c>
      <c r="I37" s="29"/>
      <c r="J37" s="84"/>
      <c r="K37" s="85"/>
      <c r="L37" s="85"/>
      <c r="M37" s="85"/>
      <c r="N37" s="85"/>
      <c r="O37" s="85"/>
      <c r="P37" s="86">
        <v>0</v>
      </c>
      <c r="Q37" s="29"/>
      <c r="R37" s="231" t="s">
        <v>88</v>
      </c>
      <c r="S37" s="232"/>
      <c r="T37" s="233">
        <f t="shared" si="0"/>
        <v>0</v>
      </c>
      <c r="U37" s="232"/>
      <c r="V37" s="57" t="e">
        <f t="shared" si="1"/>
        <v>#DIV/0!</v>
      </c>
      <c r="W37" s="29"/>
      <c r="X37" s="297" t="s">
        <v>89</v>
      </c>
      <c r="Y37" s="298"/>
      <c r="Z37" s="299"/>
      <c r="AA37" s="300"/>
      <c r="AB37" s="30"/>
      <c r="AC37" s="2"/>
      <c r="AD37" s="2"/>
    </row>
    <row r="38" spans="1:30" ht="12.5" x14ac:dyDescent="0.25">
      <c r="A38" s="2"/>
      <c r="B38" s="2"/>
      <c r="C38" s="2"/>
      <c r="D38" s="36"/>
      <c r="E38" s="36"/>
      <c r="F38" s="36"/>
      <c r="G38" s="36"/>
      <c r="H38" s="36"/>
      <c r="I38" s="11"/>
      <c r="J38" s="81"/>
      <c r="K38" s="82"/>
      <c r="L38" s="82"/>
      <c r="M38" s="82"/>
      <c r="N38" s="82"/>
      <c r="O38" s="82"/>
      <c r="P38" s="83">
        <v>0</v>
      </c>
      <c r="Q38" s="29"/>
      <c r="R38" s="93"/>
      <c r="S38" s="2"/>
      <c r="T38" s="2"/>
      <c r="U38" s="2"/>
      <c r="V38" s="94"/>
      <c r="W38" s="29"/>
      <c r="X38" s="301" t="s">
        <v>80</v>
      </c>
      <c r="Y38" s="302"/>
      <c r="Z38" s="288"/>
      <c r="AA38" s="289"/>
      <c r="AB38" s="30"/>
      <c r="AC38" s="2"/>
      <c r="AD38" s="2"/>
    </row>
    <row r="39" spans="1:30" ht="13" x14ac:dyDescent="0.25">
      <c r="A39" s="2"/>
      <c r="B39" s="2"/>
      <c r="C39" s="11"/>
      <c r="D39" s="311" t="s">
        <v>90</v>
      </c>
      <c r="E39" s="209"/>
      <c r="F39" s="209"/>
      <c r="G39" s="312"/>
      <c r="H39" s="129"/>
      <c r="I39" s="29"/>
      <c r="J39" s="84"/>
      <c r="K39" s="85"/>
      <c r="L39" s="85"/>
      <c r="M39" s="85"/>
      <c r="N39" s="85"/>
      <c r="O39" s="85"/>
      <c r="P39" s="86">
        <v>0</v>
      </c>
      <c r="Q39" s="29"/>
      <c r="R39" s="271"/>
      <c r="S39" s="232"/>
      <c r="T39" s="274"/>
      <c r="U39" s="232"/>
      <c r="V39" s="95"/>
      <c r="W39" s="29"/>
      <c r="X39" s="303" t="s">
        <v>91</v>
      </c>
      <c r="Y39" s="129"/>
      <c r="Z39" s="290">
        <f>(Z38+Z37)-Z35</f>
        <v>0</v>
      </c>
      <c r="AA39" s="119"/>
      <c r="AB39" s="30"/>
      <c r="AC39" s="2"/>
      <c r="AD39" s="2"/>
    </row>
    <row r="40" spans="1:30" ht="13" x14ac:dyDescent="0.3">
      <c r="A40" s="2"/>
      <c r="B40" s="2"/>
      <c r="C40" s="11"/>
      <c r="D40" s="130"/>
      <c r="E40" s="200"/>
      <c r="F40" s="200"/>
      <c r="G40" s="130"/>
      <c r="H40" s="131"/>
      <c r="I40" s="29"/>
      <c r="J40" s="96" t="s">
        <v>14</v>
      </c>
      <c r="K40" s="97"/>
      <c r="L40" s="97">
        <f t="shared" ref="L40:M40" si="4">SUM(L15:L39)</f>
        <v>0</v>
      </c>
      <c r="M40" s="97">
        <f t="shared" si="4"/>
        <v>0</v>
      </c>
      <c r="N40" s="97"/>
      <c r="O40" s="97"/>
      <c r="P40" s="98"/>
      <c r="Q40" s="29"/>
      <c r="R40" s="272" t="s">
        <v>14</v>
      </c>
      <c r="S40" s="273"/>
      <c r="T40" s="291">
        <f>SUM(T15:U39)</f>
        <v>0</v>
      </c>
      <c r="U40" s="224"/>
      <c r="V40" s="119"/>
      <c r="W40" s="29"/>
      <c r="X40" s="130"/>
      <c r="Y40" s="131"/>
      <c r="Z40" s="290" t="str">
        <f>IF(Z39&lt;0,"Te falta dinero o anotar algo", "Te sobra dinero o anotar algo")</f>
        <v>Te sobra dinero o anotar algo</v>
      </c>
      <c r="AA40" s="119"/>
      <c r="AB40" s="30"/>
      <c r="AC40" s="2"/>
      <c r="AD40" s="2"/>
    </row>
    <row r="41" spans="1:30" ht="12.5" x14ac:dyDescent="0.25">
      <c r="A41" s="2"/>
      <c r="B41" s="2"/>
      <c r="C41" s="2"/>
      <c r="D41" s="35"/>
      <c r="E41" s="35"/>
      <c r="F41" s="35"/>
      <c r="G41" s="35"/>
      <c r="H41" s="35"/>
      <c r="I41" s="2"/>
      <c r="J41" s="99"/>
      <c r="K41" s="99"/>
      <c r="L41" s="99"/>
      <c r="M41" s="99"/>
      <c r="N41" s="99"/>
      <c r="O41" s="99"/>
      <c r="P41" s="99"/>
      <c r="Q41" s="28"/>
      <c r="R41" s="36"/>
      <c r="S41" s="36"/>
      <c r="T41" s="36"/>
      <c r="U41" s="36"/>
      <c r="V41" s="36"/>
      <c r="W41" s="2"/>
      <c r="X41" s="35"/>
      <c r="Y41" s="35"/>
      <c r="Z41" s="35"/>
      <c r="AA41" s="35"/>
      <c r="AB41" s="2"/>
      <c r="AC41" s="2"/>
      <c r="AD41" s="2"/>
    </row>
    <row r="42" spans="1:30" ht="13" x14ac:dyDescent="0.3">
      <c r="A42" s="2"/>
      <c r="B42" s="2"/>
      <c r="C42" s="2"/>
      <c r="D42" s="313" t="s">
        <v>92</v>
      </c>
      <c r="E42" s="209"/>
      <c r="F42" s="209"/>
      <c r="G42" s="209"/>
      <c r="H42" s="129"/>
      <c r="I42" s="11"/>
      <c r="J42" s="292" t="s">
        <v>93</v>
      </c>
      <c r="K42" s="224"/>
      <c r="L42" s="224"/>
      <c r="M42" s="224"/>
      <c r="N42" s="224"/>
      <c r="O42" s="224"/>
      <c r="P42" s="224"/>
      <c r="Q42" s="224"/>
      <c r="R42" s="224"/>
      <c r="S42" s="100">
        <f>M40+O120</f>
        <v>0</v>
      </c>
      <c r="T42" s="293"/>
      <c r="U42" s="224"/>
      <c r="V42" s="119"/>
      <c r="W42" s="30"/>
      <c r="X42" s="2"/>
      <c r="Y42" s="2"/>
      <c r="Z42" s="2"/>
      <c r="AA42" s="2"/>
      <c r="AB42" s="2"/>
      <c r="AC42" s="2"/>
      <c r="AD42" s="2"/>
    </row>
    <row r="43" spans="1:30" ht="12.5" x14ac:dyDescent="0.25">
      <c r="A43" s="2"/>
      <c r="B43" s="2"/>
      <c r="C43" s="2"/>
      <c r="D43" s="130"/>
      <c r="E43" s="200"/>
      <c r="F43" s="200"/>
      <c r="G43" s="200"/>
      <c r="H43" s="131"/>
      <c r="I43" s="2"/>
      <c r="J43" s="4"/>
      <c r="K43" s="4"/>
      <c r="L43" s="4"/>
      <c r="M43" s="4"/>
      <c r="N43" s="4"/>
      <c r="O43" s="4"/>
      <c r="P43" s="4"/>
      <c r="Q43" s="35"/>
      <c r="R43" s="35"/>
      <c r="S43" s="35"/>
      <c r="T43" s="35"/>
      <c r="U43" s="35"/>
      <c r="V43" s="35"/>
      <c r="W43" s="2"/>
      <c r="X43" s="2"/>
      <c r="Y43" s="2"/>
      <c r="Z43" s="2"/>
      <c r="AA43" s="2"/>
      <c r="AB43" s="2"/>
      <c r="AC43" s="2"/>
      <c r="AD43" s="2"/>
    </row>
    <row r="44" spans="1:30" ht="13" x14ac:dyDescent="0.25">
      <c r="A44" s="2"/>
      <c r="B44" s="2"/>
      <c r="C44" s="2"/>
      <c r="D44" s="324" t="s">
        <v>62</v>
      </c>
      <c r="E44" s="224"/>
      <c r="F44" s="325"/>
      <c r="G44" s="101" t="s">
        <v>94</v>
      </c>
      <c r="H44" s="102" t="s">
        <v>95</v>
      </c>
      <c r="I44" s="2"/>
      <c r="J44" s="3"/>
      <c r="K44" s="3"/>
      <c r="L44" s="3"/>
      <c r="M44" s="3"/>
      <c r="N44" s="3"/>
      <c r="O44" s="3"/>
      <c r="P44" s="3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2.5" x14ac:dyDescent="0.25">
      <c r="A45" s="2"/>
      <c r="B45" s="2"/>
      <c r="C45" s="11"/>
      <c r="D45" s="326"/>
      <c r="E45" s="327"/>
      <c r="F45" s="230"/>
      <c r="G45" s="103"/>
      <c r="H45" s="104"/>
      <c r="I45" s="30"/>
      <c r="J45" s="3"/>
      <c r="K45" s="3"/>
      <c r="L45" s="3"/>
      <c r="M45" s="3"/>
      <c r="N45" s="3"/>
      <c r="O45" s="3"/>
      <c r="P45" s="3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2.5" x14ac:dyDescent="0.25">
      <c r="A46" s="2"/>
      <c r="B46" s="2"/>
      <c r="C46" s="11"/>
      <c r="D46" s="328"/>
      <c r="E46" s="245"/>
      <c r="F46" s="329"/>
      <c r="G46" s="105"/>
      <c r="H46" s="106"/>
      <c r="I46" s="30"/>
      <c r="J46" s="3"/>
      <c r="K46" s="3"/>
      <c r="L46" s="3"/>
      <c r="M46" s="3"/>
      <c r="N46" s="3"/>
      <c r="O46" s="3"/>
      <c r="P46" s="3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2.5" x14ac:dyDescent="0.25">
      <c r="A47" s="2"/>
      <c r="B47" s="2"/>
      <c r="C47" s="11"/>
      <c r="D47" s="330"/>
      <c r="E47" s="245"/>
      <c r="F47" s="236"/>
      <c r="G47" s="2"/>
      <c r="H47" s="94"/>
      <c r="I47" s="30"/>
      <c r="J47" s="3"/>
      <c r="K47" s="3"/>
      <c r="L47" s="3"/>
      <c r="M47" s="3"/>
      <c r="N47" s="3"/>
      <c r="O47" s="3"/>
      <c r="P47" s="3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2.5" x14ac:dyDescent="0.25">
      <c r="A48" s="2"/>
      <c r="B48" s="2"/>
      <c r="C48" s="11"/>
      <c r="D48" s="328"/>
      <c r="E48" s="245"/>
      <c r="F48" s="329"/>
      <c r="G48" s="105"/>
      <c r="H48" s="106"/>
      <c r="I48" s="30"/>
      <c r="J48" s="3"/>
      <c r="K48" s="3"/>
      <c r="L48" s="3"/>
      <c r="M48" s="3"/>
      <c r="N48" s="3"/>
      <c r="O48" s="3"/>
      <c r="P48" s="3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2.5" x14ac:dyDescent="0.25">
      <c r="A49" s="2"/>
      <c r="B49" s="2"/>
      <c r="C49" s="11"/>
      <c r="D49" s="330"/>
      <c r="E49" s="245"/>
      <c r="F49" s="236"/>
      <c r="G49" s="2"/>
      <c r="H49" s="94"/>
      <c r="I49" s="30"/>
      <c r="J49" s="3"/>
      <c r="K49" s="3"/>
      <c r="L49" s="3"/>
      <c r="M49" s="3"/>
      <c r="N49" s="3"/>
      <c r="O49" s="3"/>
      <c r="P49" s="3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2.5" x14ac:dyDescent="0.25">
      <c r="A50" s="2"/>
      <c r="B50" s="2"/>
      <c r="C50" s="11"/>
      <c r="D50" s="328"/>
      <c r="E50" s="245"/>
      <c r="F50" s="329"/>
      <c r="G50" s="105"/>
      <c r="H50" s="106"/>
      <c r="I50" s="30"/>
      <c r="J50" s="3"/>
      <c r="K50" s="3"/>
      <c r="L50" s="3"/>
      <c r="M50" s="3"/>
      <c r="N50" s="3"/>
      <c r="O50" s="3"/>
      <c r="P50" s="3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2.5" x14ac:dyDescent="0.25">
      <c r="A51" s="2"/>
      <c r="B51" s="2"/>
      <c r="C51" s="11"/>
      <c r="D51" s="331"/>
      <c r="E51" s="218"/>
      <c r="F51" s="219"/>
      <c r="G51" s="47"/>
      <c r="H51" s="107"/>
      <c r="I51" s="30"/>
      <c r="J51" s="3"/>
      <c r="K51" s="3"/>
      <c r="L51" s="3"/>
      <c r="M51" s="3"/>
      <c r="N51" s="3"/>
      <c r="O51" s="3"/>
      <c r="P51" s="3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3" x14ac:dyDescent="0.3">
      <c r="A52" s="2"/>
      <c r="B52" s="2"/>
      <c r="C52" s="11"/>
      <c r="D52" s="332" t="s">
        <v>96</v>
      </c>
      <c r="E52" s="224"/>
      <c r="F52" s="224"/>
      <c r="G52" s="325"/>
      <c r="H52" s="108">
        <f>SUMIF(G45:G51, "Ahorro", H45:H51)</f>
        <v>0</v>
      </c>
      <c r="I52" s="30"/>
      <c r="J52" s="3"/>
      <c r="K52" s="3"/>
      <c r="L52" s="3"/>
      <c r="M52" s="3"/>
      <c r="N52" s="3"/>
      <c r="O52" s="3"/>
      <c r="P52" s="3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3" x14ac:dyDescent="0.3">
      <c r="A53" s="2"/>
      <c r="B53" s="2"/>
      <c r="C53" s="11"/>
      <c r="D53" s="332" t="s">
        <v>97</v>
      </c>
      <c r="E53" s="224"/>
      <c r="F53" s="224"/>
      <c r="G53" s="325"/>
      <c r="H53" s="108">
        <f>SUMIF(G45:G51, "Inversión", H45:H51)</f>
        <v>0</v>
      </c>
      <c r="I53" s="30"/>
      <c r="J53" s="3"/>
      <c r="K53" s="3"/>
      <c r="L53" s="3"/>
      <c r="M53" s="3"/>
      <c r="N53" s="3"/>
      <c r="O53" s="3"/>
      <c r="P53" s="3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2.5" x14ac:dyDescent="0.25">
      <c r="A54" s="2"/>
      <c r="B54" s="2"/>
      <c r="C54" s="2"/>
      <c r="D54" s="35"/>
      <c r="E54" s="35"/>
      <c r="F54" s="35"/>
      <c r="G54" s="35"/>
      <c r="H54" s="35"/>
      <c r="I54" s="2"/>
      <c r="J54" s="3"/>
      <c r="K54" s="3"/>
      <c r="L54" s="3"/>
      <c r="M54" s="3"/>
      <c r="N54" s="3"/>
      <c r="O54" s="3"/>
      <c r="P54" s="3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2.5" x14ac:dyDescent="0.25">
      <c r="A55" s="2"/>
      <c r="B55" s="2"/>
      <c r="C55" s="2"/>
      <c r="D55" s="28"/>
      <c r="E55" s="28"/>
      <c r="F55" s="28"/>
      <c r="G55" s="28"/>
      <c r="H55" s="28"/>
      <c r="I55" s="28"/>
      <c r="J55" s="5"/>
      <c r="K55" s="5"/>
      <c r="L55" s="5"/>
      <c r="M55" s="5"/>
      <c r="N55" s="5"/>
      <c r="O55" s="5"/>
      <c r="P55" s="5"/>
      <c r="Q55" s="28"/>
      <c r="R55" s="28"/>
      <c r="S55" s="28"/>
      <c r="T55" s="28"/>
      <c r="U55" s="28"/>
      <c r="V55" s="28"/>
      <c r="W55" s="2"/>
      <c r="X55" s="2"/>
      <c r="Y55" s="2"/>
      <c r="Z55" s="2"/>
      <c r="AA55" s="2"/>
      <c r="AB55" s="2"/>
      <c r="AC55" s="2"/>
      <c r="AD55" s="2"/>
    </row>
    <row r="56" spans="1:30" ht="12.5" x14ac:dyDescent="0.25">
      <c r="A56" s="2"/>
      <c r="B56" s="2"/>
      <c r="C56" s="11"/>
      <c r="D56" s="208" t="s">
        <v>98</v>
      </c>
      <c r="E56" s="209"/>
      <c r="F56" s="209"/>
      <c r="G56" s="209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9"/>
      <c r="S56" s="209"/>
      <c r="T56" s="209"/>
      <c r="U56" s="209"/>
      <c r="V56" s="129"/>
      <c r="W56" s="30"/>
      <c r="X56" s="2"/>
      <c r="Y56" s="2"/>
      <c r="Z56" s="2"/>
      <c r="AA56" s="2"/>
      <c r="AB56" s="2"/>
      <c r="AC56" s="2"/>
      <c r="AD56" s="2"/>
    </row>
    <row r="57" spans="1:30" ht="12.5" x14ac:dyDescent="0.25">
      <c r="A57" s="2"/>
      <c r="B57" s="2"/>
      <c r="C57" s="11"/>
      <c r="D57" s="333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277"/>
      <c r="P57" s="277"/>
      <c r="Q57" s="277"/>
      <c r="R57" s="277"/>
      <c r="S57" s="277"/>
      <c r="T57" s="277"/>
      <c r="U57" s="277"/>
      <c r="V57" s="334"/>
      <c r="W57" s="30"/>
      <c r="X57" s="2"/>
      <c r="Y57" s="2"/>
      <c r="Z57" s="2"/>
      <c r="AA57" s="2"/>
      <c r="AB57" s="2"/>
      <c r="AC57" s="2"/>
      <c r="AD57" s="2"/>
    </row>
    <row r="58" spans="1:30" ht="13" x14ac:dyDescent="0.3">
      <c r="A58" s="2"/>
      <c r="B58" s="2"/>
      <c r="C58" s="11"/>
      <c r="D58" s="335" t="s">
        <v>62</v>
      </c>
      <c r="E58" s="224"/>
      <c r="F58" s="224"/>
      <c r="G58" s="224"/>
      <c r="H58" s="224"/>
      <c r="I58" s="119"/>
      <c r="J58" s="109" t="s">
        <v>99</v>
      </c>
      <c r="K58" s="319" t="s">
        <v>68</v>
      </c>
      <c r="L58" s="119"/>
      <c r="M58" s="319" t="s">
        <v>100</v>
      </c>
      <c r="N58" s="119"/>
      <c r="O58" s="319" t="s">
        <v>95</v>
      </c>
      <c r="P58" s="119"/>
      <c r="Q58" s="319" t="s">
        <v>101</v>
      </c>
      <c r="R58" s="224"/>
      <c r="S58" s="224"/>
      <c r="T58" s="224"/>
      <c r="U58" s="224"/>
      <c r="V58" s="119"/>
      <c r="W58" s="30"/>
      <c r="X58" s="2"/>
      <c r="Y58" s="2"/>
      <c r="Z58" s="2"/>
      <c r="AA58" s="2"/>
      <c r="AB58" s="2"/>
      <c r="AC58" s="2"/>
      <c r="AD58" s="2"/>
    </row>
    <row r="59" spans="1:30" ht="12.5" x14ac:dyDescent="0.25">
      <c r="A59" s="2"/>
      <c r="B59" s="2"/>
      <c r="C59" s="11"/>
      <c r="D59" s="336"/>
      <c r="E59" s="277"/>
      <c r="F59" s="277"/>
      <c r="G59" s="277"/>
      <c r="H59" s="277"/>
      <c r="I59" s="142"/>
      <c r="J59" s="4"/>
      <c r="K59" s="314"/>
      <c r="L59" s="142"/>
      <c r="M59" s="314"/>
      <c r="N59" s="142"/>
      <c r="O59" s="315"/>
      <c r="P59" s="142"/>
      <c r="Q59" s="247"/>
      <c r="R59" s="277"/>
      <c r="S59" s="277"/>
      <c r="T59" s="277"/>
      <c r="U59" s="277"/>
      <c r="V59" s="334"/>
      <c r="W59" s="30"/>
      <c r="X59" s="2"/>
      <c r="Y59" s="2"/>
      <c r="Z59" s="2"/>
      <c r="AA59" s="2"/>
      <c r="AB59" s="2"/>
      <c r="AC59" s="2"/>
      <c r="AD59" s="2"/>
    </row>
    <row r="60" spans="1:30" ht="12.5" x14ac:dyDescent="0.25">
      <c r="A60" s="2"/>
      <c r="B60" s="2"/>
      <c r="C60" s="11"/>
      <c r="D60" s="337"/>
      <c r="E60" s="277"/>
      <c r="F60" s="277"/>
      <c r="G60" s="277"/>
      <c r="H60" s="277"/>
      <c r="I60" s="338"/>
      <c r="J60" s="111"/>
      <c r="K60" s="316"/>
      <c r="L60" s="232"/>
      <c r="M60" s="316"/>
      <c r="N60" s="232"/>
      <c r="O60" s="317"/>
      <c r="P60" s="232"/>
      <c r="Q60" s="274"/>
      <c r="R60" s="245"/>
      <c r="S60" s="245"/>
      <c r="T60" s="245"/>
      <c r="U60" s="245"/>
      <c r="V60" s="246"/>
      <c r="W60" s="30"/>
      <c r="X60" s="2"/>
      <c r="Y60" s="2"/>
      <c r="Z60" s="2"/>
      <c r="AA60" s="2"/>
      <c r="AB60" s="2"/>
      <c r="AC60" s="2"/>
      <c r="AD60" s="2"/>
    </row>
    <row r="61" spans="1:30" ht="12.5" x14ac:dyDescent="0.25">
      <c r="A61" s="2"/>
      <c r="B61" s="2"/>
      <c r="C61" s="11"/>
      <c r="D61" s="336"/>
      <c r="E61" s="277"/>
      <c r="F61" s="277"/>
      <c r="G61" s="277"/>
      <c r="H61" s="277"/>
      <c r="I61" s="142"/>
      <c r="J61" s="3"/>
      <c r="K61" s="314"/>
      <c r="L61" s="142"/>
      <c r="M61" s="314"/>
      <c r="N61" s="142"/>
      <c r="O61" s="320"/>
      <c r="P61" s="236"/>
      <c r="Q61" s="318"/>
      <c r="R61" s="245"/>
      <c r="S61" s="245"/>
      <c r="T61" s="245"/>
      <c r="U61" s="245"/>
      <c r="V61" s="246"/>
      <c r="W61" s="30"/>
      <c r="X61" s="2"/>
      <c r="Y61" s="2"/>
      <c r="Z61" s="2"/>
      <c r="AA61" s="2"/>
      <c r="AB61" s="2"/>
      <c r="AC61" s="2"/>
      <c r="AD61" s="2"/>
    </row>
    <row r="62" spans="1:30" ht="12.5" x14ac:dyDescent="0.25">
      <c r="A62" s="2"/>
      <c r="B62" s="2"/>
      <c r="C62" s="11"/>
      <c r="D62" s="337"/>
      <c r="E62" s="277"/>
      <c r="F62" s="277"/>
      <c r="G62" s="277"/>
      <c r="H62" s="277"/>
      <c r="I62" s="338"/>
      <c r="J62" s="111"/>
      <c r="K62" s="316"/>
      <c r="L62" s="232"/>
      <c r="M62" s="316"/>
      <c r="N62" s="232"/>
      <c r="O62" s="317"/>
      <c r="P62" s="232"/>
      <c r="Q62" s="274"/>
      <c r="R62" s="245"/>
      <c r="S62" s="245"/>
      <c r="T62" s="245"/>
      <c r="U62" s="245"/>
      <c r="V62" s="246"/>
      <c r="W62" s="30"/>
      <c r="X62" s="2"/>
      <c r="Y62" s="2"/>
      <c r="Z62" s="2"/>
      <c r="AA62" s="2"/>
      <c r="AB62" s="2"/>
      <c r="AC62" s="2"/>
      <c r="AD62" s="2"/>
    </row>
    <row r="63" spans="1:30" ht="12.5" x14ac:dyDescent="0.25">
      <c r="A63" s="2"/>
      <c r="B63" s="2"/>
      <c r="C63" s="11"/>
      <c r="D63" s="336"/>
      <c r="E63" s="277"/>
      <c r="F63" s="277"/>
      <c r="G63" s="277"/>
      <c r="H63" s="277"/>
      <c r="I63" s="142"/>
      <c r="J63" s="3"/>
      <c r="K63" s="314"/>
      <c r="L63" s="142"/>
      <c r="M63" s="314"/>
      <c r="N63" s="142"/>
      <c r="O63" s="320"/>
      <c r="P63" s="236"/>
      <c r="Q63" s="318"/>
      <c r="R63" s="245"/>
      <c r="S63" s="245"/>
      <c r="T63" s="245"/>
      <c r="U63" s="245"/>
      <c r="V63" s="246"/>
      <c r="W63" s="30"/>
      <c r="X63" s="2"/>
      <c r="Y63" s="2"/>
      <c r="Z63" s="2"/>
      <c r="AA63" s="2"/>
      <c r="AB63" s="2"/>
      <c r="AC63" s="2"/>
      <c r="AD63" s="2"/>
    </row>
    <row r="64" spans="1:30" ht="14" x14ac:dyDescent="0.3">
      <c r="A64" s="2"/>
      <c r="B64" s="2"/>
      <c r="C64" s="11"/>
      <c r="D64" s="337"/>
      <c r="E64" s="277"/>
      <c r="F64" s="277"/>
      <c r="G64" s="277"/>
      <c r="H64" s="277"/>
      <c r="I64" s="338"/>
      <c r="J64" s="111"/>
      <c r="K64" s="316"/>
      <c r="L64" s="232"/>
      <c r="M64" s="316"/>
      <c r="N64" s="232"/>
      <c r="O64" s="321"/>
      <c r="P64" s="232"/>
      <c r="Q64" s="274"/>
      <c r="R64" s="245"/>
      <c r="S64" s="245"/>
      <c r="T64" s="245"/>
      <c r="U64" s="245"/>
      <c r="V64" s="246"/>
      <c r="W64" s="30"/>
      <c r="X64" s="2"/>
      <c r="Y64" s="2"/>
      <c r="Z64" s="2"/>
      <c r="AA64" s="2"/>
      <c r="AB64" s="2"/>
      <c r="AC64" s="2"/>
      <c r="AD64" s="2"/>
    </row>
    <row r="65" spans="1:30" ht="12.5" x14ac:dyDescent="0.25">
      <c r="A65" s="2"/>
      <c r="B65" s="2"/>
      <c r="C65" s="11"/>
      <c r="D65" s="93"/>
      <c r="E65" s="2"/>
      <c r="F65" s="2"/>
      <c r="G65" s="2"/>
      <c r="H65" s="2"/>
      <c r="I65" s="2"/>
      <c r="J65" s="3"/>
      <c r="K65" s="314"/>
      <c r="L65" s="142"/>
      <c r="M65" s="314"/>
      <c r="N65" s="142"/>
      <c r="O65" s="320"/>
      <c r="P65" s="236"/>
      <c r="Q65" s="318"/>
      <c r="R65" s="245"/>
      <c r="S65" s="245"/>
      <c r="T65" s="245"/>
      <c r="U65" s="245"/>
      <c r="V65" s="246"/>
      <c r="W65" s="30"/>
      <c r="X65" s="2"/>
      <c r="Y65" s="2"/>
      <c r="Z65" s="2"/>
      <c r="AA65" s="2"/>
      <c r="AB65" s="2"/>
      <c r="AC65" s="2"/>
      <c r="AD65" s="2"/>
    </row>
    <row r="66" spans="1:30" ht="12.5" x14ac:dyDescent="0.25">
      <c r="A66" s="2"/>
      <c r="B66" s="2"/>
      <c r="C66" s="11"/>
      <c r="D66" s="337"/>
      <c r="E66" s="277"/>
      <c r="F66" s="277"/>
      <c r="G66" s="277"/>
      <c r="H66" s="277"/>
      <c r="I66" s="338"/>
      <c r="J66" s="111"/>
      <c r="K66" s="316"/>
      <c r="L66" s="232"/>
      <c r="M66" s="316"/>
      <c r="N66" s="232"/>
      <c r="O66" s="317"/>
      <c r="P66" s="232"/>
      <c r="Q66" s="274"/>
      <c r="R66" s="245"/>
      <c r="S66" s="245"/>
      <c r="T66" s="245"/>
      <c r="U66" s="245"/>
      <c r="V66" s="246"/>
      <c r="W66" s="30"/>
      <c r="X66" s="2"/>
      <c r="Y66" s="2"/>
      <c r="Z66" s="2"/>
      <c r="AA66" s="2"/>
      <c r="AB66" s="2"/>
      <c r="AC66" s="2"/>
      <c r="AD66" s="2"/>
    </row>
    <row r="67" spans="1:30" ht="12.5" x14ac:dyDescent="0.25">
      <c r="A67" s="2"/>
      <c r="B67" s="2"/>
      <c r="C67" s="11"/>
      <c r="D67" s="93"/>
      <c r="E67" s="2"/>
      <c r="F67" s="2"/>
      <c r="G67" s="2"/>
      <c r="H67" s="2"/>
      <c r="I67" s="2"/>
      <c r="J67" s="3"/>
      <c r="K67" s="314"/>
      <c r="L67" s="142"/>
      <c r="M67" s="314"/>
      <c r="N67" s="142"/>
      <c r="O67" s="320"/>
      <c r="P67" s="236"/>
      <c r="Q67" s="318"/>
      <c r="R67" s="245"/>
      <c r="S67" s="245"/>
      <c r="T67" s="245"/>
      <c r="U67" s="245"/>
      <c r="V67" s="246"/>
      <c r="W67" s="30"/>
      <c r="X67" s="2"/>
      <c r="Y67" s="2"/>
      <c r="Z67" s="2"/>
      <c r="AA67" s="2"/>
      <c r="AB67" s="2"/>
      <c r="AC67" s="2"/>
      <c r="AD67" s="2"/>
    </row>
    <row r="68" spans="1:30" ht="12.5" x14ac:dyDescent="0.25">
      <c r="A68" s="2"/>
      <c r="B68" s="2"/>
      <c r="C68" s="11"/>
      <c r="D68" s="337"/>
      <c r="E68" s="277"/>
      <c r="F68" s="277"/>
      <c r="G68" s="277"/>
      <c r="H68" s="277"/>
      <c r="I68" s="338"/>
      <c r="J68" s="111"/>
      <c r="K68" s="316"/>
      <c r="L68" s="232"/>
      <c r="M68" s="316"/>
      <c r="N68" s="232"/>
      <c r="O68" s="317"/>
      <c r="P68" s="232"/>
      <c r="Q68" s="274"/>
      <c r="R68" s="245"/>
      <c r="S68" s="245"/>
      <c r="T68" s="245"/>
      <c r="U68" s="245"/>
      <c r="V68" s="246"/>
      <c r="W68" s="30"/>
      <c r="X68" s="2"/>
      <c r="Y68" s="2"/>
      <c r="Z68" s="2"/>
      <c r="AA68" s="2"/>
      <c r="AB68" s="2"/>
      <c r="AC68" s="2"/>
      <c r="AD68" s="2"/>
    </row>
    <row r="69" spans="1:30" ht="12.5" x14ac:dyDescent="0.25">
      <c r="A69" s="2"/>
      <c r="B69" s="2"/>
      <c r="C69" s="11"/>
      <c r="D69" s="93"/>
      <c r="E69" s="2"/>
      <c r="F69" s="2"/>
      <c r="G69" s="2"/>
      <c r="H69" s="2"/>
      <c r="I69" s="2"/>
      <c r="J69" s="3"/>
      <c r="K69" s="314"/>
      <c r="L69" s="142"/>
      <c r="M69" s="314"/>
      <c r="N69" s="142"/>
      <c r="O69" s="320"/>
      <c r="P69" s="236"/>
      <c r="Q69" s="318"/>
      <c r="R69" s="245"/>
      <c r="S69" s="245"/>
      <c r="T69" s="245"/>
      <c r="U69" s="245"/>
      <c r="V69" s="246"/>
      <c r="W69" s="30"/>
      <c r="X69" s="2"/>
      <c r="Y69" s="2"/>
      <c r="Z69" s="2"/>
      <c r="AA69" s="2"/>
      <c r="AB69" s="2"/>
      <c r="AC69" s="2"/>
      <c r="AD69" s="2"/>
    </row>
    <row r="70" spans="1:30" ht="12.5" x14ac:dyDescent="0.25">
      <c r="A70" s="2"/>
      <c r="B70" s="2"/>
      <c r="C70" s="11"/>
      <c r="D70" s="337"/>
      <c r="E70" s="277"/>
      <c r="F70" s="277"/>
      <c r="G70" s="277"/>
      <c r="H70" s="277"/>
      <c r="I70" s="338"/>
      <c r="J70" s="111"/>
      <c r="K70" s="316"/>
      <c r="L70" s="232"/>
      <c r="M70" s="316"/>
      <c r="N70" s="232"/>
      <c r="O70" s="317"/>
      <c r="P70" s="232"/>
      <c r="Q70" s="274"/>
      <c r="R70" s="245"/>
      <c r="S70" s="245"/>
      <c r="T70" s="245"/>
      <c r="U70" s="245"/>
      <c r="V70" s="246"/>
      <c r="W70" s="30"/>
      <c r="X70" s="2"/>
      <c r="Y70" s="2"/>
      <c r="Z70" s="2"/>
      <c r="AA70" s="2"/>
      <c r="AB70" s="2"/>
      <c r="AC70" s="2"/>
      <c r="AD70" s="2"/>
    </row>
    <row r="71" spans="1:30" ht="12.5" x14ac:dyDescent="0.25">
      <c r="A71" s="2"/>
      <c r="B71" s="2"/>
      <c r="C71" s="11"/>
      <c r="D71" s="93"/>
      <c r="E71" s="2"/>
      <c r="F71" s="2"/>
      <c r="G71" s="2"/>
      <c r="H71" s="2"/>
      <c r="I71" s="2"/>
      <c r="J71" s="3"/>
      <c r="K71" s="314"/>
      <c r="L71" s="142"/>
      <c r="M71" s="314"/>
      <c r="N71" s="142"/>
      <c r="O71" s="320"/>
      <c r="P71" s="236"/>
      <c r="Q71" s="318"/>
      <c r="R71" s="245"/>
      <c r="S71" s="245"/>
      <c r="T71" s="245"/>
      <c r="U71" s="245"/>
      <c r="V71" s="246"/>
      <c r="W71" s="30"/>
      <c r="X71" s="2"/>
      <c r="Y71" s="2"/>
      <c r="Z71" s="2"/>
      <c r="AA71" s="2"/>
      <c r="AB71" s="2"/>
      <c r="AC71" s="2"/>
      <c r="AD71" s="2"/>
    </row>
    <row r="72" spans="1:30" ht="12.5" x14ac:dyDescent="0.25">
      <c r="A72" s="2"/>
      <c r="B72" s="2"/>
      <c r="C72" s="11"/>
      <c r="D72" s="337"/>
      <c r="E72" s="277"/>
      <c r="F72" s="277"/>
      <c r="G72" s="277"/>
      <c r="H72" s="277"/>
      <c r="I72" s="338"/>
      <c r="J72" s="111"/>
      <c r="K72" s="316"/>
      <c r="L72" s="232"/>
      <c r="M72" s="316"/>
      <c r="N72" s="232"/>
      <c r="O72" s="317"/>
      <c r="P72" s="232"/>
      <c r="Q72" s="274"/>
      <c r="R72" s="245"/>
      <c r="S72" s="245"/>
      <c r="T72" s="245"/>
      <c r="U72" s="245"/>
      <c r="V72" s="246"/>
      <c r="W72" s="30"/>
      <c r="X72" s="2"/>
      <c r="Y72" s="2"/>
      <c r="Z72" s="2"/>
      <c r="AA72" s="2"/>
      <c r="AB72" s="2"/>
      <c r="AC72" s="2"/>
      <c r="AD72" s="2"/>
    </row>
    <row r="73" spans="1:30" ht="12.5" x14ac:dyDescent="0.25">
      <c r="A73" s="2"/>
      <c r="B73" s="2"/>
      <c r="C73" s="11"/>
      <c r="D73" s="93"/>
      <c r="E73" s="2"/>
      <c r="F73" s="2"/>
      <c r="G73" s="2"/>
      <c r="H73" s="2"/>
      <c r="I73" s="2"/>
      <c r="J73" s="3"/>
      <c r="K73" s="314"/>
      <c r="L73" s="142"/>
      <c r="M73" s="314"/>
      <c r="N73" s="142"/>
      <c r="O73" s="320"/>
      <c r="P73" s="236"/>
      <c r="Q73" s="318"/>
      <c r="R73" s="245"/>
      <c r="S73" s="245"/>
      <c r="T73" s="245"/>
      <c r="U73" s="245"/>
      <c r="V73" s="246"/>
      <c r="W73" s="30"/>
      <c r="X73" s="2"/>
      <c r="Y73" s="2"/>
      <c r="Z73" s="2"/>
      <c r="AA73" s="2"/>
      <c r="AB73" s="2"/>
      <c r="AC73" s="2"/>
      <c r="AD73" s="2"/>
    </row>
    <row r="74" spans="1:30" ht="12.5" x14ac:dyDescent="0.25">
      <c r="A74" s="2"/>
      <c r="B74" s="2"/>
      <c r="C74" s="11"/>
      <c r="D74" s="337"/>
      <c r="E74" s="277"/>
      <c r="F74" s="277"/>
      <c r="G74" s="277"/>
      <c r="H74" s="277"/>
      <c r="I74" s="338"/>
      <c r="J74" s="111"/>
      <c r="K74" s="316"/>
      <c r="L74" s="232"/>
      <c r="M74" s="316"/>
      <c r="N74" s="232"/>
      <c r="O74" s="317"/>
      <c r="P74" s="232"/>
      <c r="Q74" s="274"/>
      <c r="R74" s="245"/>
      <c r="S74" s="245"/>
      <c r="T74" s="245"/>
      <c r="U74" s="245"/>
      <c r="V74" s="246"/>
      <c r="W74" s="30"/>
      <c r="X74" s="2"/>
      <c r="Y74" s="2"/>
      <c r="Z74" s="2"/>
      <c r="AA74" s="2"/>
      <c r="AB74" s="2"/>
      <c r="AC74" s="2"/>
      <c r="AD74" s="2"/>
    </row>
    <row r="75" spans="1:30" ht="12.5" x14ac:dyDescent="0.25">
      <c r="A75" s="2"/>
      <c r="B75" s="2"/>
      <c r="C75" s="11"/>
      <c r="D75" s="93"/>
      <c r="E75" s="2"/>
      <c r="F75" s="2"/>
      <c r="G75" s="2"/>
      <c r="H75" s="2"/>
      <c r="I75" s="2"/>
      <c r="J75" s="3"/>
      <c r="K75" s="314"/>
      <c r="L75" s="142"/>
      <c r="M75" s="314"/>
      <c r="N75" s="142"/>
      <c r="O75" s="320"/>
      <c r="P75" s="236"/>
      <c r="Q75" s="318"/>
      <c r="R75" s="245"/>
      <c r="S75" s="245"/>
      <c r="T75" s="245"/>
      <c r="U75" s="245"/>
      <c r="V75" s="246"/>
      <c r="W75" s="30"/>
      <c r="X75" s="2"/>
      <c r="Y75" s="2"/>
      <c r="Z75" s="2"/>
      <c r="AA75" s="2"/>
      <c r="AB75" s="2"/>
      <c r="AC75" s="2"/>
      <c r="AD75" s="2"/>
    </row>
    <row r="76" spans="1:30" ht="12.5" x14ac:dyDescent="0.25">
      <c r="A76" s="2"/>
      <c r="B76" s="2"/>
      <c r="C76" s="11"/>
      <c r="D76" s="337"/>
      <c r="E76" s="277"/>
      <c r="F76" s="277"/>
      <c r="G76" s="277"/>
      <c r="H76" s="277"/>
      <c r="I76" s="338"/>
      <c r="J76" s="111"/>
      <c r="K76" s="316"/>
      <c r="L76" s="232"/>
      <c r="M76" s="316"/>
      <c r="N76" s="232"/>
      <c r="O76" s="317"/>
      <c r="P76" s="232"/>
      <c r="Q76" s="274"/>
      <c r="R76" s="245"/>
      <c r="S76" s="245"/>
      <c r="T76" s="245"/>
      <c r="U76" s="245"/>
      <c r="V76" s="246"/>
      <c r="W76" s="30"/>
      <c r="X76" s="2"/>
      <c r="Y76" s="2"/>
      <c r="Z76" s="2"/>
      <c r="AA76" s="2"/>
      <c r="AB76" s="2"/>
      <c r="AC76" s="2"/>
      <c r="AD76" s="2"/>
    </row>
    <row r="77" spans="1:30" ht="12.5" x14ac:dyDescent="0.25">
      <c r="A77" s="2"/>
      <c r="B77" s="2"/>
      <c r="C77" s="11"/>
      <c r="D77" s="93"/>
      <c r="E77" s="2"/>
      <c r="F77" s="2"/>
      <c r="G77" s="2"/>
      <c r="H77" s="2"/>
      <c r="I77" s="2"/>
      <c r="J77" s="3"/>
      <c r="K77" s="314"/>
      <c r="L77" s="142"/>
      <c r="M77" s="314"/>
      <c r="N77" s="142"/>
      <c r="O77" s="320"/>
      <c r="P77" s="236"/>
      <c r="Q77" s="318"/>
      <c r="R77" s="245"/>
      <c r="S77" s="245"/>
      <c r="T77" s="245"/>
      <c r="U77" s="245"/>
      <c r="V77" s="246"/>
      <c r="W77" s="30"/>
      <c r="X77" s="2"/>
      <c r="Y77" s="2"/>
      <c r="Z77" s="2"/>
      <c r="AA77" s="2"/>
      <c r="AB77" s="2"/>
      <c r="AC77" s="2"/>
      <c r="AD77" s="2"/>
    </row>
    <row r="78" spans="1:30" ht="12.5" x14ac:dyDescent="0.25">
      <c r="A78" s="2"/>
      <c r="B78" s="2"/>
      <c r="C78" s="11"/>
      <c r="D78" s="337"/>
      <c r="E78" s="277"/>
      <c r="F78" s="277"/>
      <c r="G78" s="277"/>
      <c r="H78" s="277"/>
      <c r="I78" s="338"/>
      <c r="J78" s="111"/>
      <c r="K78" s="316"/>
      <c r="L78" s="232"/>
      <c r="M78" s="316"/>
      <c r="N78" s="232"/>
      <c r="O78" s="317"/>
      <c r="P78" s="232"/>
      <c r="Q78" s="274"/>
      <c r="R78" s="245"/>
      <c r="S78" s="245"/>
      <c r="T78" s="245"/>
      <c r="U78" s="245"/>
      <c r="V78" s="246"/>
      <c r="W78" s="30"/>
      <c r="X78" s="2"/>
      <c r="Y78" s="2"/>
      <c r="Z78" s="2"/>
      <c r="AA78" s="2"/>
      <c r="AB78" s="2"/>
      <c r="AC78" s="2"/>
      <c r="AD78" s="2"/>
    </row>
    <row r="79" spans="1:30" ht="12.5" x14ac:dyDescent="0.25">
      <c r="A79" s="2"/>
      <c r="B79" s="2"/>
      <c r="C79" s="11"/>
      <c r="D79" s="93"/>
      <c r="E79" s="2"/>
      <c r="F79" s="2"/>
      <c r="G79" s="2"/>
      <c r="H79" s="2"/>
      <c r="I79" s="2"/>
      <c r="J79" s="3"/>
      <c r="K79" s="314"/>
      <c r="L79" s="142"/>
      <c r="M79" s="314"/>
      <c r="N79" s="142"/>
      <c r="O79" s="320"/>
      <c r="P79" s="236"/>
      <c r="Q79" s="318"/>
      <c r="R79" s="245"/>
      <c r="S79" s="245"/>
      <c r="T79" s="245"/>
      <c r="U79" s="245"/>
      <c r="V79" s="246"/>
      <c r="W79" s="30"/>
      <c r="X79" s="2"/>
      <c r="Y79" s="2"/>
      <c r="Z79" s="2"/>
      <c r="AA79" s="2"/>
      <c r="AB79" s="2"/>
      <c r="AC79" s="2"/>
      <c r="AD79" s="2"/>
    </row>
    <row r="80" spans="1:30" ht="12.5" x14ac:dyDescent="0.25">
      <c r="A80" s="2"/>
      <c r="B80" s="2"/>
      <c r="C80" s="11"/>
      <c r="D80" s="337"/>
      <c r="E80" s="277"/>
      <c r="F80" s="277"/>
      <c r="G80" s="277"/>
      <c r="H80" s="277"/>
      <c r="I80" s="338"/>
      <c r="J80" s="111"/>
      <c r="K80" s="316"/>
      <c r="L80" s="232"/>
      <c r="M80" s="316"/>
      <c r="N80" s="232"/>
      <c r="O80" s="317"/>
      <c r="P80" s="232"/>
      <c r="Q80" s="274"/>
      <c r="R80" s="245"/>
      <c r="S80" s="245"/>
      <c r="T80" s="245"/>
      <c r="U80" s="245"/>
      <c r="V80" s="246"/>
      <c r="W80" s="30"/>
      <c r="X80" s="2"/>
      <c r="Y80" s="2"/>
      <c r="Z80" s="2"/>
      <c r="AA80" s="2"/>
      <c r="AB80" s="2"/>
      <c r="AC80" s="2"/>
      <c r="AD80" s="2"/>
    </row>
    <row r="81" spans="1:30" ht="12.5" x14ac:dyDescent="0.25">
      <c r="A81" s="2"/>
      <c r="B81" s="2"/>
      <c r="C81" s="11"/>
      <c r="D81" s="93"/>
      <c r="E81" s="2"/>
      <c r="F81" s="2"/>
      <c r="G81" s="2"/>
      <c r="H81" s="2"/>
      <c r="I81" s="2"/>
      <c r="J81" s="3"/>
      <c r="K81" s="314"/>
      <c r="L81" s="142"/>
      <c r="M81" s="314"/>
      <c r="N81" s="142"/>
      <c r="O81" s="320"/>
      <c r="P81" s="236"/>
      <c r="Q81" s="318"/>
      <c r="R81" s="245"/>
      <c r="S81" s="245"/>
      <c r="T81" s="245"/>
      <c r="U81" s="245"/>
      <c r="V81" s="246"/>
      <c r="W81" s="30"/>
      <c r="X81" s="2"/>
      <c r="Y81" s="2"/>
      <c r="Z81" s="2"/>
      <c r="AA81" s="2"/>
      <c r="AB81" s="2"/>
      <c r="AC81" s="2"/>
      <c r="AD81" s="2"/>
    </row>
    <row r="82" spans="1:30" ht="12.5" x14ac:dyDescent="0.25">
      <c r="A82" s="2"/>
      <c r="B82" s="2"/>
      <c r="C82" s="11"/>
      <c r="D82" s="337"/>
      <c r="E82" s="277"/>
      <c r="F82" s="277"/>
      <c r="G82" s="277"/>
      <c r="H82" s="277"/>
      <c r="I82" s="338"/>
      <c r="J82" s="111"/>
      <c r="K82" s="316"/>
      <c r="L82" s="232"/>
      <c r="M82" s="316"/>
      <c r="N82" s="232"/>
      <c r="O82" s="317"/>
      <c r="P82" s="232"/>
      <c r="Q82" s="274"/>
      <c r="R82" s="245"/>
      <c r="S82" s="245"/>
      <c r="T82" s="245"/>
      <c r="U82" s="245"/>
      <c r="V82" s="246"/>
      <c r="W82" s="30"/>
      <c r="X82" s="2"/>
      <c r="Y82" s="2"/>
      <c r="Z82" s="2"/>
      <c r="AA82" s="2"/>
      <c r="AB82" s="2"/>
      <c r="AC82" s="2"/>
      <c r="AD82" s="2"/>
    </row>
    <row r="83" spans="1:30" ht="12.5" x14ac:dyDescent="0.25">
      <c r="A83" s="2"/>
      <c r="B83" s="2"/>
      <c r="C83" s="11"/>
      <c r="D83" s="93"/>
      <c r="E83" s="2"/>
      <c r="F83" s="2"/>
      <c r="G83" s="2"/>
      <c r="H83" s="2"/>
      <c r="I83" s="2"/>
      <c r="J83" s="3"/>
      <c r="K83" s="314"/>
      <c r="L83" s="142"/>
      <c r="M83" s="314"/>
      <c r="N83" s="142"/>
      <c r="O83" s="320"/>
      <c r="P83" s="236"/>
      <c r="Q83" s="318"/>
      <c r="R83" s="245"/>
      <c r="S83" s="245"/>
      <c r="T83" s="245"/>
      <c r="U83" s="245"/>
      <c r="V83" s="246"/>
      <c r="W83" s="30"/>
      <c r="X83" s="2"/>
      <c r="Y83" s="2"/>
      <c r="Z83" s="2"/>
      <c r="AA83" s="2"/>
      <c r="AB83" s="2"/>
      <c r="AC83" s="2"/>
      <c r="AD83" s="2"/>
    </row>
    <row r="84" spans="1:30" ht="12.5" x14ac:dyDescent="0.25">
      <c r="A84" s="2"/>
      <c r="B84" s="2"/>
      <c r="C84" s="11"/>
      <c r="D84" s="337"/>
      <c r="E84" s="277"/>
      <c r="F84" s="277"/>
      <c r="G84" s="277"/>
      <c r="H84" s="277"/>
      <c r="I84" s="338"/>
      <c r="J84" s="111"/>
      <c r="K84" s="316"/>
      <c r="L84" s="232"/>
      <c r="M84" s="316"/>
      <c r="N84" s="232"/>
      <c r="O84" s="317"/>
      <c r="P84" s="232"/>
      <c r="Q84" s="274"/>
      <c r="R84" s="245"/>
      <c r="S84" s="245"/>
      <c r="T84" s="245"/>
      <c r="U84" s="245"/>
      <c r="V84" s="246"/>
      <c r="W84" s="30"/>
      <c r="X84" s="2"/>
      <c r="Y84" s="2"/>
      <c r="Z84" s="2"/>
      <c r="AA84" s="2"/>
      <c r="AB84" s="2"/>
      <c r="AC84" s="2"/>
      <c r="AD84" s="2"/>
    </row>
    <row r="85" spans="1:30" ht="12.5" x14ac:dyDescent="0.25">
      <c r="A85" s="2"/>
      <c r="B85" s="2"/>
      <c r="C85" s="11"/>
      <c r="D85" s="93"/>
      <c r="E85" s="2"/>
      <c r="F85" s="2"/>
      <c r="G85" s="2"/>
      <c r="H85" s="2"/>
      <c r="I85" s="2"/>
      <c r="J85" s="3"/>
      <c r="K85" s="314"/>
      <c r="L85" s="142"/>
      <c r="M85" s="314"/>
      <c r="N85" s="142"/>
      <c r="O85" s="320"/>
      <c r="P85" s="236"/>
      <c r="Q85" s="318"/>
      <c r="R85" s="245"/>
      <c r="S85" s="245"/>
      <c r="T85" s="245"/>
      <c r="U85" s="245"/>
      <c r="V85" s="246"/>
      <c r="W85" s="30"/>
      <c r="X85" s="2"/>
      <c r="Y85" s="2"/>
      <c r="Z85" s="2"/>
      <c r="AA85" s="2"/>
      <c r="AB85" s="2"/>
      <c r="AC85" s="2"/>
      <c r="AD85" s="2"/>
    </row>
    <row r="86" spans="1:30" ht="12.5" x14ac:dyDescent="0.25">
      <c r="A86" s="2"/>
      <c r="B86" s="2"/>
      <c r="C86" s="11"/>
      <c r="D86" s="337"/>
      <c r="E86" s="277"/>
      <c r="F86" s="277"/>
      <c r="G86" s="277"/>
      <c r="H86" s="277"/>
      <c r="I86" s="338"/>
      <c r="J86" s="111"/>
      <c r="K86" s="316"/>
      <c r="L86" s="232"/>
      <c r="M86" s="316"/>
      <c r="N86" s="232"/>
      <c r="O86" s="317"/>
      <c r="P86" s="232"/>
      <c r="Q86" s="274"/>
      <c r="R86" s="245"/>
      <c r="S86" s="245"/>
      <c r="T86" s="245"/>
      <c r="U86" s="245"/>
      <c r="V86" s="246"/>
      <c r="W86" s="30"/>
      <c r="X86" s="2"/>
      <c r="Y86" s="2"/>
      <c r="Z86" s="2"/>
      <c r="AA86" s="2"/>
      <c r="AB86" s="2"/>
      <c r="AC86" s="2"/>
      <c r="AD86" s="2"/>
    </row>
    <row r="87" spans="1:30" ht="12.5" x14ac:dyDescent="0.25">
      <c r="A87" s="2"/>
      <c r="B87" s="2"/>
      <c r="C87" s="11"/>
      <c r="D87" s="93"/>
      <c r="E87" s="2"/>
      <c r="F87" s="2"/>
      <c r="G87" s="2"/>
      <c r="H87" s="2"/>
      <c r="I87" s="2"/>
      <c r="J87" s="3"/>
      <c r="K87" s="314"/>
      <c r="L87" s="142"/>
      <c r="M87" s="314"/>
      <c r="N87" s="142"/>
      <c r="O87" s="320"/>
      <c r="P87" s="236"/>
      <c r="Q87" s="318"/>
      <c r="R87" s="245"/>
      <c r="S87" s="245"/>
      <c r="T87" s="245"/>
      <c r="U87" s="245"/>
      <c r="V87" s="246"/>
      <c r="W87" s="30"/>
      <c r="X87" s="2"/>
      <c r="Y87" s="2"/>
      <c r="Z87" s="2"/>
      <c r="AA87" s="2"/>
      <c r="AB87" s="2"/>
      <c r="AC87" s="2"/>
      <c r="AD87" s="2"/>
    </row>
    <row r="88" spans="1:30" ht="12.5" x14ac:dyDescent="0.25">
      <c r="A88" s="2"/>
      <c r="B88" s="2"/>
      <c r="C88" s="11"/>
      <c r="D88" s="337"/>
      <c r="E88" s="277"/>
      <c r="F88" s="277"/>
      <c r="G88" s="277"/>
      <c r="H88" s="277"/>
      <c r="I88" s="338"/>
      <c r="J88" s="111"/>
      <c r="K88" s="316"/>
      <c r="L88" s="232"/>
      <c r="M88" s="316"/>
      <c r="N88" s="232"/>
      <c r="O88" s="317"/>
      <c r="P88" s="232"/>
      <c r="Q88" s="274"/>
      <c r="R88" s="245"/>
      <c r="S88" s="245"/>
      <c r="T88" s="245"/>
      <c r="U88" s="245"/>
      <c r="V88" s="246"/>
      <c r="W88" s="30"/>
      <c r="X88" s="2"/>
      <c r="Y88" s="2"/>
      <c r="Z88" s="2"/>
      <c r="AA88" s="2"/>
      <c r="AB88" s="2"/>
      <c r="AC88" s="2"/>
      <c r="AD88" s="2"/>
    </row>
    <row r="89" spans="1:30" ht="12.5" x14ac:dyDescent="0.25">
      <c r="A89" s="2"/>
      <c r="B89" s="2"/>
      <c r="C89" s="11"/>
      <c r="D89" s="93"/>
      <c r="E89" s="2"/>
      <c r="F89" s="2"/>
      <c r="G89" s="2"/>
      <c r="H89" s="2"/>
      <c r="I89" s="2"/>
      <c r="J89" s="3"/>
      <c r="K89" s="314"/>
      <c r="L89" s="142"/>
      <c r="M89" s="314"/>
      <c r="N89" s="142"/>
      <c r="O89" s="320"/>
      <c r="P89" s="236"/>
      <c r="Q89" s="318"/>
      <c r="R89" s="245"/>
      <c r="S89" s="245"/>
      <c r="T89" s="245"/>
      <c r="U89" s="245"/>
      <c r="V89" s="246"/>
      <c r="W89" s="30"/>
      <c r="X89" s="2"/>
      <c r="Y89" s="2"/>
      <c r="Z89" s="2"/>
      <c r="AA89" s="2"/>
      <c r="AB89" s="2"/>
      <c r="AC89" s="2"/>
      <c r="AD89" s="2"/>
    </row>
    <row r="90" spans="1:30" ht="12.5" x14ac:dyDescent="0.25">
      <c r="A90" s="2"/>
      <c r="B90" s="2"/>
      <c r="C90" s="11"/>
      <c r="D90" s="337"/>
      <c r="E90" s="277"/>
      <c r="F90" s="277"/>
      <c r="G90" s="277"/>
      <c r="H90" s="277"/>
      <c r="I90" s="338"/>
      <c r="J90" s="111"/>
      <c r="K90" s="316"/>
      <c r="L90" s="232"/>
      <c r="M90" s="316"/>
      <c r="N90" s="232"/>
      <c r="O90" s="317"/>
      <c r="P90" s="232"/>
      <c r="Q90" s="274"/>
      <c r="R90" s="245"/>
      <c r="S90" s="245"/>
      <c r="T90" s="245"/>
      <c r="U90" s="245"/>
      <c r="V90" s="246"/>
      <c r="W90" s="30"/>
      <c r="X90" s="2"/>
      <c r="Y90" s="2"/>
      <c r="Z90" s="2"/>
      <c r="AA90" s="2"/>
      <c r="AB90" s="2"/>
      <c r="AC90" s="2"/>
      <c r="AD90" s="2"/>
    </row>
    <row r="91" spans="1:30" ht="12.5" x14ac:dyDescent="0.25">
      <c r="A91" s="2"/>
      <c r="B91" s="2"/>
      <c r="C91" s="11"/>
      <c r="D91" s="93"/>
      <c r="E91" s="2"/>
      <c r="F91" s="2"/>
      <c r="G91" s="2"/>
      <c r="H91" s="2"/>
      <c r="I91" s="2"/>
      <c r="J91" s="3"/>
      <c r="K91" s="314"/>
      <c r="L91" s="142"/>
      <c r="M91" s="314"/>
      <c r="N91" s="142"/>
      <c r="O91" s="320"/>
      <c r="P91" s="236"/>
      <c r="Q91" s="318"/>
      <c r="R91" s="245"/>
      <c r="S91" s="245"/>
      <c r="T91" s="245"/>
      <c r="U91" s="245"/>
      <c r="V91" s="246"/>
      <c r="W91" s="30"/>
      <c r="X91" s="2"/>
      <c r="Y91" s="2"/>
      <c r="Z91" s="2"/>
      <c r="AA91" s="2"/>
      <c r="AB91" s="2"/>
      <c r="AC91" s="2"/>
      <c r="AD91" s="2"/>
    </row>
    <row r="92" spans="1:30" ht="12.5" x14ac:dyDescent="0.25">
      <c r="A92" s="2"/>
      <c r="B92" s="2"/>
      <c r="C92" s="11"/>
      <c r="D92" s="337"/>
      <c r="E92" s="277"/>
      <c r="F92" s="277"/>
      <c r="G92" s="277"/>
      <c r="H92" s="277"/>
      <c r="I92" s="338"/>
      <c r="J92" s="111"/>
      <c r="K92" s="316"/>
      <c r="L92" s="232"/>
      <c r="M92" s="316"/>
      <c r="N92" s="232"/>
      <c r="O92" s="317"/>
      <c r="P92" s="232"/>
      <c r="Q92" s="274"/>
      <c r="R92" s="245"/>
      <c r="S92" s="245"/>
      <c r="T92" s="245"/>
      <c r="U92" s="245"/>
      <c r="V92" s="246"/>
      <c r="W92" s="30"/>
      <c r="X92" s="2"/>
      <c r="Y92" s="2"/>
      <c r="Z92" s="2"/>
      <c r="AA92" s="2"/>
      <c r="AB92" s="2"/>
      <c r="AC92" s="2"/>
      <c r="AD92" s="2"/>
    </row>
    <row r="93" spans="1:30" ht="12.5" x14ac:dyDescent="0.25">
      <c r="A93" s="2"/>
      <c r="B93" s="2"/>
      <c r="C93" s="11"/>
      <c r="D93" s="93"/>
      <c r="E93" s="2"/>
      <c r="F93" s="2"/>
      <c r="G93" s="2"/>
      <c r="H93" s="2"/>
      <c r="I93" s="2"/>
      <c r="J93" s="3"/>
      <c r="K93" s="314"/>
      <c r="L93" s="142"/>
      <c r="M93" s="314"/>
      <c r="N93" s="142"/>
      <c r="O93" s="320"/>
      <c r="P93" s="236"/>
      <c r="Q93" s="318"/>
      <c r="R93" s="245"/>
      <c r="S93" s="245"/>
      <c r="T93" s="245"/>
      <c r="U93" s="245"/>
      <c r="V93" s="246"/>
      <c r="W93" s="30"/>
      <c r="X93" s="2"/>
      <c r="Y93" s="2"/>
      <c r="Z93" s="2"/>
      <c r="AA93" s="2"/>
      <c r="AB93" s="2"/>
      <c r="AC93" s="2"/>
      <c r="AD93" s="2"/>
    </row>
    <row r="94" spans="1:30" ht="12.5" x14ac:dyDescent="0.25">
      <c r="A94" s="2"/>
      <c r="B94" s="2"/>
      <c r="C94" s="11"/>
      <c r="D94" s="337"/>
      <c r="E94" s="277"/>
      <c r="F94" s="277"/>
      <c r="G94" s="277"/>
      <c r="H94" s="277"/>
      <c r="I94" s="338"/>
      <c r="J94" s="111"/>
      <c r="K94" s="316"/>
      <c r="L94" s="232"/>
      <c r="M94" s="316"/>
      <c r="N94" s="232"/>
      <c r="O94" s="317"/>
      <c r="P94" s="232"/>
      <c r="Q94" s="274"/>
      <c r="R94" s="245"/>
      <c r="S94" s="245"/>
      <c r="T94" s="245"/>
      <c r="U94" s="245"/>
      <c r="V94" s="246"/>
      <c r="W94" s="30"/>
      <c r="X94" s="2"/>
      <c r="Y94" s="2"/>
      <c r="Z94" s="2"/>
      <c r="AA94" s="2"/>
      <c r="AB94" s="2"/>
      <c r="AC94" s="2"/>
      <c r="AD94" s="2"/>
    </row>
    <row r="95" spans="1:30" ht="12.5" x14ac:dyDescent="0.25">
      <c r="A95" s="2"/>
      <c r="B95" s="2"/>
      <c r="C95" s="11"/>
      <c r="D95" s="93"/>
      <c r="E95" s="2"/>
      <c r="F95" s="2"/>
      <c r="G95" s="2"/>
      <c r="H95" s="2"/>
      <c r="I95" s="2"/>
      <c r="J95" s="3"/>
      <c r="K95" s="314"/>
      <c r="L95" s="142"/>
      <c r="M95" s="314"/>
      <c r="N95" s="142"/>
      <c r="O95" s="320"/>
      <c r="P95" s="236"/>
      <c r="Q95" s="318"/>
      <c r="R95" s="245"/>
      <c r="S95" s="245"/>
      <c r="T95" s="245"/>
      <c r="U95" s="245"/>
      <c r="V95" s="246"/>
      <c r="W95" s="30"/>
      <c r="X95" s="2"/>
      <c r="Y95" s="2"/>
      <c r="Z95" s="2"/>
      <c r="AA95" s="2"/>
      <c r="AB95" s="2"/>
      <c r="AC95" s="2"/>
      <c r="AD95" s="2"/>
    </row>
    <row r="96" spans="1:30" ht="12.5" x14ac:dyDescent="0.25">
      <c r="A96" s="2"/>
      <c r="B96" s="2"/>
      <c r="C96" s="11"/>
      <c r="D96" s="337"/>
      <c r="E96" s="277"/>
      <c r="F96" s="277"/>
      <c r="G96" s="277"/>
      <c r="H96" s="277"/>
      <c r="I96" s="338"/>
      <c r="J96" s="111"/>
      <c r="K96" s="316"/>
      <c r="L96" s="232"/>
      <c r="M96" s="316"/>
      <c r="N96" s="232"/>
      <c r="O96" s="317"/>
      <c r="P96" s="232"/>
      <c r="Q96" s="274"/>
      <c r="R96" s="245"/>
      <c r="S96" s="245"/>
      <c r="T96" s="245"/>
      <c r="U96" s="245"/>
      <c r="V96" s="246"/>
      <c r="W96" s="30"/>
      <c r="X96" s="2"/>
      <c r="Y96" s="2"/>
      <c r="Z96" s="2"/>
      <c r="AA96" s="2"/>
      <c r="AB96" s="2"/>
      <c r="AC96" s="2"/>
      <c r="AD96" s="2"/>
    </row>
    <row r="97" spans="1:30" ht="12.5" x14ac:dyDescent="0.25">
      <c r="A97" s="2"/>
      <c r="B97" s="2"/>
      <c r="C97" s="11"/>
      <c r="D97" s="93"/>
      <c r="E97" s="2"/>
      <c r="F97" s="2"/>
      <c r="G97" s="2"/>
      <c r="H97" s="2"/>
      <c r="I97" s="2"/>
      <c r="J97" s="3"/>
      <c r="K97" s="314"/>
      <c r="L97" s="142"/>
      <c r="M97" s="314"/>
      <c r="N97" s="142"/>
      <c r="O97" s="320"/>
      <c r="P97" s="236"/>
      <c r="Q97" s="318"/>
      <c r="R97" s="245"/>
      <c r="S97" s="245"/>
      <c r="T97" s="245"/>
      <c r="U97" s="245"/>
      <c r="V97" s="246"/>
      <c r="W97" s="30"/>
      <c r="X97" s="2"/>
      <c r="Y97" s="2"/>
      <c r="Z97" s="2"/>
      <c r="AA97" s="2"/>
      <c r="AB97" s="2"/>
      <c r="AC97" s="2"/>
      <c r="AD97" s="2"/>
    </row>
    <row r="98" spans="1:30" ht="12.5" x14ac:dyDescent="0.25">
      <c r="A98" s="2"/>
      <c r="B98" s="2"/>
      <c r="C98" s="11"/>
      <c r="D98" s="337"/>
      <c r="E98" s="277"/>
      <c r="F98" s="277"/>
      <c r="G98" s="277"/>
      <c r="H98" s="277"/>
      <c r="I98" s="338"/>
      <c r="J98" s="111"/>
      <c r="K98" s="316"/>
      <c r="L98" s="232"/>
      <c r="M98" s="316"/>
      <c r="N98" s="232"/>
      <c r="O98" s="317"/>
      <c r="P98" s="232"/>
      <c r="Q98" s="274"/>
      <c r="R98" s="245"/>
      <c r="S98" s="245"/>
      <c r="T98" s="245"/>
      <c r="U98" s="245"/>
      <c r="V98" s="246"/>
      <c r="W98" s="30"/>
      <c r="X98" s="2"/>
      <c r="Y98" s="2"/>
      <c r="Z98" s="2"/>
      <c r="AA98" s="2"/>
      <c r="AB98" s="2"/>
      <c r="AC98" s="2"/>
      <c r="AD98" s="2"/>
    </row>
    <row r="99" spans="1:30" ht="12.5" x14ac:dyDescent="0.25">
      <c r="A99" s="2"/>
      <c r="B99" s="2"/>
      <c r="C99" s="11"/>
      <c r="D99" s="93"/>
      <c r="E99" s="2"/>
      <c r="F99" s="2"/>
      <c r="G99" s="2"/>
      <c r="H99" s="2"/>
      <c r="I99" s="2"/>
      <c r="J99" s="3"/>
      <c r="K99" s="314"/>
      <c r="L99" s="142"/>
      <c r="M99" s="314"/>
      <c r="N99" s="142"/>
      <c r="O99" s="320"/>
      <c r="P99" s="236"/>
      <c r="Q99" s="318"/>
      <c r="R99" s="245"/>
      <c r="S99" s="245"/>
      <c r="T99" s="245"/>
      <c r="U99" s="245"/>
      <c r="V99" s="246"/>
      <c r="W99" s="30"/>
      <c r="X99" s="2"/>
      <c r="Y99" s="2"/>
      <c r="Z99" s="2"/>
      <c r="AA99" s="2"/>
      <c r="AB99" s="2"/>
      <c r="AC99" s="2"/>
      <c r="AD99" s="2"/>
    </row>
    <row r="100" spans="1:30" ht="12.5" x14ac:dyDescent="0.25">
      <c r="A100" s="2"/>
      <c r="B100" s="2"/>
      <c r="C100" s="11"/>
      <c r="D100" s="337"/>
      <c r="E100" s="277"/>
      <c r="F100" s="277"/>
      <c r="G100" s="277"/>
      <c r="H100" s="277"/>
      <c r="I100" s="338"/>
      <c r="J100" s="111"/>
      <c r="K100" s="316"/>
      <c r="L100" s="232"/>
      <c r="M100" s="316"/>
      <c r="N100" s="232"/>
      <c r="O100" s="317"/>
      <c r="P100" s="232"/>
      <c r="Q100" s="274"/>
      <c r="R100" s="245"/>
      <c r="S100" s="245"/>
      <c r="T100" s="245"/>
      <c r="U100" s="245"/>
      <c r="V100" s="246"/>
      <c r="W100" s="30"/>
      <c r="X100" s="2"/>
      <c r="Y100" s="2"/>
      <c r="Z100" s="2"/>
      <c r="AA100" s="2"/>
      <c r="AB100" s="2"/>
      <c r="AC100" s="2"/>
      <c r="AD100" s="2"/>
    </row>
    <row r="101" spans="1:30" ht="12.5" x14ac:dyDescent="0.25">
      <c r="A101" s="2"/>
      <c r="B101" s="2"/>
      <c r="C101" s="11"/>
      <c r="D101" s="93"/>
      <c r="E101" s="2"/>
      <c r="F101" s="2"/>
      <c r="G101" s="2"/>
      <c r="H101" s="2"/>
      <c r="I101" s="2"/>
      <c r="J101" s="3"/>
      <c r="K101" s="314"/>
      <c r="L101" s="142"/>
      <c r="M101" s="314"/>
      <c r="N101" s="142"/>
      <c r="O101" s="320"/>
      <c r="P101" s="236"/>
      <c r="Q101" s="318"/>
      <c r="R101" s="245"/>
      <c r="S101" s="245"/>
      <c r="T101" s="245"/>
      <c r="U101" s="245"/>
      <c r="V101" s="246"/>
      <c r="W101" s="30"/>
      <c r="X101" s="2"/>
      <c r="Y101" s="2"/>
      <c r="Z101" s="2"/>
      <c r="AA101" s="2"/>
      <c r="AB101" s="2"/>
      <c r="AC101" s="2"/>
      <c r="AD101" s="2"/>
    </row>
    <row r="102" spans="1:30" ht="12.5" x14ac:dyDescent="0.25">
      <c r="A102" s="2"/>
      <c r="B102" s="2"/>
      <c r="C102" s="11"/>
      <c r="D102" s="337"/>
      <c r="E102" s="277"/>
      <c r="F102" s="277"/>
      <c r="G102" s="277"/>
      <c r="H102" s="277"/>
      <c r="I102" s="338"/>
      <c r="J102" s="111"/>
      <c r="K102" s="316"/>
      <c r="L102" s="232"/>
      <c r="M102" s="316"/>
      <c r="N102" s="232"/>
      <c r="O102" s="317"/>
      <c r="P102" s="232"/>
      <c r="Q102" s="274"/>
      <c r="R102" s="245"/>
      <c r="S102" s="245"/>
      <c r="T102" s="245"/>
      <c r="U102" s="245"/>
      <c r="V102" s="246"/>
      <c r="W102" s="30"/>
      <c r="X102" s="2"/>
      <c r="Y102" s="2"/>
      <c r="Z102" s="2"/>
      <c r="AA102" s="2"/>
      <c r="AB102" s="2"/>
      <c r="AC102" s="2"/>
      <c r="AD102" s="2"/>
    </row>
    <row r="103" spans="1:30" ht="12.5" x14ac:dyDescent="0.25">
      <c r="A103" s="2"/>
      <c r="B103" s="2"/>
      <c r="C103" s="11"/>
      <c r="D103" s="93"/>
      <c r="E103" s="2"/>
      <c r="F103" s="2"/>
      <c r="G103" s="2"/>
      <c r="H103" s="2"/>
      <c r="I103" s="2"/>
      <c r="J103" s="3"/>
      <c r="K103" s="314"/>
      <c r="L103" s="142"/>
      <c r="M103" s="314"/>
      <c r="N103" s="142"/>
      <c r="O103" s="320"/>
      <c r="P103" s="236"/>
      <c r="Q103" s="318"/>
      <c r="R103" s="245"/>
      <c r="S103" s="245"/>
      <c r="T103" s="245"/>
      <c r="U103" s="245"/>
      <c r="V103" s="246"/>
      <c r="W103" s="30"/>
      <c r="X103" s="2"/>
      <c r="Y103" s="2"/>
      <c r="Z103" s="2"/>
      <c r="AA103" s="2"/>
      <c r="AB103" s="2"/>
      <c r="AC103" s="2"/>
      <c r="AD103" s="2"/>
    </row>
    <row r="104" spans="1:30" ht="12.5" x14ac:dyDescent="0.25">
      <c r="A104" s="2"/>
      <c r="B104" s="2"/>
      <c r="C104" s="11"/>
      <c r="D104" s="337"/>
      <c r="E104" s="277"/>
      <c r="F104" s="277"/>
      <c r="G104" s="277"/>
      <c r="H104" s="277"/>
      <c r="I104" s="338"/>
      <c r="J104" s="111"/>
      <c r="K104" s="316"/>
      <c r="L104" s="232"/>
      <c r="M104" s="316"/>
      <c r="N104" s="232"/>
      <c r="O104" s="317"/>
      <c r="P104" s="232"/>
      <c r="Q104" s="274"/>
      <c r="R104" s="245"/>
      <c r="S104" s="245"/>
      <c r="T104" s="245"/>
      <c r="U104" s="245"/>
      <c r="V104" s="246"/>
      <c r="W104" s="30"/>
      <c r="X104" s="2"/>
      <c r="Y104" s="2"/>
      <c r="Z104" s="2"/>
      <c r="AA104" s="2"/>
      <c r="AB104" s="2"/>
      <c r="AC104" s="2"/>
      <c r="AD104" s="2"/>
    </row>
    <row r="105" spans="1:30" ht="12.5" x14ac:dyDescent="0.25">
      <c r="A105" s="2"/>
      <c r="B105" s="2"/>
      <c r="C105" s="11"/>
      <c r="D105" s="93"/>
      <c r="E105" s="2"/>
      <c r="F105" s="2"/>
      <c r="G105" s="2"/>
      <c r="H105" s="2"/>
      <c r="I105" s="2"/>
      <c r="J105" s="3"/>
      <c r="K105" s="314"/>
      <c r="L105" s="142"/>
      <c r="M105" s="314"/>
      <c r="N105" s="142"/>
      <c r="O105" s="320"/>
      <c r="P105" s="236"/>
      <c r="Q105" s="318"/>
      <c r="R105" s="245"/>
      <c r="S105" s="245"/>
      <c r="T105" s="245"/>
      <c r="U105" s="245"/>
      <c r="V105" s="246"/>
      <c r="W105" s="30"/>
      <c r="X105" s="2"/>
      <c r="Y105" s="2"/>
      <c r="Z105" s="2"/>
      <c r="AA105" s="2"/>
      <c r="AB105" s="2"/>
      <c r="AC105" s="2"/>
      <c r="AD105" s="2"/>
    </row>
    <row r="106" spans="1:30" ht="12.5" x14ac:dyDescent="0.25">
      <c r="A106" s="2"/>
      <c r="B106" s="2"/>
      <c r="C106" s="11"/>
      <c r="D106" s="337"/>
      <c r="E106" s="277"/>
      <c r="F106" s="277"/>
      <c r="G106" s="277"/>
      <c r="H106" s="277"/>
      <c r="I106" s="338"/>
      <c r="J106" s="111"/>
      <c r="K106" s="316"/>
      <c r="L106" s="232"/>
      <c r="M106" s="316"/>
      <c r="N106" s="232"/>
      <c r="O106" s="317"/>
      <c r="P106" s="232"/>
      <c r="Q106" s="274"/>
      <c r="R106" s="245"/>
      <c r="S106" s="245"/>
      <c r="T106" s="245"/>
      <c r="U106" s="245"/>
      <c r="V106" s="246"/>
      <c r="W106" s="30"/>
      <c r="X106" s="2"/>
      <c r="Y106" s="2"/>
      <c r="Z106" s="2"/>
      <c r="AA106" s="2"/>
      <c r="AB106" s="2"/>
      <c r="AC106" s="2"/>
      <c r="AD106" s="2"/>
    </row>
    <row r="107" spans="1:30" ht="12.5" x14ac:dyDescent="0.25">
      <c r="A107" s="2"/>
      <c r="B107" s="2"/>
      <c r="C107" s="11"/>
      <c r="D107" s="93"/>
      <c r="E107" s="2"/>
      <c r="F107" s="2"/>
      <c r="G107" s="2"/>
      <c r="H107" s="2"/>
      <c r="I107" s="2"/>
      <c r="J107" s="3"/>
      <c r="K107" s="314"/>
      <c r="L107" s="142"/>
      <c r="M107" s="314"/>
      <c r="N107" s="142"/>
      <c r="O107" s="320"/>
      <c r="P107" s="236"/>
      <c r="Q107" s="318"/>
      <c r="R107" s="245"/>
      <c r="S107" s="245"/>
      <c r="T107" s="245"/>
      <c r="U107" s="245"/>
      <c r="V107" s="246"/>
      <c r="W107" s="30"/>
      <c r="X107" s="2"/>
      <c r="Y107" s="2"/>
      <c r="Z107" s="2"/>
      <c r="AA107" s="2"/>
      <c r="AB107" s="2"/>
      <c r="AC107" s="2"/>
      <c r="AD107" s="2"/>
    </row>
    <row r="108" spans="1:30" ht="12.5" x14ac:dyDescent="0.25">
      <c r="A108" s="2"/>
      <c r="B108" s="2"/>
      <c r="C108" s="11"/>
      <c r="D108" s="337"/>
      <c r="E108" s="277"/>
      <c r="F108" s="277"/>
      <c r="G108" s="277"/>
      <c r="H108" s="277"/>
      <c r="I108" s="338"/>
      <c r="J108" s="111"/>
      <c r="K108" s="316"/>
      <c r="L108" s="232"/>
      <c r="M108" s="316"/>
      <c r="N108" s="232"/>
      <c r="O108" s="317"/>
      <c r="P108" s="232"/>
      <c r="Q108" s="274"/>
      <c r="R108" s="245"/>
      <c r="S108" s="245"/>
      <c r="T108" s="245"/>
      <c r="U108" s="245"/>
      <c r="V108" s="246"/>
      <c r="W108" s="30"/>
      <c r="X108" s="2"/>
      <c r="Y108" s="2"/>
      <c r="Z108" s="2"/>
      <c r="AA108" s="2"/>
      <c r="AB108" s="2"/>
      <c r="AC108" s="2"/>
      <c r="AD108" s="2"/>
    </row>
    <row r="109" spans="1:30" ht="12.5" x14ac:dyDescent="0.25">
      <c r="A109" s="2"/>
      <c r="B109" s="2"/>
      <c r="C109" s="11"/>
      <c r="D109" s="93"/>
      <c r="E109" s="2"/>
      <c r="F109" s="2"/>
      <c r="G109" s="2"/>
      <c r="H109" s="2"/>
      <c r="I109" s="2"/>
      <c r="J109" s="3"/>
      <c r="K109" s="314"/>
      <c r="L109" s="142"/>
      <c r="M109" s="314"/>
      <c r="N109" s="142"/>
      <c r="O109" s="320"/>
      <c r="P109" s="236"/>
      <c r="Q109" s="318"/>
      <c r="R109" s="245"/>
      <c r="S109" s="245"/>
      <c r="T109" s="245"/>
      <c r="U109" s="245"/>
      <c r="V109" s="246"/>
      <c r="W109" s="30"/>
      <c r="X109" s="2"/>
      <c r="Y109" s="2"/>
      <c r="Z109" s="2"/>
      <c r="AA109" s="2"/>
      <c r="AB109" s="2"/>
      <c r="AC109" s="2"/>
      <c r="AD109" s="2"/>
    </row>
    <row r="110" spans="1:30" ht="12.5" x14ac:dyDescent="0.25">
      <c r="A110" s="2"/>
      <c r="B110" s="2"/>
      <c r="C110" s="11"/>
      <c r="D110" s="337"/>
      <c r="E110" s="277"/>
      <c r="F110" s="277"/>
      <c r="G110" s="277"/>
      <c r="H110" s="277"/>
      <c r="I110" s="338"/>
      <c r="J110" s="111"/>
      <c r="K110" s="316"/>
      <c r="L110" s="232"/>
      <c r="M110" s="316"/>
      <c r="N110" s="232"/>
      <c r="O110" s="317"/>
      <c r="P110" s="232"/>
      <c r="Q110" s="274"/>
      <c r="R110" s="245"/>
      <c r="S110" s="245"/>
      <c r="T110" s="245"/>
      <c r="U110" s="245"/>
      <c r="V110" s="246"/>
      <c r="W110" s="30"/>
      <c r="X110" s="2"/>
      <c r="Y110" s="2"/>
      <c r="Z110" s="2"/>
      <c r="AA110" s="2"/>
      <c r="AB110" s="2"/>
      <c r="AC110" s="2"/>
      <c r="AD110" s="2"/>
    </row>
    <row r="111" spans="1:30" ht="12.5" x14ac:dyDescent="0.25">
      <c r="A111" s="2"/>
      <c r="B111" s="2"/>
      <c r="C111" s="11"/>
      <c r="D111" s="93"/>
      <c r="E111" s="2"/>
      <c r="F111" s="2"/>
      <c r="G111" s="2"/>
      <c r="H111" s="2"/>
      <c r="I111" s="2"/>
      <c r="J111" s="3"/>
      <c r="K111" s="314"/>
      <c r="L111" s="142"/>
      <c r="M111" s="314"/>
      <c r="N111" s="142"/>
      <c r="O111" s="320"/>
      <c r="P111" s="236"/>
      <c r="Q111" s="318"/>
      <c r="R111" s="245"/>
      <c r="S111" s="245"/>
      <c r="T111" s="245"/>
      <c r="U111" s="245"/>
      <c r="V111" s="246"/>
      <c r="W111" s="30"/>
      <c r="X111" s="2"/>
      <c r="Y111" s="2"/>
      <c r="Z111" s="2"/>
      <c r="AA111" s="2"/>
      <c r="AB111" s="2"/>
      <c r="AC111" s="2"/>
      <c r="AD111" s="2"/>
    </row>
    <row r="112" spans="1:30" ht="12.5" x14ac:dyDescent="0.25">
      <c r="A112" s="2"/>
      <c r="B112" s="2"/>
      <c r="C112" s="11"/>
      <c r="D112" s="337"/>
      <c r="E112" s="277"/>
      <c r="F112" s="277"/>
      <c r="G112" s="277"/>
      <c r="H112" s="277"/>
      <c r="I112" s="338"/>
      <c r="J112" s="111"/>
      <c r="K112" s="316"/>
      <c r="L112" s="232"/>
      <c r="M112" s="316"/>
      <c r="N112" s="232"/>
      <c r="O112" s="317"/>
      <c r="P112" s="232"/>
      <c r="Q112" s="274"/>
      <c r="R112" s="245"/>
      <c r="S112" s="245"/>
      <c r="T112" s="245"/>
      <c r="U112" s="245"/>
      <c r="V112" s="246"/>
      <c r="W112" s="30"/>
      <c r="X112" s="2"/>
      <c r="Y112" s="2"/>
      <c r="Z112" s="2"/>
      <c r="AA112" s="2"/>
      <c r="AB112" s="2"/>
      <c r="AC112" s="2"/>
      <c r="AD112" s="2"/>
    </row>
    <row r="113" spans="1:30" ht="12.5" x14ac:dyDescent="0.25">
      <c r="A113" s="2"/>
      <c r="B113" s="2"/>
      <c r="C113" s="11"/>
      <c r="D113" s="93"/>
      <c r="E113" s="2"/>
      <c r="F113" s="2"/>
      <c r="G113" s="2"/>
      <c r="H113" s="2"/>
      <c r="I113" s="2"/>
      <c r="J113" s="3"/>
      <c r="K113" s="314"/>
      <c r="L113" s="142"/>
      <c r="M113" s="314"/>
      <c r="N113" s="142"/>
      <c r="O113" s="320"/>
      <c r="P113" s="236"/>
      <c r="Q113" s="318"/>
      <c r="R113" s="245"/>
      <c r="S113" s="245"/>
      <c r="T113" s="245"/>
      <c r="U113" s="245"/>
      <c r="V113" s="246"/>
      <c r="W113" s="30"/>
      <c r="X113" s="2"/>
      <c r="Y113" s="2"/>
      <c r="Z113" s="2"/>
      <c r="AA113" s="2"/>
      <c r="AB113" s="2"/>
      <c r="AC113" s="2"/>
      <c r="AD113" s="2"/>
    </row>
    <row r="114" spans="1:30" ht="12.5" x14ac:dyDescent="0.25">
      <c r="A114" s="2"/>
      <c r="B114" s="2"/>
      <c r="C114" s="11"/>
      <c r="D114" s="337"/>
      <c r="E114" s="277"/>
      <c r="F114" s="277"/>
      <c r="G114" s="277"/>
      <c r="H114" s="277"/>
      <c r="I114" s="338"/>
      <c r="J114" s="111"/>
      <c r="K114" s="316"/>
      <c r="L114" s="232"/>
      <c r="M114" s="316"/>
      <c r="N114" s="232"/>
      <c r="O114" s="317"/>
      <c r="P114" s="232"/>
      <c r="Q114" s="274"/>
      <c r="R114" s="245"/>
      <c r="S114" s="245"/>
      <c r="T114" s="245"/>
      <c r="U114" s="245"/>
      <c r="V114" s="246"/>
      <c r="W114" s="30"/>
      <c r="X114" s="2"/>
      <c r="Y114" s="2"/>
      <c r="Z114" s="2"/>
      <c r="AA114" s="2"/>
      <c r="AB114" s="2"/>
      <c r="AC114" s="2"/>
      <c r="AD114" s="2"/>
    </row>
    <row r="115" spans="1:30" ht="12.5" x14ac:dyDescent="0.25">
      <c r="A115" s="2"/>
      <c r="B115" s="2"/>
      <c r="C115" s="11"/>
      <c r="D115" s="93"/>
      <c r="E115" s="2"/>
      <c r="F115" s="2"/>
      <c r="G115" s="2"/>
      <c r="H115" s="2"/>
      <c r="I115" s="2"/>
      <c r="J115" s="3"/>
      <c r="K115" s="314"/>
      <c r="L115" s="142"/>
      <c r="M115" s="314"/>
      <c r="N115" s="142"/>
      <c r="O115" s="320"/>
      <c r="P115" s="236"/>
      <c r="Q115" s="318"/>
      <c r="R115" s="245"/>
      <c r="S115" s="245"/>
      <c r="T115" s="245"/>
      <c r="U115" s="245"/>
      <c r="V115" s="246"/>
      <c r="W115" s="30"/>
      <c r="X115" s="2"/>
      <c r="Y115" s="2"/>
      <c r="Z115" s="2"/>
      <c r="AA115" s="2"/>
      <c r="AB115" s="2"/>
      <c r="AC115" s="2"/>
      <c r="AD115" s="2"/>
    </row>
    <row r="116" spans="1:30" ht="12.5" x14ac:dyDescent="0.25">
      <c r="A116" s="2"/>
      <c r="B116" s="2"/>
      <c r="C116" s="11"/>
      <c r="D116" s="337"/>
      <c r="E116" s="277"/>
      <c r="F116" s="277"/>
      <c r="G116" s="277"/>
      <c r="H116" s="277"/>
      <c r="I116" s="338"/>
      <c r="J116" s="111"/>
      <c r="K116" s="316"/>
      <c r="L116" s="232"/>
      <c r="M116" s="316"/>
      <c r="N116" s="232"/>
      <c r="O116" s="317"/>
      <c r="P116" s="232"/>
      <c r="Q116" s="274"/>
      <c r="R116" s="245"/>
      <c r="S116" s="245"/>
      <c r="T116" s="245"/>
      <c r="U116" s="245"/>
      <c r="V116" s="246"/>
      <c r="W116" s="30"/>
      <c r="X116" s="2"/>
      <c r="Y116" s="2"/>
      <c r="Z116" s="2"/>
      <c r="AA116" s="2"/>
      <c r="AB116" s="2"/>
      <c r="AC116" s="2"/>
      <c r="AD116" s="2"/>
    </row>
    <row r="117" spans="1:30" ht="12.5" x14ac:dyDescent="0.25">
      <c r="A117" s="2"/>
      <c r="B117" s="2"/>
      <c r="C117" s="11"/>
      <c r="D117" s="93"/>
      <c r="E117" s="2"/>
      <c r="F117" s="2"/>
      <c r="G117" s="2"/>
      <c r="H117" s="2"/>
      <c r="I117" s="2"/>
      <c r="J117" s="3"/>
      <c r="K117" s="314"/>
      <c r="L117" s="142"/>
      <c r="M117" s="314"/>
      <c r="N117" s="142"/>
      <c r="O117" s="320"/>
      <c r="P117" s="236"/>
      <c r="Q117" s="318"/>
      <c r="R117" s="245"/>
      <c r="S117" s="245"/>
      <c r="T117" s="245"/>
      <c r="U117" s="245"/>
      <c r="V117" s="246"/>
      <c r="W117" s="30"/>
      <c r="X117" s="2"/>
      <c r="Y117" s="2"/>
      <c r="Z117" s="2"/>
      <c r="AA117" s="2"/>
      <c r="AB117" s="2"/>
      <c r="AC117" s="2"/>
      <c r="AD117" s="2"/>
    </row>
    <row r="118" spans="1:30" ht="12.5" x14ac:dyDescent="0.25">
      <c r="A118" s="2"/>
      <c r="B118" s="2"/>
      <c r="C118" s="11"/>
      <c r="D118" s="337"/>
      <c r="E118" s="277"/>
      <c r="F118" s="277"/>
      <c r="G118" s="277"/>
      <c r="H118" s="277"/>
      <c r="I118" s="338"/>
      <c r="J118" s="111"/>
      <c r="K118" s="316"/>
      <c r="L118" s="232"/>
      <c r="M118" s="316"/>
      <c r="N118" s="232"/>
      <c r="O118" s="317"/>
      <c r="P118" s="232"/>
      <c r="Q118" s="274"/>
      <c r="R118" s="245"/>
      <c r="S118" s="245"/>
      <c r="T118" s="245"/>
      <c r="U118" s="245"/>
      <c r="V118" s="246"/>
      <c r="W118" s="30"/>
      <c r="X118" s="2"/>
      <c r="Y118" s="2"/>
      <c r="Z118" s="2"/>
      <c r="AA118" s="2"/>
      <c r="AB118" s="2"/>
      <c r="AC118" s="2"/>
      <c r="AD118" s="2"/>
    </row>
    <row r="119" spans="1:30" ht="12.5" x14ac:dyDescent="0.25">
      <c r="A119" s="2"/>
      <c r="B119" s="2"/>
      <c r="C119" s="11"/>
      <c r="D119" s="112"/>
      <c r="E119" s="28"/>
      <c r="F119" s="28"/>
      <c r="G119" s="28"/>
      <c r="H119" s="28"/>
      <c r="I119" s="28"/>
      <c r="J119" s="5"/>
      <c r="K119" s="339"/>
      <c r="L119" s="198"/>
      <c r="M119" s="339"/>
      <c r="N119" s="198"/>
      <c r="O119" s="320"/>
      <c r="P119" s="236"/>
      <c r="Q119" s="322"/>
      <c r="R119" s="194"/>
      <c r="S119" s="194"/>
      <c r="T119" s="194"/>
      <c r="U119" s="194"/>
      <c r="V119" s="323"/>
      <c r="W119" s="30"/>
      <c r="X119" s="2"/>
      <c r="Y119" s="2"/>
      <c r="Z119" s="2"/>
      <c r="AA119" s="2"/>
      <c r="AB119" s="2"/>
      <c r="AC119" s="2"/>
      <c r="AD119" s="2"/>
    </row>
    <row r="120" spans="1:30" ht="13" x14ac:dyDescent="0.3">
      <c r="A120" s="2"/>
      <c r="B120" s="2"/>
      <c r="C120" s="11"/>
      <c r="D120" s="335" t="s">
        <v>14</v>
      </c>
      <c r="E120" s="224"/>
      <c r="F120" s="224"/>
      <c r="G120" s="224"/>
      <c r="H120" s="224"/>
      <c r="I120" s="224"/>
      <c r="J120" s="224"/>
      <c r="K120" s="224"/>
      <c r="L120" s="224"/>
      <c r="M120" s="224"/>
      <c r="N120" s="273"/>
      <c r="O120" s="340">
        <f>SUM(O59:P119)</f>
        <v>0</v>
      </c>
      <c r="P120" s="273"/>
      <c r="Q120" s="113"/>
      <c r="R120" s="113"/>
      <c r="S120" s="113"/>
      <c r="T120" s="113"/>
      <c r="U120" s="113"/>
      <c r="V120" s="114"/>
      <c r="W120" s="30"/>
      <c r="X120" s="2"/>
      <c r="Y120" s="2"/>
      <c r="Z120" s="2"/>
      <c r="AA120" s="2"/>
      <c r="AB120" s="2"/>
      <c r="AC120" s="2"/>
      <c r="AD120" s="2"/>
    </row>
    <row r="121" spans="1:30" ht="12.5" x14ac:dyDescent="0.25">
      <c r="A121" s="2"/>
      <c r="B121" s="2"/>
      <c r="C121" s="2"/>
      <c r="D121" s="35"/>
      <c r="E121" s="35"/>
      <c r="F121" s="35"/>
      <c r="G121" s="35"/>
      <c r="H121" s="35"/>
      <c r="I121" s="35"/>
      <c r="J121" s="4"/>
      <c r="K121" s="4"/>
      <c r="L121" s="4"/>
      <c r="M121" s="4"/>
      <c r="N121" s="4"/>
      <c r="O121" s="4"/>
      <c r="P121" s="4"/>
      <c r="Q121" s="35"/>
      <c r="R121" s="35"/>
      <c r="S121" s="35"/>
      <c r="T121" s="35"/>
      <c r="U121" s="35"/>
      <c r="V121" s="35"/>
      <c r="W121" s="2"/>
      <c r="X121" s="2"/>
      <c r="Y121" s="2"/>
      <c r="Z121" s="2"/>
      <c r="AA121" s="2"/>
      <c r="AB121" s="2"/>
      <c r="AC121" s="2"/>
      <c r="AD121" s="2"/>
    </row>
    <row r="122" spans="1:30" ht="12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3"/>
      <c r="K122" s="3"/>
      <c r="L122" s="3"/>
      <c r="M122" s="3"/>
      <c r="N122" s="3"/>
      <c r="O122" s="3"/>
      <c r="P122" s="3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2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3"/>
      <c r="K123" s="3"/>
      <c r="L123" s="3"/>
      <c r="M123" s="3"/>
      <c r="N123" s="3"/>
      <c r="O123" s="3"/>
      <c r="P123" s="3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2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3"/>
      <c r="K124" s="3"/>
      <c r="L124" s="3"/>
      <c r="M124" s="3"/>
      <c r="N124" s="3"/>
      <c r="O124" s="3"/>
      <c r="P124" s="3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2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3"/>
      <c r="K125" s="3"/>
      <c r="L125" s="3"/>
      <c r="M125" s="3"/>
      <c r="N125" s="3"/>
      <c r="O125" s="3"/>
      <c r="P125" s="3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2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3"/>
      <c r="K126" s="3"/>
      <c r="L126" s="3"/>
      <c r="M126" s="3"/>
      <c r="N126" s="3"/>
      <c r="O126" s="3"/>
      <c r="P126" s="3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2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3"/>
      <c r="K127" s="3"/>
      <c r="L127" s="3"/>
      <c r="M127" s="3"/>
      <c r="N127" s="3"/>
      <c r="O127" s="3"/>
      <c r="P127" s="3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2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3"/>
      <c r="K128" s="3"/>
      <c r="L128" s="3"/>
      <c r="M128" s="3"/>
      <c r="N128" s="3"/>
      <c r="O128" s="3"/>
      <c r="P128" s="3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2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3"/>
      <c r="K129" s="3"/>
      <c r="L129" s="3"/>
      <c r="M129" s="3"/>
      <c r="N129" s="3"/>
      <c r="O129" s="3"/>
      <c r="P129" s="3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2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3"/>
      <c r="K130" s="3"/>
      <c r="L130" s="3"/>
      <c r="M130" s="3"/>
      <c r="N130" s="3"/>
      <c r="O130" s="3"/>
      <c r="P130" s="3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2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3"/>
      <c r="K131" s="3"/>
      <c r="L131" s="3"/>
      <c r="M131" s="3"/>
      <c r="N131" s="3"/>
      <c r="O131" s="3"/>
      <c r="P131" s="3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2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3"/>
      <c r="K132" s="3"/>
      <c r="L132" s="3"/>
      <c r="M132" s="3"/>
      <c r="N132" s="3"/>
      <c r="O132" s="3"/>
      <c r="P132" s="3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2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3"/>
      <c r="K133" s="3"/>
      <c r="L133" s="3"/>
      <c r="M133" s="3"/>
      <c r="N133" s="3"/>
      <c r="O133" s="3"/>
      <c r="P133" s="3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2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3"/>
      <c r="K134" s="3"/>
      <c r="L134" s="3"/>
      <c r="M134" s="3"/>
      <c r="N134" s="3"/>
      <c r="O134" s="3"/>
      <c r="P134" s="3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2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3"/>
      <c r="K135" s="3"/>
      <c r="L135" s="3"/>
      <c r="M135" s="3"/>
      <c r="N135" s="3"/>
      <c r="O135" s="3"/>
      <c r="P135" s="3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2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3"/>
      <c r="K136" s="3"/>
      <c r="L136" s="3"/>
      <c r="M136" s="3"/>
      <c r="N136" s="3"/>
      <c r="O136" s="3"/>
      <c r="P136" s="3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2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3"/>
      <c r="K137" s="3"/>
      <c r="L137" s="3"/>
      <c r="M137" s="3"/>
      <c r="N137" s="3"/>
      <c r="O137" s="3"/>
      <c r="P137" s="3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2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3"/>
      <c r="K138" s="3"/>
      <c r="L138" s="3"/>
      <c r="M138" s="3"/>
      <c r="N138" s="3"/>
      <c r="O138" s="3"/>
      <c r="P138" s="3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2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3"/>
      <c r="K139" s="3"/>
      <c r="L139" s="3"/>
      <c r="M139" s="3"/>
      <c r="N139" s="3"/>
      <c r="O139" s="3"/>
      <c r="P139" s="3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2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3"/>
      <c r="K140" s="3"/>
      <c r="L140" s="3"/>
      <c r="M140" s="3"/>
      <c r="N140" s="3"/>
      <c r="O140" s="3"/>
      <c r="P140" s="3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2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3"/>
      <c r="K141" s="3"/>
      <c r="L141" s="3"/>
      <c r="M141" s="3"/>
      <c r="N141" s="3"/>
      <c r="O141" s="3"/>
      <c r="P141" s="3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2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3"/>
      <c r="K142" s="3"/>
      <c r="L142" s="3"/>
      <c r="M142" s="3"/>
      <c r="N142" s="3"/>
      <c r="O142" s="3"/>
      <c r="P142" s="3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2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3"/>
      <c r="K143" s="3"/>
      <c r="L143" s="3"/>
      <c r="M143" s="3"/>
      <c r="N143" s="3"/>
      <c r="O143" s="3"/>
      <c r="P143" s="3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2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3"/>
      <c r="K144" s="3"/>
      <c r="L144" s="3"/>
      <c r="M144" s="3"/>
      <c r="N144" s="3"/>
      <c r="O144" s="3"/>
      <c r="P144" s="3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2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3"/>
      <c r="K145" s="3"/>
      <c r="L145" s="3"/>
      <c r="M145" s="3"/>
      <c r="N145" s="3"/>
      <c r="O145" s="3"/>
      <c r="P145" s="3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2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3"/>
      <c r="K146" s="3"/>
      <c r="L146" s="3"/>
      <c r="M146" s="3"/>
      <c r="N146" s="3"/>
      <c r="O146" s="3"/>
      <c r="P146" s="3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2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3"/>
      <c r="K147" s="3"/>
      <c r="L147" s="3"/>
      <c r="M147" s="3"/>
      <c r="N147" s="3"/>
      <c r="O147" s="3"/>
      <c r="P147" s="3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2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3"/>
      <c r="K148" s="3"/>
      <c r="L148" s="3"/>
      <c r="M148" s="3"/>
      <c r="N148" s="3"/>
      <c r="O148" s="3"/>
      <c r="P148" s="3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2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3"/>
      <c r="K149" s="3"/>
      <c r="L149" s="3"/>
      <c r="M149" s="3"/>
      <c r="N149" s="3"/>
      <c r="O149" s="3"/>
      <c r="P149" s="3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2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3"/>
      <c r="K150" s="3"/>
      <c r="L150" s="3"/>
      <c r="M150" s="3"/>
      <c r="N150" s="3"/>
      <c r="O150" s="3"/>
      <c r="P150" s="3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2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3"/>
      <c r="K151" s="3"/>
      <c r="L151" s="3"/>
      <c r="M151" s="3"/>
      <c r="N151" s="3"/>
      <c r="O151" s="3"/>
      <c r="P151" s="3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2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3"/>
      <c r="K152" s="3"/>
      <c r="L152" s="3"/>
      <c r="M152" s="3"/>
      <c r="N152" s="3"/>
      <c r="O152" s="3"/>
      <c r="P152" s="3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2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3"/>
      <c r="K153" s="3"/>
      <c r="L153" s="3"/>
      <c r="M153" s="3"/>
      <c r="N153" s="3"/>
      <c r="O153" s="3"/>
      <c r="P153" s="3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2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3"/>
      <c r="K154" s="3"/>
      <c r="L154" s="3"/>
      <c r="M154" s="3"/>
      <c r="N154" s="3"/>
      <c r="O154" s="3"/>
      <c r="P154" s="3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2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3"/>
      <c r="K155" s="3"/>
      <c r="L155" s="3"/>
      <c r="M155" s="3"/>
      <c r="N155" s="3"/>
      <c r="O155" s="3"/>
      <c r="P155" s="3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2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3"/>
      <c r="K156" s="3"/>
      <c r="L156" s="3"/>
      <c r="M156" s="3"/>
      <c r="N156" s="3"/>
      <c r="O156" s="3"/>
      <c r="P156" s="3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2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3"/>
      <c r="K157" s="3"/>
      <c r="L157" s="3"/>
      <c r="M157" s="3"/>
      <c r="N157" s="3"/>
      <c r="O157" s="3"/>
      <c r="P157" s="3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2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3"/>
      <c r="K158" s="3"/>
      <c r="L158" s="3"/>
      <c r="M158" s="3"/>
      <c r="N158" s="3"/>
      <c r="O158" s="3"/>
      <c r="P158" s="3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2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3"/>
      <c r="K159" s="3"/>
      <c r="L159" s="3"/>
      <c r="M159" s="3"/>
      <c r="N159" s="3"/>
      <c r="O159" s="3"/>
      <c r="P159" s="3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2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3"/>
      <c r="K160" s="3"/>
      <c r="L160" s="3"/>
      <c r="M160" s="3"/>
      <c r="N160" s="3"/>
      <c r="O160" s="3"/>
      <c r="P160" s="3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2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3"/>
      <c r="K161" s="3"/>
      <c r="L161" s="3"/>
      <c r="M161" s="3"/>
      <c r="N161" s="3"/>
      <c r="O161" s="3"/>
      <c r="P161" s="3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2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3"/>
      <c r="K162" s="3"/>
      <c r="L162" s="3"/>
      <c r="M162" s="3"/>
      <c r="N162" s="3"/>
      <c r="O162" s="3"/>
      <c r="P162" s="3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2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3"/>
      <c r="K163" s="3"/>
      <c r="L163" s="3"/>
      <c r="M163" s="3"/>
      <c r="N163" s="3"/>
      <c r="O163" s="3"/>
      <c r="P163" s="3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2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3"/>
      <c r="K164" s="3"/>
      <c r="L164" s="3"/>
      <c r="M164" s="3"/>
      <c r="N164" s="3"/>
      <c r="O164" s="3"/>
      <c r="P164" s="3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2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3"/>
      <c r="K165" s="3"/>
      <c r="L165" s="3"/>
      <c r="M165" s="3"/>
      <c r="N165" s="3"/>
      <c r="O165" s="3"/>
      <c r="P165" s="3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2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3"/>
      <c r="K166" s="3"/>
      <c r="L166" s="3"/>
      <c r="M166" s="3"/>
      <c r="N166" s="3"/>
      <c r="O166" s="3"/>
      <c r="P166" s="3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2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3"/>
      <c r="K167" s="3"/>
      <c r="L167" s="3"/>
      <c r="M167" s="3"/>
      <c r="N167" s="3"/>
      <c r="O167" s="3"/>
      <c r="P167" s="3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2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3"/>
      <c r="K168" s="3"/>
      <c r="L168" s="3"/>
      <c r="M168" s="3"/>
      <c r="N168" s="3"/>
      <c r="O168" s="3"/>
      <c r="P168" s="3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2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3"/>
      <c r="K169" s="3"/>
      <c r="L169" s="3"/>
      <c r="M169" s="3"/>
      <c r="N169" s="3"/>
      <c r="O169" s="3"/>
      <c r="P169" s="3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2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3"/>
      <c r="K170" s="3"/>
      <c r="L170" s="3"/>
      <c r="M170" s="3"/>
      <c r="N170" s="3"/>
      <c r="O170" s="3"/>
      <c r="P170" s="3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2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3"/>
      <c r="K171" s="3"/>
      <c r="L171" s="3"/>
      <c r="M171" s="3"/>
      <c r="N171" s="3"/>
      <c r="O171" s="3"/>
      <c r="P171" s="3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2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3"/>
      <c r="K172" s="3"/>
      <c r="L172" s="3"/>
      <c r="M172" s="3"/>
      <c r="N172" s="3"/>
      <c r="O172" s="3"/>
      <c r="P172" s="3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2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3"/>
      <c r="K173" s="3"/>
      <c r="L173" s="3"/>
      <c r="M173" s="3"/>
      <c r="N173" s="3"/>
      <c r="O173" s="3"/>
      <c r="P173" s="3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2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3"/>
      <c r="K174" s="3"/>
      <c r="L174" s="3"/>
      <c r="M174" s="3"/>
      <c r="N174" s="3"/>
      <c r="O174" s="3"/>
      <c r="P174" s="3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2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3"/>
      <c r="K175" s="3"/>
      <c r="L175" s="3"/>
      <c r="M175" s="3"/>
      <c r="N175" s="3"/>
      <c r="O175" s="3"/>
      <c r="P175" s="3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2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3"/>
      <c r="K176" s="3"/>
      <c r="L176" s="3"/>
      <c r="M176" s="3"/>
      <c r="N176" s="3"/>
      <c r="O176" s="3"/>
      <c r="P176" s="3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2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3"/>
      <c r="K177" s="3"/>
      <c r="L177" s="3"/>
      <c r="M177" s="3"/>
      <c r="N177" s="3"/>
      <c r="O177" s="3"/>
      <c r="P177" s="3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2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3"/>
      <c r="K178" s="3"/>
      <c r="L178" s="3"/>
      <c r="M178" s="3"/>
      <c r="N178" s="3"/>
      <c r="O178" s="3"/>
      <c r="P178" s="3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2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3"/>
      <c r="K179" s="3"/>
      <c r="L179" s="3"/>
      <c r="M179" s="3"/>
      <c r="N179" s="3"/>
      <c r="O179" s="3"/>
      <c r="P179" s="3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2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3"/>
      <c r="K180" s="3"/>
      <c r="L180" s="3"/>
      <c r="M180" s="3"/>
      <c r="N180" s="3"/>
      <c r="O180" s="3"/>
      <c r="P180" s="3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2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3"/>
      <c r="K181" s="3"/>
      <c r="L181" s="3"/>
      <c r="M181" s="3"/>
      <c r="N181" s="3"/>
      <c r="O181" s="3"/>
      <c r="P181" s="3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2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3"/>
      <c r="K182" s="3"/>
      <c r="L182" s="3"/>
      <c r="M182" s="3"/>
      <c r="N182" s="3"/>
      <c r="O182" s="3"/>
      <c r="P182" s="3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2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3"/>
      <c r="K183" s="3"/>
      <c r="L183" s="3"/>
      <c r="M183" s="3"/>
      <c r="N183" s="3"/>
      <c r="O183" s="3"/>
      <c r="P183" s="3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2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3"/>
      <c r="K184" s="3"/>
      <c r="L184" s="3"/>
      <c r="M184" s="3"/>
      <c r="N184" s="3"/>
      <c r="O184" s="3"/>
      <c r="P184" s="3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2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3"/>
      <c r="K185" s="3"/>
      <c r="L185" s="3"/>
      <c r="M185" s="3"/>
      <c r="N185" s="3"/>
      <c r="O185" s="3"/>
      <c r="P185" s="3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2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3"/>
      <c r="K186" s="3"/>
      <c r="L186" s="3"/>
      <c r="M186" s="3"/>
      <c r="N186" s="3"/>
      <c r="O186" s="3"/>
      <c r="P186" s="3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2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3"/>
      <c r="K187" s="3"/>
      <c r="L187" s="3"/>
      <c r="M187" s="3"/>
      <c r="N187" s="3"/>
      <c r="O187" s="3"/>
      <c r="P187" s="3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2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3"/>
      <c r="K188" s="3"/>
      <c r="L188" s="3"/>
      <c r="M188" s="3"/>
      <c r="N188" s="3"/>
      <c r="O188" s="3"/>
      <c r="P188" s="3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2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3"/>
      <c r="K189" s="3"/>
      <c r="L189" s="3"/>
      <c r="M189" s="3"/>
      <c r="N189" s="3"/>
      <c r="O189" s="3"/>
      <c r="P189" s="3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2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3"/>
      <c r="K190" s="3"/>
      <c r="L190" s="3"/>
      <c r="M190" s="3"/>
      <c r="N190" s="3"/>
      <c r="O190" s="3"/>
      <c r="P190" s="3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2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3"/>
      <c r="K191" s="3"/>
      <c r="L191" s="3"/>
      <c r="M191" s="3"/>
      <c r="N191" s="3"/>
      <c r="O191" s="3"/>
      <c r="P191" s="3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3"/>
      <c r="K192" s="3"/>
      <c r="L192" s="3"/>
      <c r="M192" s="3"/>
      <c r="N192" s="3"/>
      <c r="O192" s="3"/>
      <c r="P192" s="3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3"/>
      <c r="K193" s="3"/>
      <c r="L193" s="3"/>
      <c r="M193" s="3"/>
      <c r="N193" s="3"/>
      <c r="O193" s="3"/>
      <c r="P193" s="3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3"/>
      <c r="K194" s="3"/>
      <c r="L194" s="3"/>
      <c r="M194" s="3"/>
      <c r="N194" s="3"/>
      <c r="O194" s="3"/>
      <c r="P194" s="3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3"/>
      <c r="K195" s="3"/>
      <c r="L195" s="3"/>
      <c r="M195" s="3"/>
      <c r="N195" s="3"/>
      <c r="O195" s="3"/>
      <c r="P195" s="3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3"/>
      <c r="K196" s="3"/>
      <c r="L196" s="3"/>
      <c r="M196" s="3"/>
      <c r="N196" s="3"/>
      <c r="O196" s="3"/>
      <c r="P196" s="3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3"/>
      <c r="K197" s="3"/>
      <c r="L197" s="3"/>
      <c r="M197" s="3"/>
      <c r="N197" s="3"/>
      <c r="O197" s="3"/>
      <c r="P197" s="3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3"/>
      <c r="K198" s="3"/>
      <c r="L198" s="3"/>
      <c r="M198" s="3"/>
      <c r="N198" s="3"/>
      <c r="O198" s="3"/>
      <c r="P198" s="3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3"/>
      <c r="K199" s="3"/>
      <c r="L199" s="3"/>
      <c r="M199" s="3"/>
      <c r="N199" s="3"/>
      <c r="O199" s="3"/>
      <c r="P199" s="3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3"/>
      <c r="K200" s="3"/>
      <c r="L200" s="3"/>
      <c r="M200" s="3"/>
      <c r="N200" s="3"/>
      <c r="O200" s="3"/>
      <c r="P200" s="3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3"/>
      <c r="K201" s="3"/>
      <c r="L201" s="3"/>
      <c r="M201" s="3"/>
      <c r="N201" s="3"/>
      <c r="O201" s="3"/>
      <c r="P201" s="3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3"/>
      <c r="K202" s="3"/>
      <c r="L202" s="3"/>
      <c r="M202" s="3"/>
      <c r="N202" s="3"/>
      <c r="O202" s="3"/>
      <c r="P202" s="3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3"/>
      <c r="K203" s="3"/>
      <c r="L203" s="3"/>
      <c r="M203" s="3"/>
      <c r="N203" s="3"/>
      <c r="O203" s="3"/>
      <c r="P203" s="3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3"/>
      <c r="K204" s="3"/>
      <c r="L204" s="3"/>
      <c r="M204" s="3"/>
      <c r="N204" s="3"/>
      <c r="O204" s="3"/>
      <c r="P204" s="3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3"/>
      <c r="K205" s="3"/>
      <c r="L205" s="3"/>
      <c r="M205" s="3"/>
      <c r="N205" s="3"/>
      <c r="O205" s="3"/>
      <c r="P205" s="3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3"/>
      <c r="K206" s="3"/>
      <c r="L206" s="3"/>
      <c r="M206" s="3"/>
      <c r="N206" s="3"/>
      <c r="O206" s="3"/>
      <c r="P206" s="3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3"/>
      <c r="K207" s="3"/>
      <c r="L207" s="3"/>
      <c r="M207" s="3"/>
      <c r="N207" s="3"/>
      <c r="O207" s="3"/>
      <c r="P207" s="3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3"/>
      <c r="K208" s="3"/>
      <c r="L208" s="3"/>
      <c r="M208" s="3"/>
      <c r="N208" s="3"/>
      <c r="O208" s="3"/>
      <c r="P208" s="3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3"/>
      <c r="K209" s="3"/>
      <c r="L209" s="3"/>
      <c r="M209" s="3"/>
      <c r="N209" s="3"/>
      <c r="O209" s="3"/>
      <c r="P209" s="3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3"/>
      <c r="K210" s="3"/>
      <c r="L210" s="3"/>
      <c r="M210" s="3"/>
      <c r="N210" s="3"/>
      <c r="O210" s="3"/>
      <c r="P210" s="3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3"/>
      <c r="K211" s="3"/>
      <c r="L211" s="3"/>
      <c r="M211" s="3"/>
      <c r="N211" s="3"/>
      <c r="O211" s="3"/>
      <c r="P211" s="3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3"/>
      <c r="K212" s="3"/>
      <c r="L212" s="3"/>
      <c r="M212" s="3"/>
      <c r="N212" s="3"/>
      <c r="O212" s="3"/>
      <c r="P212" s="3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3"/>
      <c r="K213" s="3"/>
      <c r="L213" s="3"/>
      <c r="M213" s="3"/>
      <c r="N213" s="3"/>
      <c r="O213" s="3"/>
      <c r="P213" s="3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3"/>
      <c r="K214" s="3"/>
      <c r="L214" s="3"/>
      <c r="M214" s="3"/>
      <c r="N214" s="3"/>
      <c r="O214" s="3"/>
      <c r="P214" s="3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3"/>
      <c r="K215" s="3"/>
      <c r="L215" s="3"/>
      <c r="M215" s="3"/>
      <c r="N215" s="3"/>
      <c r="O215" s="3"/>
      <c r="P215" s="3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3"/>
      <c r="K216" s="3"/>
      <c r="L216" s="3"/>
      <c r="M216" s="3"/>
      <c r="N216" s="3"/>
      <c r="O216" s="3"/>
      <c r="P216" s="3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3"/>
      <c r="K217" s="3"/>
      <c r="L217" s="3"/>
      <c r="M217" s="3"/>
      <c r="N217" s="3"/>
      <c r="O217" s="3"/>
      <c r="P217" s="3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3"/>
      <c r="K218" s="3"/>
      <c r="L218" s="3"/>
      <c r="M218" s="3"/>
      <c r="N218" s="3"/>
      <c r="O218" s="3"/>
      <c r="P218" s="3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3"/>
      <c r="K219" s="3"/>
      <c r="L219" s="3"/>
      <c r="M219" s="3"/>
      <c r="N219" s="3"/>
      <c r="O219" s="3"/>
      <c r="P219" s="3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3"/>
      <c r="K220" s="3"/>
      <c r="L220" s="3"/>
      <c r="M220" s="3"/>
      <c r="N220" s="3"/>
      <c r="O220" s="3"/>
      <c r="P220" s="3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3"/>
      <c r="K221" s="3"/>
      <c r="L221" s="3"/>
      <c r="M221" s="3"/>
      <c r="N221" s="3"/>
      <c r="O221" s="3"/>
      <c r="P221" s="3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3"/>
      <c r="K222" s="3"/>
      <c r="L222" s="3"/>
      <c r="M222" s="3"/>
      <c r="N222" s="3"/>
      <c r="O222" s="3"/>
      <c r="P222" s="3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3"/>
      <c r="K223" s="3"/>
      <c r="L223" s="3"/>
      <c r="M223" s="3"/>
      <c r="N223" s="3"/>
      <c r="O223" s="3"/>
      <c r="P223" s="3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3"/>
      <c r="K224" s="3"/>
      <c r="L224" s="3"/>
      <c r="M224" s="3"/>
      <c r="N224" s="3"/>
      <c r="O224" s="3"/>
      <c r="P224" s="3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3"/>
      <c r="K225" s="3"/>
      <c r="L225" s="3"/>
      <c r="M225" s="3"/>
      <c r="N225" s="3"/>
      <c r="O225" s="3"/>
      <c r="P225" s="3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3"/>
      <c r="K226" s="3"/>
      <c r="L226" s="3"/>
      <c r="M226" s="3"/>
      <c r="N226" s="3"/>
      <c r="O226" s="3"/>
      <c r="P226" s="3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3"/>
      <c r="K227" s="3"/>
      <c r="L227" s="3"/>
      <c r="M227" s="3"/>
      <c r="N227" s="3"/>
      <c r="O227" s="3"/>
      <c r="P227" s="3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3"/>
      <c r="K228" s="3"/>
      <c r="L228" s="3"/>
      <c r="M228" s="3"/>
      <c r="N228" s="3"/>
      <c r="O228" s="3"/>
      <c r="P228" s="3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3"/>
      <c r="K229" s="3"/>
      <c r="L229" s="3"/>
      <c r="M229" s="3"/>
      <c r="N229" s="3"/>
      <c r="O229" s="3"/>
      <c r="P229" s="3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3"/>
      <c r="K230" s="3"/>
      <c r="L230" s="3"/>
      <c r="M230" s="3"/>
      <c r="N230" s="3"/>
      <c r="O230" s="3"/>
      <c r="P230" s="3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3"/>
      <c r="K231" s="3"/>
      <c r="L231" s="3"/>
      <c r="M231" s="3"/>
      <c r="N231" s="3"/>
      <c r="O231" s="3"/>
      <c r="P231" s="3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3"/>
      <c r="K232" s="3"/>
      <c r="L232" s="3"/>
      <c r="M232" s="3"/>
      <c r="N232" s="3"/>
      <c r="O232" s="3"/>
      <c r="P232" s="3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3"/>
      <c r="K233" s="3"/>
      <c r="L233" s="3"/>
      <c r="M233" s="3"/>
      <c r="N233" s="3"/>
      <c r="O233" s="3"/>
      <c r="P233" s="3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3"/>
      <c r="K234" s="3"/>
      <c r="L234" s="3"/>
      <c r="M234" s="3"/>
      <c r="N234" s="3"/>
      <c r="O234" s="3"/>
      <c r="P234" s="3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3"/>
      <c r="K235" s="3"/>
      <c r="L235" s="3"/>
      <c r="M235" s="3"/>
      <c r="N235" s="3"/>
      <c r="O235" s="3"/>
      <c r="P235" s="3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3"/>
      <c r="K236" s="3"/>
      <c r="L236" s="3"/>
      <c r="M236" s="3"/>
      <c r="N236" s="3"/>
      <c r="O236" s="3"/>
      <c r="P236" s="3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3"/>
      <c r="K237" s="3"/>
      <c r="L237" s="3"/>
      <c r="M237" s="3"/>
      <c r="N237" s="3"/>
      <c r="O237" s="3"/>
      <c r="P237" s="3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3"/>
      <c r="K238" s="3"/>
      <c r="L238" s="3"/>
      <c r="M238" s="3"/>
      <c r="N238" s="3"/>
      <c r="O238" s="3"/>
      <c r="P238" s="3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3"/>
      <c r="K239" s="3"/>
      <c r="L239" s="3"/>
      <c r="M239" s="3"/>
      <c r="N239" s="3"/>
      <c r="O239" s="3"/>
      <c r="P239" s="3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3"/>
      <c r="K240" s="3"/>
      <c r="L240" s="3"/>
      <c r="M240" s="3"/>
      <c r="N240" s="3"/>
      <c r="O240" s="3"/>
      <c r="P240" s="3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3"/>
      <c r="K241" s="3"/>
      <c r="L241" s="3"/>
      <c r="M241" s="3"/>
      <c r="N241" s="3"/>
      <c r="O241" s="3"/>
      <c r="P241" s="3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3"/>
      <c r="K242" s="3"/>
      <c r="L242" s="3"/>
      <c r="M242" s="3"/>
      <c r="N242" s="3"/>
      <c r="O242" s="3"/>
      <c r="P242" s="3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3"/>
      <c r="K243" s="3"/>
      <c r="L243" s="3"/>
      <c r="M243" s="3"/>
      <c r="N243" s="3"/>
      <c r="O243" s="3"/>
      <c r="P243" s="3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3"/>
      <c r="K244" s="3"/>
      <c r="L244" s="3"/>
      <c r="M244" s="3"/>
      <c r="N244" s="3"/>
      <c r="O244" s="3"/>
      <c r="P244" s="3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3"/>
      <c r="K245" s="3"/>
      <c r="L245" s="3"/>
      <c r="M245" s="3"/>
      <c r="N245" s="3"/>
      <c r="O245" s="3"/>
      <c r="P245" s="3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3"/>
      <c r="K246" s="3"/>
      <c r="L246" s="3"/>
      <c r="M246" s="3"/>
      <c r="N246" s="3"/>
      <c r="O246" s="3"/>
      <c r="P246" s="3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3"/>
      <c r="K247" s="3"/>
      <c r="L247" s="3"/>
      <c r="M247" s="3"/>
      <c r="N247" s="3"/>
      <c r="O247" s="3"/>
      <c r="P247" s="3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3"/>
      <c r="K248" s="3"/>
      <c r="L248" s="3"/>
      <c r="M248" s="3"/>
      <c r="N248" s="3"/>
      <c r="O248" s="3"/>
      <c r="P248" s="3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3"/>
      <c r="K249" s="3"/>
      <c r="L249" s="3"/>
      <c r="M249" s="3"/>
      <c r="N249" s="3"/>
      <c r="O249" s="3"/>
      <c r="P249" s="3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3"/>
      <c r="K250" s="3"/>
      <c r="L250" s="3"/>
      <c r="M250" s="3"/>
      <c r="N250" s="3"/>
      <c r="O250" s="3"/>
      <c r="P250" s="3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3"/>
      <c r="K251" s="3"/>
      <c r="L251" s="3"/>
      <c r="M251" s="3"/>
      <c r="N251" s="3"/>
      <c r="O251" s="3"/>
      <c r="P251" s="3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3"/>
      <c r="K252" s="3"/>
      <c r="L252" s="3"/>
      <c r="M252" s="3"/>
      <c r="N252" s="3"/>
      <c r="O252" s="3"/>
      <c r="P252" s="3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3"/>
      <c r="K253" s="3"/>
      <c r="L253" s="3"/>
      <c r="M253" s="3"/>
      <c r="N253" s="3"/>
      <c r="O253" s="3"/>
      <c r="P253" s="3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3"/>
      <c r="K254" s="3"/>
      <c r="L254" s="3"/>
      <c r="M254" s="3"/>
      <c r="N254" s="3"/>
      <c r="O254" s="3"/>
      <c r="P254" s="3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3"/>
      <c r="K255" s="3"/>
      <c r="L255" s="3"/>
      <c r="M255" s="3"/>
      <c r="N255" s="3"/>
      <c r="O255" s="3"/>
      <c r="P255" s="3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3"/>
      <c r="K256" s="3"/>
      <c r="L256" s="3"/>
      <c r="M256" s="3"/>
      <c r="N256" s="3"/>
      <c r="O256" s="3"/>
      <c r="P256" s="3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3"/>
      <c r="K257" s="3"/>
      <c r="L257" s="3"/>
      <c r="M257" s="3"/>
      <c r="N257" s="3"/>
      <c r="O257" s="3"/>
      <c r="P257" s="3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3"/>
      <c r="K258" s="3"/>
      <c r="L258" s="3"/>
      <c r="M258" s="3"/>
      <c r="N258" s="3"/>
      <c r="O258" s="3"/>
      <c r="P258" s="3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3"/>
      <c r="K259" s="3"/>
      <c r="L259" s="3"/>
      <c r="M259" s="3"/>
      <c r="N259" s="3"/>
      <c r="O259" s="3"/>
      <c r="P259" s="3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3"/>
      <c r="K260" s="3"/>
      <c r="L260" s="3"/>
      <c r="M260" s="3"/>
      <c r="N260" s="3"/>
      <c r="O260" s="3"/>
      <c r="P260" s="3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3"/>
      <c r="K261" s="3"/>
      <c r="L261" s="3"/>
      <c r="M261" s="3"/>
      <c r="N261" s="3"/>
      <c r="O261" s="3"/>
      <c r="P261" s="3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3"/>
      <c r="K262" s="3"/>
      <c r="L262" s="3"/>
      <c r="M262" s="3"/>
      <c r="N262" s="3"/>
      <c r="O262" s="3"/>
      <c r="P262" s="3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3"/>
      <c r="K263" s="3"/>
      <c r="L263" s="3"/>
      <c r="M263" s="3"/>
      <c r="N263" s="3"/>
      <c r="O263" s="3"/>
      <c r="P263" s="3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3"/>
      <c r="K264" s="3"/>
      <c r="L264" s="3"/>
      <c r="M264" s="3"/>
      <c r="N264" s="3"/>
      <c r="O264" s="3"/>
      <c r="P264" s="3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3"/>
      <c r="K265" s="3"/>
      <c r="L265" s="3"/>
      <c r="M265" s="3"/>
      <c r="N265" s="3"/>
      <c r="O265" s="3"/>
      <c r="P265" s="3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3"/>
      <c r="K266" s="3"/>
      <c r="L266" s="3"/>
      <c r="M266" s="3"/>
      <c r="N266" s="3"/>
      <c r="O266" s="3"/>
      <c r="P266" s="3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3"/>
      <c r="K267" s="3"/>
      <c r="L267" s="3"/>
      <c r="M267" s="3"/>
      <c r="N267" s="3"/>
      <c r="O267" s="3"/>
      <c r="P267" s="3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3"/>
      <c r="K268" s="3"/>
      <c r="L268" s="3"/>
      <c r="M268" s="3"/>
      <c r="N268" s="3"/>
      <c r="O268" s="3"/>
      <c r="P268" s="3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3"/>
      <c r="K269" s="3"/>
      <c r="L269" s="3"/>
      <c r="M269" s="3"/>
      <c r="N269" s="3"/>
      <c r="O269" s="3"/>
      <c r="P269" s="3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3"/>
      <c r="K270" s="3"/>
      <c r="L270" s="3"/>
      <c r="M270" s="3"/>
      <c r="N270" s="3"/>
      <c r="O270" s="3"/>
      <c r="P270" s="3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3"/>
      <c r="K271" s="3"/>
      <c r="L271" s="3"/>
      <c r="M271" s="3"/>
      <c r="N271" s="3"/>
      <c r="O271" s="3"/>
      <c r="P271" s="3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3"/>
      <c r="K272" s="3"/>
      <c r="L272" s="3"/>
      <c r="M272" s="3"/>
      <c r="N272" s="3"/>
      <c r="O272" s="3"/>
      <c r="P272" s="3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3"/>
      <c r="K273" s="3"/>
      <c r="L273" s="3"/>
      <c r="M273" s="3"/>
      <c r="N273" s="3"/>
      <c r="O273" s="3"/>
      <c r="P273" s="3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3"/>
      <c r="K274" s="3"/>
      <c r="L274" s="3"/>
      <c r="M274" s="3"/>
      <c r="N274" s="3"/>
      <c r="O274" s="3"/>
      <c r="P274" s="3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3"/>
      <c r="K275" s="3"/>
      <c r="L275" s="3"/>
      <c r="M275" s="3"/>
      <c r="N275" s="3"/>
      <c r="O275" s="3"/>
      <c r="P275" s="3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3"/>
      <c r="K276" s="3"/>
      <c r="L276" s="3"/>
      <c r="M276" s="3"/>
      <c r="N276" s="3"/>
      <c r="O276" s="3"/>
      <c r="P276" s="3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3"/>
      <c r="K277" s="3"/>
      <c r="L277" s="3"/>
      <c r="M277" s="3"/>
      <c r="N277" s="3"/>
      <c r="O277" s="3"/>
      <c r="P277" s="3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3"/>
      <c r="K278" s="3"/>
      <c r="L278" s="3"/>
      <c r="M278" s="3"/>
      <c r="N278" s="3"/>
      <c r="O278" s="3"/>
      <c r="P278" s="3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3"/>
      <c r="K279" s="3"/>
      <c r="L279" s="3"/>
      <c r="M279" s="3"/>
      <c r="N279" s="3"/>
      <c r="O279" s="3"/>
      <c r="P279" s="3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3"/>
      <c r="K280" s="3"/>
      <c r="L280" s="3"/>
      <c r="M280" s="3"/>
      <c r="N280" s="3"/>
      <c r="O280" s="3"/>
      <c r="P280" s="3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3"/>
      <c r="K281" s="3"/>
      <c r="L281" s="3"/>
      <c r="M281" s="3"/>
      <c r="N281" s="3"/>
      <c r="O281" s="3"/>
      <c r="P281" s="3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3"/>
      <c r="K282" s="3"/>
      <c r="L282" s="3"/>
      <c r="M282" s="3"/>
      <c r="N282" s="3"/>
      <c r="O282" s="3"/>
      <c r="P282" s="3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3"/>
      <c r="K283" s="3"/>
      <c r="L283" s="3"/>
      <c r="M283" s="3"/>
      <c r="N283" s="3"/>
      <c r="O283" s="3"/>
      <c r="P283" s="3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3"/>
      <c r="K284" s="3"/>
      <c r="L284" s="3"/>
      <c r="M284" s="3"/>
      <c r="N284" s="3"/>
      <c r="O284" s="3"/>
      <c r="P284" s="3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3"/>
      <c r="K285" s="3"/>
      <c r="L285" s="3"/>
      <c r="M285" s="3"/>
      <c r="N285" s="3"/>
      <c r="O285" s="3"/>
      <c r="P285" s="3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3"/>
      <c r="K286" s="3"/>
      <c r="L286" s="3"/>
      <c r="M286" s="3"/>
      <c r="N286" s="3"/>
      <c r="O286" s="3"/>
      <c r="P286" s="3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3"/>
      <c r="K287" s="3"/>
      <c r="L287" s="3"/>
      <c r="M287" s="3"/>
      <c r="N287" s="3"/>
      <c r="O287" s="3"/>
      <c r="P287" s="3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3"/>
      <c r="K288" s="3"/>
      <c r="L288" s="3"/>
      <c r="M288" s="3"/>
      <c r="N288" s="3"/>
      <c r="O288" s="3"/>
      <c r="P288" s="3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3"/>
      <c r="K289" s="3"/>
      <c r="L289" s="3"/>
      <c r="M289" s="3"/>
      <c r="N289" s="3"/>
      <c r="O289" s="3"/>
      <c r="P289" s="3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3"/>
      <c r="K290" s="3"/>
      <c r="L290" s="3"/>
      <c r="M290" s="3"/>
      <c r="N290" s="3"/>
      <c r="O290" s="3"/>
      <c r="P290" s="3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3"/>
      <c r="K291" s="3"/>
      <c r="L291" s="3"/>
      <c r="M291" s="3"/>
      <c r="N291" s="3"/>
      <c r="O291" s="3"/>
      <c r="P291" s="3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3"/>
      <c r="K292" s="3"/>
      <c r="L292" s="3"/>
      <c r="M292" s="3"/>
      <c r="N292" s="3"/>
      <c r="O292" s="3"/>
      <c r="P292" s="3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3"/>
      <c r="K293" s="3"/>
      <c r="L293" s="3"/>
      <c r="M293" s="3"/>
      <c r="N293" s="3"/>
      <c r="O293" s="3"/>
      <c r="P293" s="3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3"/>
      <c r="K294" s="3"/>
      <c r="L294" s="3"/>
      <c r="M294" s="3"/>
      <c r="N294" s="3"/>
      <c r="O294" s="3"/>
      <c r="P294" s="3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3"/>
      <c r="K295" s="3"/>
      <c r="L295" s="3"/>
      <c r="M295" s="3"/>
      <c r="N295" s="3"/>
      <c r="O295" s="3"/>
      <c r="P295" s="3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3"/>
      <c r="K296" s="3"/>
      <c r="L296" s="3"/>
      <c r="M296" s="3"/>
      <c r="N296" s="3"/>
      <c r="O296" s="3"/>
      <c r="P296" s="3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3"/>
      <c r="K297" s="3"/>
      <c r="L297" s="3"/>
      <c r="M297" s="3"/>
      <c r="N297" s="3"/>
      <c r="O297" s="3"/>
      <c r="P297" s="3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3"/>
      <c r="K298" s="3"/>
      <c r="L298" s="3"/>
      <c r="M298" s="3"/>
      <c r="N298" s="3"/>
      <c r="O298" s="3"/>
      <c r="P298" s="3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3"/>
      <c r="K299" s="3"/>
      <c r="L299" s="3"/>
      <c r="M299" s="3"/>
      <c r="N299" s="3"/>
      <c r="O299" s="3"/>
      <c r="P299" s="3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3"/>
      <c r="K300" s="3"/>
      <c r="L300" s="3"/>
      <c r="M300" s="3"/>
      <c r="N300" s="3"/>
      <c r="O300" s="3"/>
      <c r="P300" s="3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3"/>
      <c r="K301" s="3"/>
      <c r="L301" s="3"/>
      <c r="M301" s="3"/>
      <c r="N301" s="3"/>
      <c r="O301" s="3"/>
      <c r="P301" s="3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3"/>
      <c r="K302" s="3"/>
      <c r="L302" s="3"/>
      <c r="M302" s="3"/>
      <c r="N302" s="3"/>
      <c r="O302" s="3"/>
      <c r="P302" s="3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3"/>
      <c r="K303" s="3"/>
      <c r="L303" s="3"/>
      <c r="M303" s="3"/>
      <c r="N303" s="3"/>
      <c r="O303" s="3"/>
      <c r="P303" s="3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3"/>
      <c r="K304" s="3"/>
      <c r="L304" s="3"/>
      <c r="M304" s="3"/>
      <c r="N304" s="3"/>
      <c r="O304" s="3"/>
      <c r="P304" s="3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3"/>
      <c r="K305" s="3"/>
      <c r="L305" s="3"/>
      <c r="M305" s="3"/>
      <c r="N305" s="3"/>
      <c r="O305" s="3"/>
      <c r="P305" s="3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3"/>
      <c r="K306" s="3"/>
      <c r="L306" s="3"/>
      <c r="M306" s="3"/>
      <c r="N306" s="3"/>
      <c r="O306" s="3"/>
      <c r="P306" s="3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3"/>
      <c r="K307" s="3"/>
      <c r="L307" s="3"/>
      <c r="M307" s="3"/>
      <c r="N307" s="3"/>
      <c r="O307" s="3"/>
      <c r="P307" s="3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3"/>
      <c r="K308" s="3"/>
      <c r="L308" s="3"/>
      <c r="M308" s="3"/>
      <c r="N308" s="3"/>
      <c r="O308" s="3"/>
      <c r="P308" s="3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3"/>
      <c r="K309" s="3"/>
      <c r="L309" s="3"/>
      <c r="M309" s="3"/>
      <c r="N309" s="3"/>
      <c r="O309" s="3"/>
      <c r="P309" s="3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3"/>
      <c r="K310" s="3"/>
      <c r="L310" s="3"/>
      <c r="M310" s="3"/>
      <c r="N310" s="3"/>
      <c r="O310" s="3"/>
      <c r="P310" s="3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3"/>
      <c r="K311" s="3"/>
      <c r="L311" s="3"/>
      <c r="M311" s="3"/>
      <c r="N311" s="3"/>
      <c r="O311" s="3"/>
      <c r="P311" s="3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3"/>
      <c r="K312" s="3"/>
      <c r="L312" s="3"/>
      <c r="M312" s="3"/>
      <c r="N312" s="3"/>
      <c r="O312" s="3"/>
      <c r="P312" s="3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3"/>
      <c r="K313" s="3"/>
      <c r="L313" s="3"/>
      <c r="M313" s="3"/>
      <c r="N313" s="3"/>
      <c r="O313" s="3"/>
      <c r="P313" s="3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3"/>
      <c r="K314" s="3"/>
      <c r="L314" s="3"/>
      <c r="M314" s="3"/>
      <c r="N314" s="3"/>
      <c r="O314" s="3"/>
      <c r="P314" s="3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3"/>
      <c r="K315" s="3"/>
      <c r="L315" s="3"/>
      <c r="M315" s="3"/>
      <c r="N315" s="3"/>
      <c r="O315" s="3"/>
      <c r="P315" s="3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3"/>
      <c r="K316" s="3"/>
      <c r="L316" s="3"/>
      <c r="M316" s="3"/>
      <c r="N316" s="3"/>
      <c r="O316" s="3"/>
      <c r="P316" s="3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3"/>
      <c r="K317" s="3"/>
      <c r="L317" s="3"/>
      <c r="M317" s="3"/>
      <c r="N317" s="3"/>
      <c r="O317" s="3"/>
      <c r="P317" s="3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3"/>
      <c r="K318" s="3"/>
      <c r="L318" s="3"/>
      <c r="M318" s="3"/>
      <c r="N318" s="3"/>
      <c r="O318" s="3"/>
      <c r="P318" s="3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3"/>
      <c r="K319" s="3"/>
      <c r="L319" s="3"/>
      <c r="M319" s="3"/>
      <c r="N319" s="3"/>
      <c r="O319" s="3"/>
      <c r="P319" s="3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3"/>
      <c r="K320" s="3"/>
      <c r="L320" s="3"/>
      <c r="M320" s="3"/>
      <c r="N320" s="3"/>
      <c r="O320" s="3"/>
      <c r="P320" s="3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3"/>
      <c r="K321" s="3"/>
      <c r="L321" s="3"/>
      <c r="M321" s="3"/>
      <c r="N321" s="3"/>
      <c r="O321" s="3"/>
      <c r="P321" s="3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3"/>
      <c r="K322" s="3"/>
      <c r="L322" s="3"/>
      <c r="M322" s="3"/>
      <c r="N322" s="3"/>
      <c r="O322" s="3"/>
      <c r="P322" s="3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3"/>
      <c r="K323" s="3"/>
      <c r="L323" s="3"/>
      <c r="M323" s="3"/>
      <c r="N323" s="3"/>
      <c r="O323" s="3"/>
      <c r="P323" s="3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3"/>
      <c r="K324" s="3"/>
      <c r="L324" s="3"/>
      <c r="M324" s="3"/>
      <c r="N324" s="3"/>
      <c r="O324" s="3"/>
      <c r="P324" s="3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3"/>
      <c r="K325" s="3"/>
      <c r="L325" s="3"/>
      <c r="M325" s="3"/>
      <c r="N325" s="3"/>
      <c r="O325" s="3"/>
      <c r="P325" s="3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2.5" x14ac:dyDescent="0.25">
      <c r="J326" s="115"/>
      <c r="K326" s="115"/>
      <c r="L326" s="115"/>
      <c r="M326" s="115"/>
      <c r="N326" s="115"/>
      <c r="O326" s="115"/>
      <c r="P326" s="115"/>
    </row>
    <row r="327" spans="1:30" ht="12.5" x14ac:dyDescent="0.25">
      <c r="J327" s="115"/>
      <c r="K327" s="115"/>
      <c r="L327" s="115"/>
      <c r="M327" s="115"/>
      <c r="N327" s="115"/>
      <c r="O327" s="115"/>
      <c r="P327" s="115"/>
    </row>
    <row r="328" spans="1:30" ht="12.5" x14ac:dyDescent="0.25">
      <c r="J328" s="115"/>
      <c r="K328" s="115"/>
      <c r="L328" s="115"/>
      <c r="M328" s="115"/>
      <c r="N328" s="115"/>
      <c r="O328" s="115"/>
      <c r="P328" s="115"/>
    </row>
    <row r="329" spans="1:30" ht="12.5" x14ac:dyDescent="0.25">
      <c r="J329" s="115"/>
      <c r="K329" s="115"/>
      <c r="L329" s="115"/>
      <c r="M329" s="115"/>
      <c r="N329" s="115"/>
      <c r="O329" s="115"/>
      <c r="P329" s="115"/>
    </row>
    <row r="330" spans="1:30" ht="12.5" x14ac:dyDescent="0.25">
      <c r="J330" s="115"/>
      <c r="K330" s="115"/>
      <c r="L330" s="115"/>
      <c r="M330" s="115"/>
      <c r="N330" s="115"/>
      <c r="O330" s="115"/>
      <c r="P330" s="115"/>
    </row>
    <row r="331" spans="1:30" ht="12.5" x14ac:dyDescent="0.25">
      <c r="J331" s="115"/>
      <c r="K331" s="115"/>
      <c r="L331" s="115"/>
      <c r="M331" s="115"/>
      <c r="N331" s="115"/>
      <c r="O331" s="115"/>
      <c r="P331" s="115"/>
    </row>
    <row r="332" spans="1:30" ht="12.5" x14ac:dyDescent="0.25">
      <c r="J332" s="115"/>
      <c r="K332" s="115"/>
      <c r="L332" s="115"/>
      <c r="M332" s="115"/>
      <c r="N332" s="115"/>
      <c r="O332" s="115"/>
      <c r="P332" s="115"/>
    </row>
    <row r="333" spans="1:30" ht="12.5" x14ac:dyDescent="0.25">
      <c r="J333" s="115"/>
      <c r="K333" s="115"/>
      <c r="L333" s="115"/>
      <c r="M333" s="115"/>
      <c r="N333" s="115"/>
      <c r="O333" s="115"/>
      <c r="P333" s="115"/>
    </row>
    <row r="334" spans="1:30" ht="12.5" x14ac:dyDescent="0.25">
      <c r="J334" s="115"/>
      <c r="K334" s="115"/>
      <c r="L334" s="115"/>
      <c r="M334" s="115"/>
      <c r="N334" s="115"/>
      <c r="O334" s="115"/>
      <c r="P334" s="115"/>
    </row>
    <row r="335" spans="1:30" ht="12.5" x14ac:dyDescent="0.25">
      <c r="J335" s="115"/>
      <c r="K335" s="115"/>
      <c r="L335" s="115"/>
      <c r="M335" s="115"/>
      <c r="N335" s="115"/>
      <c r="O335" s="115"/>
      <c r="P335" s="115"/>
    </row>
    <row r="336" spans="1:30" ht="12.5" x14ac:dyDescent="0.25">
      <c r="J336" s="115"/>
      <c r="K336" s="115"/>
      <c r="L336" s="115"/>
      <c r="M336" s="115"/>
      <c r="N336" s="115"/>
      <c r="O336" s="115"/>
      <c r="P336" s="115"/>
    </row>
    <row r="337" spans="10:16" ht="12.5" x14ac:dyDescent="0.25">
      <c r="J337" s="115"/>
      <c r="K337" s="115"/>
      <c r="L337" s="115"/>
      <c r="M337" s="115"/>
      <c r="N337" s="115"/>
      <c r="O337" s="115"/>
      <c r="P337" s="115"/>
    </row>
    <row r="338" spans="10:16" ht="12.5" x14ac:dyDescent="0.25">
      <c r="J338" s="115"/>
      <c r="K338" s="115"/>
      <c r="L338" s="115"/>
      <c r="M338" s="115"/>
      <c r="N338" s="115"/>
      <c r="O338" s="115"/>
      <c r="P338" s="115"/>
    </row>
    <row r="339" spans="10:16" ht="12.5" x14ac:dyDescent="0.25">
      <c r="J339" s="115"/>
      <c r="K339" s="115"/>
      <c r="L339" s="115"/>
      <c r="M339" s="115"/>
      <c r="N339" s="115"/>
      <c r="O339" s="115"/>
      <c r="P339" s="115"/>
    </row>
    <row r="340" spans="10:16" ht="12.5" x14ac:dyDescent="0.25">
      <c r="J340" s="115"/>
      <c r="K340" s="115"/>
      <c r="L340" s="115"/>
      <c r="M340" s="115"/>
      <c r="N340" s="115"/>
      <c r="O340" s="115"/>
      <c r="P340" s="115"/>
    </row>
    <row r="341" spans="10:16" ht="12.5" x14ac:dyDescent="0.25">
      <c r="J341" s="115"/>
      <c r="K341" s="115"/>
      <c r="L341" s="115"/>
      <c r="M341" s="115"/>
      <c r="N341" s="115"/>
      <c r="O341" s="115"/>
      <c r="P341" s="115"/>
    </row>
    <row r="342" spans="10:16" ht="12.5" x14ac:dyDescent="0.25">
      <c r="J342" s="115"/>
      <c r="K342" s="115"/>
      <c r="L342" s="115"/>
      <c r="M342" s="115"/>
      <c r="N342" s="115"/>
      <c r="O342" s="115"/>
      <c r="P342" s="115"/>
    </row>
    <row r="343" spans="10:16" ht="12.5" x14ac:dyDescent="0.25">
      <c r="J343" s="115"/>
      <c r="K343" s="115"/>
      <c r="L343" s="115"/>
      <c r="M343" s="115"/>
      <c r="N343" s="115"/>
      <c r="O343" s="115"/>
      <c r="P343" s="115"/>
    </row>
    <row r="344" spans="10:16" ht="12.5" x14ac:dyDescent="0.25">
      <c r="J344" s="115"/>
      <c r="K344" s="115"/>
      <c r="L344" s="115"/>
      <c r="M344" s="115"/>
      <c r="N344" s="115"/>
      <c r="O344" s="115"/>
      <c r="P344" s="115"/>
    </row>
    <row r="345" spans="10:16" ht="12.5" x14ac:dyDescent="0.25">
      <c r="J345" s="115"/>
      <c r="K345" s="115"/>
      <c r="L345" s="115"/>
      <c r="M345" s="115"/>
      <c r="N345" s="115"/>
      <c r="O345" s="115"/>
      <c r="P345" s="115"/>
    </row>
    <row r="346" spans="10:16" ht="12.5" x14ac:dyDescent="0.25">
      <c r="J346" s="115"/>
      <c r="K346" s="115"/>
      <c r="L346" s="115"/>
      <c r="M346" s="115"/>
      <c r="N346" s="115"/>
      <c r="O346" s="115"/>
      <c r="P346" s="115"/>
    </row>
    <row r="347" spans="10:16" ht="12.5" x14ac:dyDescent="0.25">
      <c r="J347" s="115"/>
      <c r="K347" s="115"/>
      <c r="L347" s="115"/>
      <c r="M347" s="115"/>
      <c r="N347" s="115"/>
      <c r="O347" s="115"/>
      <c r="P347" s="115"/>
    </row>
    <row r="348" spans="10:16" ht="12.5" x14ac:dyDescent="0.25">
      <c r="J348" s="115"/>
      <c r="K348" s="115"/>
      <c r="L348" s="115"/>
      <c r="M348" s="115"/>
      <c r="N348" s="115"/>
      <c r="O348" s="115"/>
      <c r="P348" s="115"/>
    </row>
    <row r="349" spans="10:16" ht="12.5" x14ac:dyDescent="0.25">
      <c r="J349" s="115"/>
      <c r="K349" s="115"/>
      <c r="L349" s="115"/>
      <c r="M349" s="115"/>
      <c r="N349" s="115"/>
      <c r="O349" s="115"/>
      <c r="P349" s="115"/>
    </row>
    <row r="350" spans="10:16" ht="12.5" x14ac:dyDescent="0.25">
      <c r="J350" s="115"/>
      <c r="K350" s="115"/>
      <c r="L350" s="115"/>
      <c r="M350" s="115"/>
      <c r="N350" s="115"/>
      <c r="O350" s="115"/>
      <c r="P350" s="115"/>
    </row>
    <row r="351" spans="10:16" ht="12.5" x14ac:dyDescent="0.25">
      <c r="J351" s="115"/>
      <c r="K351" s="115"/>
      <c r="L351" s="115"/>
      <c r="M351" s="115"/>
      <c r="N351" s="115"/>
      <c r="O351" s="115"/>
      <c r="P351" s="115"/>
    </row>
    <row r="352" spans="10:16" ht="12.5" x14ac:dyDescent="0.25">
      <c r="J352" s="115"/>
      <c r="K352" s="115"/>
      <c r="L352" s="115"/>
      <c r="M352" s="115"/>
      <c r="N352" s="115"/>
      <c r="O352" s="115"/>
      <c r="P352" s="115"/>
    </row>
    <row r="353" spans="10:16" ht="12.5" x14ac:dyDescent="0.25">
      <c r="J353" s="115"/>
      <c r="K353" s="115"/>
      <c r="L353" s="115"/>
      <c r="M353" s="115"/>
      <c r="N353" s="115"/>
      <c r="O353" s="115"/>
      <c r="P353" s="115"/>
    </row>
    <row r="354" spans="10:16" ht="12.5" x14ac:dyDescent="0.25">
      <c r="J354" s="115"/>
      <c r="K354" s="115"/>
      <c r="L354" s="115"/>
      <c r="M354" s="115"/>
      <c r="N354" s="115"/>
      <c r="O354" s="115"/>
      <c r="P354" s="115"/>
    </row>
    <row r="355" spans="10:16" ht="12.5" x14ac:dyDescent="0.25">
      <c r="J355" s="115"/>
      <c r="K355" s="115"/>
      <c r="L355" s="115"/>
      <c r="M355" s="115"/>
      <c r="N355" s="115"/>
      <c r="O355" s="115"/>
      <c r="P355" s="115"/>
    </row>
    <row r="356" spans="10:16" ht="12.5" x14ac:dyDescent="0.25">
      <c r="J356" s="115"/>
      <c r="K356" s="115"/>
      <c r="L356" s="115"/>
      <c r="M356" s="115"/>
      <c r="N356" s="115"/>
      <c r="O356" s="115"/>
      <c r="P356" s="115"/>
    </row>
    <row r="357" spans="10:16" ht="12.5" x14ac:dyDescent="0.25">
      <c r="J357" s="115"/>
      <c r="K357" s="115"/>
      <c r="L357" s="115"/>
      <c r="M357" s="115"/>
      <c r="N357" s="115"/>
      <c r="O357" s="115"/>
      <c r="P357" s="115"/>
    </row>
    <row r="358" spans="10:16" ht="12.5" x14ac:dyDescent="0.25">
      <c r="J358" s="115"/>
      <c r="K358" s="115"/>
      <c r="L358" s="115"/>
      <c r="M358" s="115"/>
      <c r="N358" s="115"/>
      <c r="O358" s="115"/>
      <c r="P358" s="115"/>
    </row>
    <row r="359" spans="10:16" ht="12.5" x14ac:dyDescent="0.25">
      <c r="J359" s="115"/>
      <c r="K359" s="115"/>
      <c r="L359" s="115"/>
      <c r="M359" s="115"/>
      <c r="N359" s="115"/>
      <c r="O359" s="115"/>
      <c r="P359" s="115"/>
    </row>
    <row r="360" spans="10:16" ht="12.5" x14ac:dyDescent="0.25">
      <c r="J360" s="115"/>
      <c r="K360" s="115"/>
      <c r="L360" s="115"/>
      <c r="M360" s="115"/>
      <c r="N360" s="115"/>
      <c r="O360" s="115"/>
      <c r="P360" s="115"/>
    </row>
    <row r="361" spans="10:16" ht="12.5" x14ac:dyDescent="0.25">
      <c r="J361" s="115"/>
      <c r="K361" s="115"/>
      <c r="L361" s="115"/>
      <c r="M361" s="115"/>
      <c r="N361" s="115"/>
      <c r="O361" s="115"/>
      <c r="P361" s="115"/>
    </row>
    <row r="362" spans="10:16" ht="12.5" x14ac:dyDescent="0.25">
      <c r="J362" s="115"/>
      <c r="K362" s="115"/>
      <c r="L362" s="115"/>
      <c r="M362" s="115"/>
      <c r="N362" s="115"/>
      <c r="O362" s="115"/>
      <c r="P362" s="115"/>
    </row>
    <row r="363" spans="10:16" ht="12.5" x14ac:dyDescent="0.25">
      <c r="J363" s="115"/>
      <c r="K363" s="115"/>
      <c r="L363" s="115"/>
      <c r="M363" s="115"/>
      <c r="N363" s="115"/>
      <c r="O363" s="115"/>
      <c r="P363" s="115"/>
    </row>
    <row r="364" spans="10:16" ht="12.5" x14ac:dyDescent="0.25">
      <c r="J364" s="115"/>
      <c r="K364" s="115"/>
      <c r="L364" s="115"/>
      <c r="M364" s="115"/>
      <c r="N364" s="115"/>
      <c r="O364" s="115"/>
      <c r="P364" s="115"/>
    </row>
    <row r="365" spans="10:16" ht="12.5" x14ac:dyDescent="0.25">
      <c r="J365" s="115"/>
      <c r="K365" s="115"/>
      <c r="L365" s="115"/>
      <c r="M365" s="115"/>
      <c r="N365" s="115"/>
      <c r="O365" s="115"/>
      <c r="P365" s="115"/>
    </row>
    <row r="366" spans="10:16" ht="12.5" x14ac:dyDescent="0.25">
      <c r="J366" s="115"/>
      <c r="K366" s="115"/>
      <c r="L366" s="115"/>
      <c r="M366" s="115"/>
      <c r="N366" s="115"/>
      <c r="O366" s="115"/>
      <c r="P366" s="115"/>
    </row>
    <row r="367" spans="10:16" ht="12.5" x14ac:dyDescent="0.25">
      <c r="J367" s="115"/>
      <c r="K367" s="115"/>
      <c r="L367" s="115"/>
      <c r="M367" s="115"/>
      <c r="N367" s="115"/>
      <c r="O367" s="115"/>
      <c r="P367" s="115"/>
    </row>
    <row r="368" spans="10:16" ht="12.5" x14ac:dyDescent="0.25">
      <c r="J368" s="115"/>
      <c r="K368" s="115"/>
      <c r="L368" s="115"/>
      <c r="M368" s="115"/>
      <c r="N368" s="115"/>
      <c r="O368" s="115"/>
      <c r="P368" s="115"/>
    </row>
    <row r="369" spans="10:16" ht="12.5" x14ac:dyDescent="0.25">
      <c r="J369" s="115"/>
      <c r="K369" s="115"/>
      <c r="L369" s="115"/>
      <c r="M369" s="115"/>
      <c r="N369" s="115"/>
      <c r="O369" s="115"/>
      <c r="P369" s="115"/>
    </row>
    <row r="370" spans="10:16" ht="12.5" x14ac:dyDescent="0.25">
      <c r="J370" s="115"/>
      <c r="K370" s="115"/>
      <c r="L370" s="115"/>
      <c r="M370" s="115"/>
      <c r="N370" s="115"/>
      <c r="O370" s="115"/>
      <c r="P370" s="115"/>
    </row>
    <row r="371" spans="10:16" ht="12.5" x14ac:dyDescent="0.25">
      <c r="J371" s="115"/>
      <c r="K371" s="115"/>
      <c r="L371" s="115"/>
      <c r="M371" s="115"/>
      <c r="N371" s="115"/>
      <c r="O371" s="115"/>
      <c r="P371" s="115"/>
    </row>
    <row r="372" spans="10:16" ht="12.5" x14ac:dyDescent="0.25">
      <c r="J372" s="115"/>
      <c r="K372" s="115"/>
      <c r="L372" s="115"/>
      <c r="M372" s="115"/>
      <c r="N372" s="115"/>
      <c r="O372" s="115"/>
      <c r="P372" s="115"/>
    </row>
    <row r="373" spans="10:16" ht="12.5" x14ac:dyDescent="0.25">
      <c r="J373" s="115"/>
      <c r="K373" s="115"/>
      <c r="L373" s="115"/>
      <c r="M373" s="115"/>
      <c r="N373" s="115"/>
      <c r="O373" s="115"/>
      <c r="P373" s="115"/>
    </row>
    <row r="374" spans="10:16" ht="12.5" x14ac:dyDescent="0.25">
      <c r="J374" s="115"/>
      <c r="K374" s="115"/>
      <c r="L374" s="115"/>
      <c r="M374" s="115"/>
      <c r="N374" s="115"/>
      <c r="O374" s="115"/>
      <c r="P374" s="115"/>
    </row>
    <row r="375" spans="10:16" ht="12.5" x14ac:dyDescent="0.25">
      <c r="J375" s="115"/>
      <c r="K375" s="115"/>
      <c r="L375" s="115"/>
      <c r="M375" s="115"/>
      <c r="N375" s="115"/>
      <c r="O375" s="115"/>
      <c r="P375" s="115"/>
    </row>
    <row r="376" spans="10:16" ht="12.5" x14ac:dyDescent="0.25">
      <c r="J376" s="115"/>
      <c r="K376" s="115"/>
      <c r="L376" s="115"/>
      <c r="M376" s="115"/>
      <c r="N376" s="115"/>
      <c r="O376" s="115"/>
      <c r="P376" s="115"/>
    </row>
    <row r="377" spans="10:16" ht="12.5" x14ac:dyDescent="0.25">
      <c r="J377" s="115"/>
      <c r="K377" s="115"/>
      <c r="L377" s="115"/>
      <c r="M377" s="115"/>
      <c r="N377" s="115"/>
      <c r="O377" s="115"/>
      <c r="P377" s="115"/>
    </row>
    <row r="378" spans="10:16" ht="12.5" x14ac:dyDescent="0.25">
      <c r="J378" s="115"/>
      <c r="K378" s="115"/>
      <c r="L378" s="115"/>
      <c r="M378" s="115"/>
      <c r="N378" s="115"/>
      <c r="O378" s="115"/>
      <c r="P378" s="115"/>
    </row>
    <row r="379" spans="10:16" ht="12.5" x14ac:dyDescent="0.25">
      <c r="J379" s="115"/>
      <c r="K379" s="115"/>
      <c r="L379" s="115"/>
      <c r="M379" s="115"/>
      <c r="N379" s="115"/>
      <c r="O379" s="115"/>
      <c r="P379" s="115"/>
    </row>
    <row r="380" spans="10:16" ht="12.5" x14ac:dyDescent="0.25">
      <c r="J380" s="115"/>
      <c r="K380" s="115"/>
      <c r="L380" s="115"/>
      <c r="M380" s="115"/>
      <c r="N380" s="115"/>
      <c r="O380" s="115"/>
      <c r="P380" s="115"/>
    </row>
    <row r="381" spans="10:16" ht="12.5" x14ac:dyDescent="0.25">
      <c r="J381" s="115"/>
      <c r="K381" s="115"/>
      <c r="L381" s="115"/>
      <c r="M381" s="115"/>
      <c r="N381" s="115"/>
      <c r="O381" s="115"/>
      <c r="P381" s="115"/>
    </row>
    <row r="382" spans="10:16" ht="12.5" x14ac:dyDescent="0.25">
      <c r="J382" s="115"/>
      <c r="K382" s="115"/>
      <c r="L382" s="115"/>
      <c r="M382" s="115"/>
      <c r="N382" s="115"/>
      <c r="O382" s="115"/>
      <c r="P382" s="115"/>
    </row>
    <row r="383" spans="10:16" ht="12.5" x14ac:dyDescent="0.25">
      <c r="J383" s="115"/>
      <c r="K383" s="115"/>
      <c r="L383" s="115"/>
      <c r="M383" s="115"/>
      <c r="N383" s="115"/>
      <c r="O383" s="115"/>
      <c r="P383" s="115"/>
    </row>
    <row r="384" spans="10:16" ht="12.5" x14ac:dyDescent="0.25">
      <c r="J384" s="115"/>
      <c r="K384" s="115"/>
      <c r="L384" s="115"/>
      <c r="M384" s="115"/>
      <c r="N384" s="115"/>
      <c r="O384" s="115"/>
      <c r="P384" s="115"/>
    </row>
    <row r="385" spans="10:16" ht="12.5" x14ac:dyDescent="0.25">
      <c r="J385" s="115"/>
      <c r="K385" s="115"/>
      <c r="L385" s="115"/>
      <c r="M385" s="115"/>
      <c r="N385" s="115"/>
      <c r="O385" s="115"/>
      <c r="P385" s="115"/>
    </row>
    <row r="386" spans="10:16" ht="12.5" x14ac:dyDescent="0.25">
      <c r="J386" s="115"/>
      <c r="K386" s="115"/>
      <c r="L386" s="115"/>
      <c r="M386" s="115"/>
      <c r="N386" s="115"/>
      <c r="O386" s="115"/>
      <c r="P386" s="115"/>
    </row>
    <row r="387" spans="10:16" ht="12.5" x14ac:dyDescent="0.25">
      <c r="J387" s="115"/>
      <c r="K387" s="115"/>
      <c r="L387" s="115"/>
      <c r="M387" s="115"/>
      <c r="N387" s="115"/>
      <c r="O387" s="115"/>
      <c r="P387" s="115"/>
    </row>
    <row r="388" spans="10:16" ht="12.5" x14ac:dyDescent="0.25">
      <c r="J388" s="115"/>
      <c r="K388" s="115"/>
      <c r="L388" s="115"/>
      <c r="M388" s="115"/>
      <c r="N388" s="115"/>
      <c r="O388" s="115"/>
      <c r="P388" s="115"/>
    </row>
    <row r="389" spans="10:16" ht="12.5" x14ac:dyDescent="0.25">
      <c r="J389" s="115"/>
      <c r="K389" s="115"/>
      <c r="L389" s="115"/>
      <c r="M389" s="115"/>
      <c r="N389" s="115"/>
      <c r="O389" s="115"/>
      <c r="P389" s="115"/>
    </row>
    <row r="390" spans="10:16" ht="12.5" x14ac:dyDescent="0.25">
      <c r="J390" s="115"/>
      <c r="K390" s="115"/>
      <c r="L390" s="115"/>
      <c r="M390" s="115"/>
      <c r="N390" s="115"/>
      <c r="O390" s="115"/>
      <c r="P390" s="115"/>
    </row>
    <row r="391" spans="10:16" ht="12.5" x14ac:dyDescent="0.25">
      <c r="J391" s="115"/>
      <c r="K391" s="115"/>
      <c r="L391" s="115"/>
      <c r="M391" s="115"/>
      <c r="N391" s="115"/>
      <c r="O391" s="115"/>
      <c r="P391" s="115"/>
    </row>
    <row r="392" spans="10:16" ht="12.5" x14ac:dyDescent="0.25">
      <c r="J392" s="115"/>
      <c r="K392" s="115"/>
      <c r="L392" s="115"/>
      <c r="M392" s="115"/>
      <c r="N392" s="115"/>
      <c r="O392" s="115"/>
      <c r="P392" s="115"/>
    </row>
    <row r="393" spans="10:16" ht="12.5" x14ac:dyDescent="0.25">
      <c r="J393" s="115"/>
      <c r="K393" s="115"/>
      <c r="L393" s="115"/>
      <c r="M393" s="115"/>
      <c r="N393" s="115"/>
      <c r="O393" s="115"/>
      <c r="P393" s="115"/>
    </row>
    <row r="394" spans="10:16" ht="12.5" x14ac:dyDescent="0.25">
      <c r="J394" s="115"/>
      <c r="K394" s="115"/>
      <c r="L394" s="115"/>
      <c r="M394" s="115"/>
      <c r="N394" s="115"/>
      <c r="O394" s="115"/>
      <c r="P394" s="115"/>
    </row>
    <row r="395" spans="10:16" ht="12.5" x14ac:dyDescent="0.25">
      <c r="J395" s="115"/>
      <c r="K395" s="115"/>
      <c r="L395" s="115"/>
      <c r="M395" s="115"/>
      <c r="N395" s="115"/>
      <c r="O395" s="115"/>
      <c r="P395" s="115"/>
    </row>
    <row r="396" spans="10:16" ht="12.5" x14ac:dyDescent="0.25">
      <c r="J396" s="115"/>
      <c r="K396" s="115"/>
      <c r="L396" s="115"/>
      <c r="M396" s="115"/>
      <c r="N396" s="115"/>
      <c r="O396" s="115"/>
      <c r="P396" s="115"/>
    </row>
    <row r="397" spans="10:16" ht="12.5" x14ac:dyDescent="0.25">
      <c r="J397" s="115"/>
      <c r="K397" s="115"/>
      <c r="L397" s="115"/>
      <c r="M397" s="115"/>
      <c r="N397" s="115"/>
      <c r="O397" s="115"/>
      <c r="P397" s="115"/>
    </row>
    <row r="398" spans="10:16" ht="12.5" x14ac:dyDescent="0.25">
      <c r="J398" s="115"/>
      <c r="K398" s="115"/>
      <c r="L398" s="115"/>
      <c r="M398" s="115"/>
      <c r="N398" s="115"/>
      <c r="O398" s="115"/>
      <c r="P398" s="115"/>
    </row>
    <row r="399" spans="10:16" ht="12.5" x14ac:dyDescent="0.25">
      <c r="J399" s="115"/>
      <c r="K399" s="115"/>
      <c r="L399" s="115"/>
      <c r="M399" s="115"/>
      <c r="N399" s="115"/>
      <c r="O399" s="115"/>
      <c r="P399" s="115"/>
    </row>
    <row r="400" spans="10:16" ht="12.5" x14ac:dyDescent="0.25">
      <c r="J400" s="115"/>
      <c r="K400" s="115"/>
      <c r="L400" s="115"/>
      <c r="M400" s="115"/>
      <c r="N400" s="115"/>
      <c r="O400" s="115"/>
      <c r="P400" s="115"/>
    </row>
    <row r="401" spans="10:16" ht="12.5" x14ac:dyDescent="0.25">
      <c r="J401" s="115"/>
      <c r="K401" s="115"/>
      <c r="L401" s="115"/>
      <c r="M401" s="115"/>
      <c r="N401" s="115"/>
      <c r="O401" s="115"/>
      <c r="P401" s="115"/>
    </row>
    <row r="402" spans="10:16" ht="12.5" x14ac:dyDescent="0.25">
      <c r="J402" s="115"/>
      <c r="K402" s="115"/>
      <c r="L402" s="115"/>
      <c r="M402" s="115"/>
      <c r="N402" s="115"/>
      <c r="O402" s="115"/>
      <c r="P402" s="115"/>
    </row>
    <row r="403" spans="10:16" ht="12.5" x14ac:dyDescent="0.25">
      <c r="J403" s="115"/>
      <c r="K403" s="115"/>
      <c r="L403" s="115"/>
      <c r="M403" s="115"/>
      <c r="N403" s="115"/>
      <c r="O403" s="115"/>
      <c r="P403" s="115"/>
    </row>
    <row r="404" spans="10:16" ht="12.5" x14ac:dyDescent="0.25">
      <c r="J404" s="115"/>
      <c r="K404" s="115"/>
      <c r="L404" s="115"/>
      <c r="M404" s="115"/>
      <c r="N404" s="115"/>
      <c r="O404" s="115"/>
      <c r="P404" s="115"/>
    </row>
    <row r="405" spans="10:16" ht="12.5" x14ac:dyDescent="0.25">
      <c r="J405" s="115"/>
      <c r="K405" s="115"/>
      <c r="L405" s="115"/>
      <c r="M405" s="115"/>
      <c r="N405" s="115"/>
      <c r="O405" s="115"/>
      <c r="P405" s="115"/>
    </row>
    <row r="406" spans="10:16" ht="12.5" x14ac:dyDescent="0.25">
      <c r="J406" s="115"/>
      <c r="K406" s="115"/>
      <c r="L406" s="115"/>
      <c r="M406" s="115"/>
      <c r="N406" s="115"/>
      <c r="O406" s="115"/>
      <c r="P406" s="115"/>
    </row>
    <row r="407" spans="10:16" ht="12.5" x14ac:dyDescent="0.25">
      <c r="J407" s="115"/>
      <c r="K407" s="115"/>
      <c r="L407" s="115"/>
      <c r="M407" s="115"/>
      <c r="N407" s="115"/>
      <c r="O407" s="115"/>
      <c r="P407" s="115"/>
    </row>
    <row r="408" spans="10:16" ht="12.5" x14ac:dyDescent="0.25">
      <c r="J408" s="115"/>
      <c r="K408" s="115"/>
      <c r="L408" s="115"/>
      <c r="M408" s="115"/>
      <c r="N408" s="115"/>
      <c r="O408" s="115"/>
      <c r="P408" s="115"/>
    </row>
    <row r="409" spans="10:16" ht="12.5" x14ac:dyDescent="0.25">
      <c r="J409" s="115"/>
      <c r="K409" s="115"/>
      <c r="L409" s="115"/>
      <c r="M409" s="115"/>
      <c r="N409" s="115"/>
      <c r="O409" s="115"/>
      <c r="P409" s="115"/>
    </row>
    <row r="410" spans="10:16" ht="12.5" x14ac:dyDescent="0.25">
      <c r="J410" s="115"/>
      <c r="K410" s="115"/>
      <c r="L410" s="115"/>
      <c r="M410" s="115"/>
      <c r="N410" s="115"/>
      <c r="O410" s="115"/>
      <c r="P410" s="115"/>
    </row>
    <row r="411" spans="10:16" ht="12.5" x14ac:dyDescent="0.25">
      <c r="J411" s="115"/>
      <c r="K411" s="115"/>
      <c r="L411" s="115"/>
      <c r="M411" s="115"/>
      <c r="N411" s="115"/>
      <c r="O411" s="115"/>
      <c r="P411" s="115"/>
    </row>
    <row r="412" spans="10:16" ht="12.5" x14ac:dyDescent="0.25">
      <c r="J412" s="115"/>
      <c r="K412" s="115"/>
      <c r="L412" s="115"/>
      <c r="M412" s="115"/>
      <c r="N412" s="115"/>
      <c r="O412" s="115"/>
      <c r="P412" s="115"/>
    </row>
    <row r="413" spans="10:16" ht="12.5" x14ac:dyDescent="0.25">
      <c r="J413" s="115"/>
      <c r="K413" s="115"/>
      <c r="L413" s="115"/>
      <c r="M413" s="115"/>
      <c r="N413" s="115"/>
      <c r="O413" s="115"/>
      <c r="P413" s="115"/>
    </row>
    <row r="414" spans="10:16" ht="12.5" x14ac:dyDescent="0.25">
      <c r="J414" s="115"/>
      <c r="K414" s="115"/>
      <c r="L414" s="115"/>
      <c r="M414" s="115"/>
      <c r="N414" s="115"/>
      <c r="O414" s="115"/>
      <c r="P414" s="115"/>
    </row>
    <row r="415" spans="10:16" ht="12.5" x14ac:dyDescent="0.25">
      <c r="J415" s="115"/>
      <c r="K415" s="115"/>
      <c r="L415" s="115"/>
      <c r="M415" s="115"/>
      <c r="N415" s="115"/>
      <c r="O415" s="115"/>
      <c r="P415" s="115"/>
    </row>
    <row r="416" spans="10:16" ht="12.5" x14ac:dyDescent="0.25">
      <c r="J416" s="115"/>
      <c r="K416" s="115"/>
      <c r="L416" s="115"/>
      <c r="M416" s="115"/>
      <c r="N416" s="115"/>
      <c r="O416" s="115"/>
      <c r="P416" s="115"/>
    </row>
    <row r="417" spans="10:16" ht="12.5" x14ac:dyDescent="0.25">
      <c r="J417" s="115"/>
      <c r="K417" s="115"/>
      <c r="L417" s="115"/>
      <c r="M417" s="115"/>
      <c r="N417" s="115"/>
      <c r="O417" s="115"/>
      <c r="P417" s="115"/>
    </row>
    <row r="418" spans="10:16" ht="12.5" x14ac:dyDescent="0.25">
      <c r="J418" s="115"/>
      <c r="K418" s="115"/>
      <c r="L418" s="115"/>
      <c r="M418" s="115"/>
      <c r="N418" s="115"/>
      <c r="O418" s="115"/>
      <c r="P418" s="115"/>
    </row>
    <row r="419" spans="10:16" ht="12.5" x14ac:dyDescent="0.25">
      <c r="J419" s="115"/>
      <c r="K419" s="115"/>
      <c r="L419" s="115"/>
      <c r="M419" s="115"/>
      <c r="N419" s="115"/>
      <c r="O419" s="115"/>
      <c r="P419" s="115"/>
    </row>
    <row r="420" spans="10:16" ht="12.5" x14ac:dyDescent="0.25">
      <c r="J420" s="115"/>
      <c r="K420" s="115"/>
      <c r="L420" s="115"/>
      <c r="M420" s="115"/>
      <c r="N420" s="115"/>
      <c r="O420" s="115"/>
      <c r="P420" s="115"/>
    </row>
    <row r="421" spans="10:16" ht="12.5" x14ac:dyDescent="0.25">
      <c r="J421" s="115"/>
      <c r="K421" s="115"/>
      <c r="L421" s="115"/>
      <c r="M421" s="115"/>
      <c r="N421" s="115"/>
      <c r="O421" s="115"/>
      <c r="P421" s="115"/>
    </row>
    <row r="422" spans="10:16" ht="12.5" x14ac:dyDescent="0.25">
      <c r="J422" s="115"/>
      <c r="K422" s="115"/>
      <c r="L422" s="115"/>
      <c r="M422" s="115"/>
      <c r="N422" s="115"/>
      <c r="O422" s="115"/>
      <c r="P422" s="115"/>
    </row>
    <row r="423" spans="10:16" ht="12.5" x14ac:dyDescent="0.25">
      <c r="J423" s="115"/>
      <c r="K423" s="115"/>
      <c r="L423" s="115"/>
      <c r="M423" s="115"/>
      <c r="N423" s="115"/>
      <c r="O423" s="115"/>
      <c r="P423" s="115"/>
    </row>
    <row r="424" spans="10:16" ht="12.5" x14ac:dyDescent="0.25">
      <c r="J424" s="115"/>
      <c r="K424" s="115"/>
      <c r="L424" s="115"/>
      <c r="M424" s="115"/>
      <c r="N424" s="115"/>
      <c r="O424" s="115"/>
      <c r="P424" s="115"/>
    </row>
    <row r="425" spans="10:16" ht="12.5" x14ac:dyDescent="0.25">
      <c r="J425" s="115"/>
      <c r="K425" s="115"/>
      <c r="L425" s="115"/>
      <c r="M425" s="115"/>
      <c r="N425" s="115"/>
      <c r="O425" s="115"/>
      <c r="P425" s="115"/>
    </row>
    <row r="426" spans="10:16" ht="12.5" x14ac:dyDescent="0.25">
      <c r="J426" s="115"/>
      <c r="K426" s="115"/>
      <c r="L426" s="115"/>
      <c r="M426" s="115"/>
      <c r="N426" s="115"/>
      <c r="O426" s="115"/>
      <c r="P426" s="115"/>
    </row>
    <row r="427" spans="10:16" ht="12.5" x14ac:dyDescent="0.25">
      <c r="J427" s="115"/>
      <c r="K427" s="115"/>
      <c r="L427" s="115"/>
      <c r="M427" s="115"/>
      <c r="N427" s="115"/>
      <c r="O427" s="115"/>
      <c r="P427" s="115"/>
    </row>
    <row r="428" spans="10:16" ht="12.5" x14ac:dyDescent="0.25">
      <c r="J428" s="115"/>
      <c r="K428" s="115"/>
      <c r="L428" s="115"/>
      <c r="M428" s="115"/>
      <c r="N428" s="115"/>
      <c r="O428" s="115"/>
      <c r="P428" s="115"/>
    </row>
    <row r="429" spans="10:16" ht="12.5" x14ac:dyDescent="0.25">
      <c r="J429" s="115"/>
      <c r="K429" s="115"/>
      <c r="L429" s="115"/>
      <c r="M429" s="115"/>
      <c r="N429" s="115"/>
      <c r="O429" s="115"/>
      <c r="P429" s="115"/>
    </row>
    <row r="430" spans="10:16" ht="12.5" x14ac:dyDescent="0.25">
      <c r="J430" s="115"/>
      <c r="K430" s="115"/>
      <c r="L430" s="115"/>
      <c r="M430" s="115"/>
      <c r="N430" s="115"/>
      <c r="O430" s="115"/>
      <c r="P430" s="115"/>
    </row>
    <row r="431" spans="10:16" ht="12.5" x14ac:dyDescent="0.25">
      <c r="J431" s="115"/>
      <c r="K431" s="115"/>
      <c r="L431" s="115"/>
      <c r="M431" s="115"/>
      <c r="N431" s="115"/>
      <c r="O431" s="115"/>
      <c r="P431" s="115"/>
    </row>
    <row r="432" spans="10:16" ht="12.5" x14ac:dyDescent="0.25">
      <c r="J432" s="115"/>
      <c r="K432" s="115"/>
      <c r="L432" s="115"/>
      <c r="M432" s="115"/>
      <c r="N432" s="115"/>
      <c r="O432" s="115"/>
      <c r="P432" s="115"/>
    </row>
    <row r="433" spans="10:16" ht="12.5" x14ac:dyDescent="0.25">
      <c r="J433" s="115"/>
      <c r="K433" s="115"/>
      <c r="L433" s="115"/>
      <c r="M433" s="115"/>
      <c r="N433" s="115"/>
      <c r="O433" s="115"/>
      <c r="P433" s="115"/>
    </row>
    <row r="434" spans="10:16" ht="12.5" x14ac:dyDescent="0.25">
      <c r="J434" s="115"/>
      <c r="K434" s="115"/>
      <c r="L434" s="115"/>
      <c r="M434" s="115"/>
      <c r="N434" s="115"/>
      <c r="O434" s="115"/>
      <c r="P434" s="115"/>
    </row>
    <row r="435" spans="10:16" ht="12.5" x14ac:dyDescent="0.25">
      <c r="J435" s="115"/>
      <c r="K435" s="115"/>
      <c r="L435" s="115"/>
      <c r="M435" s="115"/>
      <c r="N435" s="115"/>
      <c r="O435" s="115"/>
      <c r="P435" s="115"/>
    </row>
    <row r="436" spans="10:16" ht="12.5" x14ac:dyDescent="0.25">
      <c r="J436" s="115"/>
      <c r="K436" s="115"/>
      <c r="L436" s="115"/>
      <c r="M436" s="115"/>
      <c r="N436" s="115"/>
      <c r="O436" s="115"/>
      <c r="P436" s="115"/>
    </row>
    <row r="437" spans="10:16" ht="12.5" x14ac:dyDescent="0.25">
      <c r="J437" s="115"/>
      <c r="K437" s="115"/>
      <c r="L437" s="115"/>
      <c r="M437" s="115"/>
      <c r="N437" s="115"/>
      <c r="O437" s="115"/>
      <c r="P437" s="115"/>
    </row>
    <row r="438" spans="10:16" ht="12.5" x14ac:dyDescent="0.25">
      <c r="J438" s="115"/>
      <c r="K438" s="115"/>
      <c r="L438" s="115"/>
      <c r="M438" s="115"/>
      <c r="N438" s="115"/>
      <c r="O438" s="115"/>
      <c r="P438" s="115"/>
    </row>
    <row r="439" spans="10:16" ht="12.5" x14ac:dyDescent="0.25">
      <c r="J439" s="115"/>
      <c r="K439" s="115"/>
      <c r="L439" s="115"/>
      <c r="M439" s="115"/>
      <c r="N439" s="115"/>
      <c r="O439" s="115"/>
      <c r="P439" s="115"/>
    </row>
    <row r="440" spans="10:16" ht="12.5" x14ac:dyDescent="0.25">
      <c r="J440" s="115"/>
      <c r="K440" s="115"/>
      <c r="L440" s="115"/>
      <c r="M440" s="115"/>
      <c r="N440" s="115"/>
      <c r="O440" s="115"/>
      <c r="P440" s="115"/>
    </row>
    <row r="441" spans="10:16" ht="12.5" x14ac:dyDescent="0.25">
      <c r="J441" s="115"/>
      <c r="K441" s="115"/>
      <c r="L441" s="115"/>
      <c r="M441" s="115"/>
      <c r="N441" s="115"/>
      <c r="O441" s="115"/>
      <c r="P441" s="115"/>
    </row>
    <row r="442" spans="10:16" ht="12.5" x14ac:dyDescent="0.25">
      <c r="J442" s="115"/>
      <c r="K442" s="115"/>
      <c r="L442" s="115"/>
      <c r="M442" s="115"/>
      <c r="N442" s="115"/>
      <c r="O442" s="115"/>
      <c r="P442" s="115"/>
    </row>
    <row r="443" spans="10:16" ht="12.5" x14ac:dyDescent="0.25">
      <c r="J443" s="115"/>
      <c r="K443" s="115"/>
      <c r="L443" s="115"/>
      <c r="M443" s="115"/>
      <c r="N443" s="115"/>
      <c r="O443" s="115"/>
      <c r="P443" s="115"/>
    </row>
    <row r="444" spans="10:16" ht="12.5" x14ac:dyDescent="0.25">
      <c r="J444" s="115"/>
      <c r="K444" s="115"/>
      <c r="L444" s="115"/>
      <c r="M444" s="115"/>
      <c r="N444" s="115"/>
      <c r="O444" s="115"/>
      <c r="P444" s="115"/>
    </row>
    <row r="445" spans="10:16" ht="12.5" x14ac:dyDescent="0.25">
      <c r="J445" s="115"/>
      <c r="K445" s="115"/>
      <c r="L445" s="115"/>
      <c r="M445" s="115"/>
      <c r="N445" s="115"/>
      <c r="O445" s="115"/>
      <c r="P445" s="115"/>
    </row>
    <row r="446" spans="10:16" ht="12.5" x14ac:dyDescent="0.25">
      <c r="J446" s="115"/>
      <c r="K446" s="115"/>
      <c r="L446" s="115"/>
      <c r="M446" s="115"/>
      <c r="N446" s="115"/>
      <c r="O446" s="115"/>
      <c r="P446" s="115"/>
    </row>
    <row r="447" spans="10:16" ht="12.5" x14ac:dyDescent="0.25">
      <c r="J447" s="115"/>
      <c r="K447" s="115"/>
      <c r="L447" s="115"/>
      <c r="M447" s="115"/>
      <c r="N447" s="115"/>
      <c r="O447" s="115"/>
      <c r="P447" s="115"/>
    </row>
    <row r="448" spans="10:16" ht="12.5" x14ac:dyDescent="0.25">
      <c r="J448" s="115"/>
      <c r="K448" s="115"/>
      <c r="L448" s="115"/>
      <c r="M448" s="115"/>
      <c r="N448" s="115"/>
      <c r="O448" s="115"/>
      <c r="P448" s="115"/>
    </row>
    <row r="449" spans="10:16" ht="12.5" x14ac:dyDescent="0.25">
      <c r="J449" s="115"/>
      <c r="K449" s="115"/>
      <c r="L449" s="115"/>
      <c r="M449" s="115"/>
      <c r="N449" s="115"/>
      <c r="O449" s="115"/>
      <c r="P449" s="115"/>
    </row>
    <row r="450" spans="10:16" ht="12.5" x14ac:dyDescent="0.25">
      <c r="J450" s="115"/>
      <c r="K450" s="115"/>
      <c r="L450" s="115"/>
      <c r="M450" s="115"/>
      <c r="N450" s="115"/>
      <c r="O450" s="115"/>
      <c r="P450" s="115"/>
    </row>
    <row r="451" spans="10:16" ht="12.5" x14ac:dyDescent="0.25">
      <c r="J451" s="115"/>
      <c r="K451" s="115"/>
      <c r="L451" s="115"/>
      <c r="M451" s="115"/>
      <c r="N451" s="115"/>
      <c r="O451" s="115"/>
      <c r="P451" s="115"/>
    </row>
    <row r="452" spans="10:16" ht="12.5" x14ac:dyDescent="0.25">
      <c r="J452" s="115"/>
      <c r="K452" s="115"/>
      <c r="L452" s="115"/>
      <c r="M452" s="115"/>
      <c r="N452" s="115"/>
      <c r="O452" s="115"/>
      <c r="P452" s="115"/>
    </row>
    <row r="453" spans="10:16" ht="12.5" x14ac:dyDescent="0.25">
      <c r="J453" s="115"/>
      <c r="K453" s="115"/>
      <c r="L453" s="115"/>
      <c r="M453" s="115"/>
      <c r="N453" s="115"/>
      <c r="O453" s="115"/>
      <c r="P453" s="115"/>
    </row>
    <row r="454" spans="10:16" ht="12.5" x14ac:dyDescent="0.25">
      <c r="J454" s="115"/>
      <c r="K454" s="115"/>
      <c r="L454" s="115"/>
      <c r="M454" s="115"/>
      <c r="N454" s="115"/>
      <c r="O454" s="115"/>
      <c r="P454" s="115"/>
    </row>
    <row r="455" spans="10:16" ht="12.5" x14ac:dyDescent="0.25">
      <c r="J455" s="115"/>
      <c r="K455" s="115"/>
      <c r="L455" s="115"/>
      <c r="M455" s="115"/>
      <c r="N455" s="115"/>
      <c r="O455" s="115"/>
      <c r="P455" s="115"/>
    </row>
    <row r="456" spans="10:16" ht="12.5" x14ac:dyDescent="0.25">
      <c r="J456" s="115"/>
      <c r="K456" s="115"/>
      <c r="L456" s="115"/>
      <c r="M456" s="115"/>
      <c r="N456" s="115"/>
      <c r="O456" s="115"/>
      <c r="P456" s="115"/>
    </row>
    <row r="457" spans="10:16" ht="12.5" x14ac:dyDescent="0.25">
      <c r="J457" s="115"/>
      <c r="K457" s="115"/>
      <c r="L457" s="115"/>
      <c r="M457" s="115"/>
      <c r="N457" s="115"/>
      <c r="O457" s="115"/>
      <c r="P457" s="115"/>
    </row>
    <row r="458" spans="10:16" ht="12.5" x14ac:dyDescent="0.25">
      <c r="J458" s="115"/>
      <c r="K458" s="115"/>
      <c r="L458" s="115"/>
      <c r="M458" s="115"/>
      <c r="N458" s="115"/>
      <c r="O458" s="115"/>
      <c r="P458" s="115"/>
    </row>
    <row r="459" spans="10:16" ht="12.5" x14ac:dyDescent="0.25">
      <c r="J459" s="115"/>
      <c r="K459" s="115"/>
      <c r="L459" s="115"/>
      <c r="M459" s="115"/>
      <c r="N459" s="115"/>
      <c r="O459" s="115"/>
      <c r="P459" s="115"/>
    </row>
    <row r="460" spans="10:16" ht="12.5" x14ac:dyDescent="0.25">
      <c r="J460" s="115"/>
      <c r="K460" s="115"/>
      <c r="L460" s="115"/>
      <c r="M460" s="115"/>
      <c r="N460" s="115"/>
      <c r="O460" s="115"/>
      <c r="P460" s="115"/>
    </row>
    <row r="461" spans="10:16" ht="12.5" x14ac:dyDescent="0.25">
      <c r="J461" s="115"/>
      <c r="K461" s="115"/>
      <c r="L461" s="115"/>
      <c r="M461" s="115"/>
      <c r="N461" s="115"/>
      <c r="O461" s="115"/>
      <c r="P461" s="115"/>
    </row>
    <row r="462" spans="10:16" ht="12.5" x14ac:dyDescent="0.25">
      <c r="J462" s="115"/>
      <c r="K462" s="115"/>
      <c r="L462" s="115"/>
      <c r="M462" s="115"/>
      <c r="N462" s="115"/>
      <c r="O462" s="115"/>
      <c r="P462" s="115"/>
    </row>
    <row r="463" spans="10:16" ht="12.5" x14ac:dyDescent="0.25">
      <c r="J463" s="115"/>
      <c r="K463" s="115"/>
      <c r="L463" s="115"/>
      <c r="M463" s="115"/>
      <c r="N463" s="115"/>
      <c r="O463" s="115"/>
      <c r="P463" s="115"/>
    </row>
    <row r="464" spans="10:16" ht="12.5" x14ac:dyDescent="0.25">
      <c r="J464" s="115"/>
      <c r="K464" s="115"/>
      <c r="L464" s="115"/>
      <c r="M464" s="115"/>
      <c r="N464" s="115"/>
      <c r="O464" s="115"/>
      <c r="P464" s="115"/>
    </row>
    <row r="465" spans="10:16" ht="12.5" x14ac:dyDescent="0.25">
      <c r="J465" s="115"/>
      <c r="K465" s="115"/>
      <c r="L465" s="115"/>
      <c r="M465" s="115"/>
      <c r="N465" s="115"/>
      <c r="O465" s="115"/>
      <c r="P465" s="115"/>
    </row>
    <row r="466" spans="10:16" ht="12.5" x14ac:dyDescent="0.25">
      <c r="J466" s="115"/>
      <c r="K466" s="115"/>
      <c r="L466" s="115"/>
      <c r="M466" s="115"/>
      <c r="N466" s="115"/>
      <c r="O466" s="115"/>
      <c r="P466" s="115"/>
    </row>
    <row r="467" spans="10:16" ht="12.5" x14ac:dyDescent="0.25">
      <c r="J467" s="115"/>
      <c r="K467" s="115"/>
      <c r="L467" s="115"/>
      <c r="M467" s="115"/>
      <c r="N467" s="115"/>
      <c r="O467" s="115"/>
      <c r="P467" s="115"/>
    </row>
    <row r="468" spans="10:16" ht="12.5" x14ac:dyDescent="0.25">
      <c r="J468" s="115"/>
      <c r="K468" s="115"/>
      <c r="L468" s="115"/>
      <c r="M468" s="115"/>
      <c r="N468" s="115"/>
      <c r="O468" s="115"/>
      <c r="P468" s="115"/>
    </row>
    <row r="469" spans="10:16" ht="12.5" x14ac:dyDescent="0.25">
      <c r="J469" s="115"/>
      <c r="K469" s="115"/>
      <c r="L469" s="115"/>
      <c r="M469" s="115"/>
      <c r="N469" s="115"/>
      <c r="O469" s="115"/>
      <c r="P469" s="115"/>
    </row>
    <row r="470" spans="10:16" ht="12.5" x14ac:dyDescent="0.25">
      <c r="J470" s="115"/>
      <c r="K470" s="115"/>
      <c r="L470" s="115"/>
      <c r="M470" s="115"/>
      <c r="N470" s="115"/>
      <c r="O470" s="115"/>
      <c r="P470" s="115"/>
    </row>
    <row r="471" spans="10:16" ht="12.5" x14ac:dyDescent="0.25">
      <c r="J471" s="115"/>
      <c r="K471" s="115"/>
      <c r="L471" s="115"/>
      <c r="M471" s="115"/>
      <c r="N471" s="115"/>
      <c r="O471" s="115"/>
      <c r="P471" s="115"/>
    </row>
    <row r="472" spans="10:16" ht="12.5" x14ac:dyDescent="0.25">
      <c r="J472" s="115"/>
      <c r="K472" s="115"/>
      <c r="L472" s="115"/>
      <c r="M472" s="115"/>
      <c r="N472" s="115"/>
      <c r="O472" s="115"/>
      <c r="P472" s="115"/>
    </row>
    <row r="473" spans="10:16" ht="12.5" x14ac:dyDescent="0.25">
      <c r="J473" s="115"/>
      <c r="K473" s="115"/>
      <c r="L473" s="115"/>
      <c r="M473" s="115"/>
      <c r="N473" s="115"/>
      <c r="O473" s="115"/>
      <c r="P473" s="115"/>
    </row>
    <row r="474" spans="10:16" ht="12.5" x14ac:dyDescent="0.25">
      <c r="J474" s="115"/>
      <c r="K474" s="115"/>
      <c r="L474" s="115"/>
      <c r="M474" s="115"/>
      <c r="N474" s="115"/>
      <c r="O474" s="115"/>
      <c r="P474" s="115"/>
    </row>
    <row r="475" spans="10:16" ht="12.5" x14ac:dyDescent="0.25">
      <c r="J475" s="115"/>
      <c r="K475" s="115"/>
      <c r="L475" s="115"/>
      <c r="M475" s="115"/>
      <c r="N475" s="115"/>
      <c r="O475" s="115"/>
      <c r="P475" s="115"/>
    </row>
    <row r="476" spans="10:16" ht="12.5" x14ac:dyDescent="0.25">
      <c r="J476" s="115"/>
      <c r="K476" s="115"/>
      <c r="L476" s="115"/>
      <c r="M476" s="115"/>
      <c r="N476" s="115"/>
      <c r="O476" s="115"/>
      <c r="P476" s="115"/>
    </row>
    <row r="477" spans="10:16" ht="12.5" x14ac:dyDescent="0.25">
      <c r="J477" s="115"/>
      <c r="K477" s="115"/>
      <c r="L477" s="115"/>
      <c r="M477" s="115"/>
      <c r="N477" s="115"/>
      <c r="O477" s="115"/>
      <c r="P477" s="115"/>
    </row>
    <row r="478" spans="10:16" ht="12.5" x14ac:dyDescent="0.25">
      <c r="J478" s="115"/>
      <c r="K478" s="115"/>
      <c r="L478" s="115"/>
      <c r="M478" s="115"/>
      <c r="N478" s="115"/>
      <c r="O478" s="115"/>
      <c r="P478" s="115"/>
    </row>
    <row r="479" spans="10:16" ht="12.5" x14ac:dyDescent="0.25">
      <c r="J479" s="115"/>
      <c r="K479" s="115"/>
      <c r="L479" s="115"/>
      <c r="M479" s="115"/>
      <c r="N479" s="115"/>
      <c r="O479" s="115"/>
      <c r="P479" s="115"/>
    </row>
    <row r="480" spans="10:16" ht="12.5" x14ac:dyDescent="0.25">
      <c r="J480" s="115"/>
      <c r="K480" s="115"/>
      <c r="L480" s="115"/>
      <c r="M480" s="115"/>
      <c r="N480" s="115"/>
      <c r="O480" s="115"/>
      <c r="P480" s="115"/>
    </row>
    <row r="481" spans="10:16" ht="12.5" x14ac:dyDescent="0.25">
      <c r="J481" s="115"/>
      <c r="K481" s="115"/>
      <c r="L481" s="115"/>
      <c r="M481" s="115"/>
      <c r="N481" s="115"/>
      <c r="O481" s="115"/>
      <c r="P481" s="115"/>
    </row>
    <row r="482" spans="10:16" ht="12.5" x14ac:dyDescent="0.25">
      <c r="J482" s="115"/>
      <c r="K482" s="115"/>
      <c r="L482" s="115"/>
      <c r="M482" s="115"/>
      <c r="N482" s="115"/>
      <c r="O482" s="115"/>
      <c r="P482" s="115"/>
    </row>
    <row r="483" spans="10:16" ht="12.5" x14ac:dyDescent="0.25">
      <c r="J483" s="115"/>
      <c r="K483" s="115"/>
      <c r="L483" s="115"/>
      <c r="M483" s="115"/>
      <c r="N483" s="115"/>
      <c r="O483" s="115"/>
      <c r="P483" s="115"/>
    </row>
    <row r="484" spans="10:16" ht="12.5" x14ac:dyDescent="0.25">
      <c r="J484" s="115"/>
      <c r="K484" s="115"/>
      <c r="L484" s="115"/>
      <c r="M484" s="115"/>
      <c r="N484" s="115"/>
      <c r="O484" s="115"/>
      <c r="P484" s="115"/>
    </row>
    <row r="485" spans="10:16" ht="12.5" x14ac:dyDescent="0.25">
      <c r="J485" s="115"/>
      <c r="K485" s="115"/>
      <c r="L485" s="115"/>
      <c r="M485" s="115"/>
      <c r="N485" s="115"/>
      <c r="O485" s="115"/>
      <c r="P485" s="115"/>
    </row>
    <row r="486" spans="10:16" ht="12.5" x14ac:dyDescent="0.25">
      <c r="J486" s="115"/>
      <c r="K486" s="115"/>
      <c r="L486" s="115"/>
      <c r="M486" s="115"/>
      <c r="N486" s="115"/>
      <c r="O486" s="115"/>
      <c r="P486" s="115"/>
    </row>
    <row r="487" spans="10:16" ht="12.5" x14ac:dyDescent="0.25">
      <c r="J487" s="115"/>
      <c r="K487" s="115"/>
      <c r="L487" s="115"/>
      <c r="M487" s="115"/>
      <c r="N487" s="115"/>
      <c r="O487" s="115"/>
      <c r="P487" s="115"/>
    </row>
    <row r="488" spans="10:16" ht="12.5" x14ac:dyDescent="0.25">
      <c r="J488" s="115"/>
      <c r="K488" s="115"/>
      <c r="L488" s="115"/>
      <c r="M488" s="115"/>
      <c r="N488" s="115"/>
      <c r="O488" s="115"/>
      <c r="P488" s="115"/>
    </row>
    <row r="489" spans="10:16" ht="12.5" x14ac:dyDescent="0.25">
      <c r="J489" s="115"/>
      <c r="K489" s="115"/>
      <c r="L489" s="115"/>
      <c r="M489" s="115"/>
      <c r="N489" s="115"/>
      <c r="O489" s="115"/>
      <c r="P489" s="115"/>
    </row>
    <row r="490" spans="10:16" ht="12.5" x14ac:dyDescent="0.25">
      <c r="J490" s="115"/>
      <c r="K490" s="115"/>
      <c r="L490" s="115"/>
      <c r="M490" s="115"/>
      <c r="N490" s="115"/>
      <c r="O490" s="115"/>
      <c r="P490" s="115"/>
    </row>
    <row r="491" spans="10:16" ht="12.5" x14ac:dyDescent="0.25">
      <c r="J491" s="115"/>
      <c r="K491" s="115"/>
      <c r="L491" s="115"/>
      <c r="M491" s="115"/>
      <c r="N491" s="115"/>
      <c r="O491" s="115"/>
      <c r="P491" s="115"/>
    </row>
    <row r="492" spans="10:16" ht="12.5" x14ac:dyDescent="0.25">
      <c r="J492" s="115"/>
      <c r="K492" s="115"/>
      <c r="L492" s="115"/>
      <c r="M492" s="115"/>
      <c r="N492" s="115"/>
      <c r="O492" s="115"/>
      <c r="P492" s="115"/>
    </row>
    <row r="493" spans="10:16" ht="12.5" x14ac:dyDescent="0.25">
      <c r="J493" s="115"/>
      <c r="K493" s="115"/>
      <c r="L493" s="115"/>
      <c r="M493" s="115"/>
      <c r="N493" s="115"/>
      <c r="O493" s="115"/>
      <c r="P493" s="115"/>
    </row>
    <row r="494" spans="10:16" ht="12.5" x14ac:dyDescent="0.25">
      <c r="J494" s="115"/>
      <c r="K494" s="115"/>
      <c r="L494" s="115"/>
      <c r="M494" s="115"/>
      <c r="N494" s="115"/>
      <c r="O494" s="115"/>
      <c r="P494" s="115"/>
    </row>
    <row r="495" spans="10:16" ht="12.5" x14ac:dyDescent="0.25">
      <c r="J495" s="115"/>
      <c r="K495" s="115"/>
      <c r="L495" s="115"/>
      <c r="M495" s="115"/>
      <c r="N495" s="115"/>
      <c r="O495" s="115"/>
      <c r="P495" s="115"/>
    </row>
    <row r="496" spans="10:16" ht="12.5" x14ac:dyDescent="0.25">
      <c r="J496" s="115"/>
      <c r="K496" s="115"/>
      <c r="L496" s="115"/>
      <c r="M496" s="115"/>
      <c r="N496" s="115"/>
      <c r="O496" s="115"/>
      <c r="P496" s="115"/>
    </row>
    <row r="497" spans="10:16" ht="12.5" x14ac:dyDescent="0.25">
      <c r="J497" s="115"/>
      <c r="K497" s="115"/>
      <c r="L497" s="115"/>
      <c r="M497" s="115"/>
      <c r="N497" s="115"/>
      <c r="O497" s="115"/>
      <c r="P497" s="115"/>
    </row>
    <row r="498" spans="10:16" ht="12.5" x14ac:dyDescent="0.25">
      <c r="J498" s="115"/>
      <c r="K498" s="115"/>
      <c r="L498" s="115"/>
      <c r="M498" s="115"/>
      <c r="N498" s="115"/>
      <c r="O498" s="115"/>
      <c r="P498" s="115"/>
    </row>
    <row r="499" spans="10:16" ht="12.5" x14ac:dyDescent="0.25">
      <c r="J499" s="115"/>
      <c r="K499" s="115"/>
      <c r="L499" s="115"/>
      <c r="M499" s="115"/>
      <c r="N499" s="115"/>
      <c r="O499" s="115"/>
      <c r="P499" s="115"/>
    </row>
    <row r="500" spans="10:16" ht="12.5" x14ac:dyDescent="0.25">
      <c r="J500" s="115"/>
      <c r="K500" s="115"/>
      <c r="L500" s="115"/>
      <c r="M500" s="115"/>
      <c r="N500" s="115"/>
      <c r="O500" s="115"/>
      <c r="P500" s="115"/>
    </row>
    <row r="501" spans="10:16" ht="12.5" x14ac:dyDescent="0.25">
      <c r="J501" s="115"/>
      <c r="K501" s="115"/>
      <c r="L501" s="115"/>
      <c r="M501" s="115"/>
      <c r="N501" s="115"/>
      <c r="O501" s="115"/>
      <c r="P501" s="115"/>
    </row>
    <row r="502" spans="10:16" ht="12.5" x14ac:dyDescent="0.25">
      <c r="J502" s="115"/>
      <c r="K502" s="115"/>
      <c r="L502" s="115"/>
      <c r="M502" s="115"/>
      <c r="N502" s="115"/>
      <c r="O502" s="115"/>
      <c r="P502" s="115"/>
    </row>
    <row r="503" spans="10:16" ht="12.5" x14ac:dyDescent="0.25">
      <c r="J503" s="115"/>
      <c r="K503" s="115"/>
      <c r="L503" s="115"/>
      <c r="M503" s="115"/>
      <c r="N503" s="115"/>
      <c r="O503" s="115"/>
      <c r="P503" s="115"/>
    </row>
    <row r="504" spans="10:16" ht="12.5" x14ac:dyDescent="0.25">
      <c r="J504" s="115"/>
      <c r="K504" s="115"/>
      <c r="L504" s="115"/>
      <c r="M504" s="115"/>
      <c r="N504" s="115"/>
      <c r="O504" s="115"/>
      <c r="P504" s="115"/>
    </row>
    <row r="505" spans="10:16" ht="12.5" x14ac:dyDescent="0.25">
      <c r="J505" s="115"/>
      <c r="K505" s="115"/>
      <c r="L505" s="115"/>
      <c r="M505" s="115"/>
      <c r="N505" s="115"/>
      <c r="O505" s="115"/>
      <c r="P505" s="115"/>
    </row>
    <row r="506" spans="10:16" ht="12.5" x14ac:dyDescent="0.25">
      <c r="J506" s="115"/>
      <c r="K506" s="115"/>
      <c r="L506" s="115"/>
      <c r="M506" s="115"/>
      <c r="N506" s="115"/>
      <c r="O506" s="115"/>
      <c r="P506" s="115"/>
    </row>
    <row r="507" spans="10:16" ht="12.5" x14ac:dyDescent="0.25">
      <c r="J507" s="115"/>
      <c r="K507" s="115"/>
      <c r="L507" s="115"/>
      <c r="M507" s="115"/>
      <c r="N507" s="115"/>
      <c r="O507" s="115"/>
      <c r="P507" s="115"/>
    </row>
    <row r="508" spans="10:16" ht="12.5" x14ac:dyDescent="0.25">
      <c r="J508" s="115"/>
      <c r="K508" s="115"/>
      <c r="L508" s="115"/>
      <c r="M508" s="115"/>
      <c r="N508" s="115"/>
      <c r="O508" s="115"/>
      <c r="P508" s="115"/>
    </row>
    <row r="509" spans="10:16" ht="12.5" x14ac:dyDescent="0.25">
      <c r="J509" s="115"/>
      <c r="K509" s="115"/>
      <c r="L509" s="115"/>
      <c r="M509" s="115"/>
      <c r="N509" s="115"/>
      <c r="O509" s="115"/>
      <c r="P509" s="115"/>
    </row>
    <row r="510" spans="10:16" ht="12.5" x14ac:dyDescent="0.25">
      <c r="J510" s="115"/>
      <c r="K510" s="115"/>
      <c r="L510" s="115"/>
      <c r="M510" s="115"/>
      <c r="N510" s="115"/>
      <c r="O510" s="115"/>
      <c r="P510" s="115"/>
    </row>
    <row r="511" spans="10:16" ht="12.5" x14ac:dyDescent="0.25">
      <c r="J511" s="115"/>
      <c r="K511" s="115"/>
      <c r="L511" s="115"/>
      <c r="M511" s="115"/>
      <c r="N511" s="115"/>
      <c r="O511" s="115"/>
      <c r="P511" s="115"/>
    </row>
    <row r="512" spans="10:16" ht="12.5" x14ac:dyDescent="0.25">
      <c r="J512" s="115"/>
      <c r="K512" s="115"/>
      <c r="L512" s="115"/>
      <c r="M512" s="115"/>
      <c r="N512" s="115"/>
      <c r="O512" s="115"/>
      <c r="P512" s="115"/>
    </row>
    <row r="513" spans="10:16" ht="12.5" x14ac:dyDescent="0.25">
      <c r="J513" s="115"/>
      <c r="K513" s="115"/>
      <c r="L513" s="115"/>
      <c r="M513" s="115"/>
      <c r="N513" s="115"/>
      <c r="O513" s="115"/>
      <c r="P513" s="115"/>
    </row>
    <row r="514" spans="10:16" ht="12.5" x14ac:dyDescent="0.25">
      <c r="J514" s="115"/>
      <c r="K514" s="115"/>
      <c r="L514" s="115"/>
      <c r="M514" s="115"/>
      <c r="N514" s="115"/>
      <c r="O514" s="115"/>
      <c r="P514" s="115"/>
    </row>
    <row r="515" spans="10:16" ht="12.5" x14ac:dyDescent="0.25">
      <c r="J515" s="115"/>
      <c r="K515" s="115"/>
      <c r="L515" s="115"/>
      <c r="M515" s="115"/>
      <c r="N515" s="115"/>
      <c r="O515" s="115"/>
      <c r="P515" s="115"/>
    </row>
    <row r="516" spans="10:16" ht="12.5" x14ac:dyDescent="0.25">
      <c r="J516" s="115"/>
      <c r="K516" s="115"/>
      <c r="L516" s="115"/>
      <c r="M516" s="115"/>
      <c r="N516" s="115"/>
      <c r="O516" s="115"/>
      <c r="P516" s="115"/>
    </row>
    <row r="517" spans="10:16" ht="12.5" x14ac:dyDescent="0.25">
      <c r="J517" s="115"/>
      <c r="K517" s="115"/>
      <c r="L517" s="115"/>
      <c r="M517" s="115"/>
      <c r="N517" s="115"/>
      <c r="O517" s="115"/>
      <c r="P517" s="115"/>
    </row>
    <row r="518" spans="10:16" ht="12.5" x14ac:dyDescent="0.25">
      <c r="J518" s="115"/>
      <c r="K518" s="115"/>
      <c r="L518" s="115"/>
      <c r="M518" s="115"/>
      <c r="N518" s="115"/>
      <c r="O518" s="115"/>
      <c r="P518" s="115"/>
    </row>
    <row r="519" spans="10:16" ht="12.5" x14ac:dyDescent="0.25">
      <c r="J519" s="115"/>
      <c r="K519" s="115"/>
      <c r="L519" s="115"/>
      <c r="M519" s="115"/>
      <c r="N519" s="115"/>
      <c r="O519" s="115"/>
      <c r="P519" s="115"/>
    </row>
    <row r="520" spans="10:16" ht="12.5" x14ac:dyDescent="0.25">
      <c r="J520" s="115"/>
      <c r="K520" s="115"/>
      <c r="L520" s="115"/>
      <c r="M520" s="115"/>
      <c r="N520" s="115"/>
      <c r="O520" s="115"/>
      <c r="P520" s="115"/>
    </row>
    <row r="521" spans="10:16" ht="12.5" x14ac:dyDescent="0.25">
      <c r="J521" s="115"/>
      <c r="K521" s="115"/>
      <c r="L521" s="115"/>
      <c r="M521" s="115"/>
      <c r="N521" s="115"/>
      <c r="O521" s="115"/>
      <c r="P521" s="115"/>
    </row>
    <row r="522" spans="10:16" ht="12.5" x14ac:dyDescent="0.25">
      <c r="J522" s="115"/>
      <c r="K522" s="115"/>
      <c r="L522" s="115"/>
      <c r="M522" s="115"/>
      <c r="N522" s="115"/>
      <c r="O522" s="115"/>
      <c r="P522" s="115"/>
    </row>
    <row r="523" spans="10:16" ht="12.5" x14ac:dyDescent="0.25">
      <c r="J523" s="115"/>
      <c r="K523" s="115"/>
      <c r="L523" s="115"/>
      <c r="M523" s="115"/>
      <c r="N523" s="115"/>
      <c r="O523" s="115"/>
      <c r="P523" s="115"/>
    </row>
    <row r="524" spans="10:16" ht="12.5" x14ac:dyDescent="0.25">
      <c r="J524" s="115"/>
      <c r="K524" s="115"/>
      <c r="L524" s="115"/>
      <c r="M524" s="115"/>
      <c r="N524" s="115"/>
      <c r="O524" s="115"/>
      <c r="P524" s="115"/>
    </row>
    <row r="525" spans="10:16" ht="12.5" x14ac:dyDescent="0.25">
      <c r="J525" s="115"/>
      <c r="K525" s="115"/>
      <c r="L525" s="115"/>
      <c r="M525" s="115"/>
      <c r="N525" s="115"/>
      <c r="O525" s="115"/>
      <c r="P525" s="115"/>
    </row>
    <row r="526" spans="10:16" ht="12.5" x14ac:dyDescent="0.25">
      <c r="J526" s="115"/>
      <c r="K526" s="115"/>
      <c r="L526" s="115"/>
      <c r="M526" s="115"/>
      <c r="N526" s="115"/>
      <c r="O526" s="115"/>
      <c r="P526" s="115"/>
    </row>
    <row r="527" spans="10:16" ht="12.5" x14ac:dyDescent="0.25">
      <c r="J527" s="115"/>
      <c r="K527" s="115"/>
      <c r="L527" s="115"/>
      <c r="M527" s="115"/>
      <c r="N527" s="115"/>
      <c r="O527" s="115"/>
      <c r="P527" s="115"/>
    </row>
    <row r="528" spans="10:16" ht="12.5" x14ac:dyDescent="0.25">
      <c r="J528" s="115"/>
      <c r="K528" s="115"/>
      <c r="L528" s="115"/>
      <c r="M528" s="115"/>
      <c r="N528" s="115"/>
      <c r="O528" s="115"/>
      <c r="P528" s="115"/>
    </row>
    <row r="529" spans="10:16" ht="12.5" x14ac:dyDescent="0.25">
      <c r="J529" s="115"/>
      <c r="K529" s="115"/>
      <c r="L529" s="115"/>
      <c r="M529" s="115"/>
      <c r="N529" s="115"/>
      <c r="O529" s="115"/>
      <c r="P529" s="115"/>
    </row>
    <row r="530" spans="10:16" ht="12.5" x14ac:dyDescent="0.25">
      <c r="J530" s="115"/>
      <c r="K530" s="115"/>
      <c r="L530" s="115"/>
      <c r="M530" s="115"/>
      <c r="N530" s="115"/>
      <c r="O530" s="115"/>
      <c r="P530" s="115"/>
    </row>
    <row r="531" spans="10:16" ht="12.5" x14ac:dyDescent="0.25">
      <c r="J531" s="115"/>
      <c r="K531" s="115"/>
      <c r="L531" s="115"/>
      <c r="M531" s="115"/>
      <c r="N531" s="115"/>
      <c r="O531" s="115"/>
      <c r="P531" s="115"/>
    </row>
    <row r="532" spans="10:16" ht="12.5" x14ac:dyDescent="0.25">
      <c r="J532" s="115"/>
      <c r="K532" s="115"/>
      <c r="L532" s="115"/>
      <c r="M532" s="115"/>
      <c r="N532" s="115"/>
      <c r="O532" s="115"/>
      <c r="P532" s="115"/>
    </row>
    <row r="533" spans="10:16" ht="12.5" x14ac:dyDescent="0.25">
      <c r="J533" s="115"/>
      <c r="K533" s="115"/>
      <c r="L533" s="115"/>
      <c r="M533" s="115"/>
      <c r="N533" s="115"/>
      <c r="O533" s="115"/>
      <c r="P533" s="115"/>
    </row>
    <row r="534" spans="10:16" ht="12.5" x14ac:dyDescent="0.25">
      <c r="J534" s="115"/>
      <c r="K534" s="115"/>
      <c r="L534" s="115"/>
      <c r="M534" s="115"/>
      <c r="N534" s="115"/>
      <c r="O534" s="115"/>
      <c r="P534" s="115"/>
    </row>
    <row r="535" spans="10:16" ht="12.5" x14ac:dyDescent="0.25">
      <c r="J535" s="115"/>
      <c r="K535" s="115"/>
      <c r="L535" s="115"/>
      <c r="M535" s="115"/>
      <c r="N535" s="115"/>
      <c r="O535" s="115"/>
      <c r="P535" s="115"/>
    </row>
    <row r="536" spans="10:16" ht="12.5" x14ac:dyDescent="0.25">
      <c r="J536" s="115"/>
      <c r="K536" s="115"/>
      <c r="L536" s="115"/>
      <c r="M536" s="115"/>
      <c r="N536" s="115"/>
      <c r="O536" s="115"/>
      <c r="P536" s="115"/>
    </row>
    <row r="537" spans="10:16" ht="12.5" x14ac:dyDescent="0.25">
      <c r="J537" s="115"/>
      <c r="K537" s="115"/>
      <c r="L537" s="115"/>
      <c r="M537" s="115"/>
      <c r="N537" s="115"/>
      <c r="O537" s="115"/>
      <c r="P537" s="115"/>
    </row>
    <row r="538" spans="10:16" ht="12.5" x14ac:dyDescent="0.25">
      <c r="J538" s="115"/>
      <c r="K538" s="115"/>
      <c r="L538" s="115"/>
      <c r="M538" s="115"/>
      <c r="N538" s="115"/>
      <c r="O538" s="115"/>
      <c r="P538" s="115"/>
    </row>
    <row r="539" spans="10:16" ht="12.5" x14ac:dyDescent="0.25">
      <c r="J539" s="115"/>
      <c r="K539" s="115"/>
      <c r="L539" s="115"/>
      <c r="M539" s="115"/>
      <c r="N539" s="115"/>
      <c r="O539" s="115"/>
      <c r="P539" s="115"/>
    </row>
    <row r="540" spans="10:16" ht="12.5" x14ac:dyDescent="0.25">
      <c r="J540" s="115"/>
      <c r="K540" s="115"/>
      <c r="L540" s="115"/>
      <c r="M540" s="115"/>
      <c r="N540" s="115"/>
      <c r="O540" s="115"/>
      <c r="P540" s="115"/>
    </row>
    <row r="541" spans="10:16" ht="12.5" x14ac:dyDescent="0.25">
      <c r="J541" s="115"/>
      <c r="K541" s="115"/>
      <c r="L541" s="115"/>
      <c r="M541" s="115"/>
      <c r="N541" s="115"/>
      <c r="O541" s="115"/>
      <c r="P541" s="115"/>
    </row>
    <row r="542" spans="10:16" ht="12.5" x14ac:dyDescent="0.25">
      <c r="J542" s="115"/>
      <c r="K542" s="115"/>
      <c r="L542" s="115"/>
      <c r="M542" s="115"/>
      <c r="N542" s="115"/>
      <c r="O542" s="115"/>
      <c r="P542" s="115"/>
    </row>
    <row r="543" spans="10:16" ht="12.5" x14ac:dyDescent="0.25">
      <c r="J543" s="115"/>
      <c r="K543" s="115"/>
      <c r="L543" s="115"/>
      <c r="M543" s="115"/>
      <c r="N543" s="115"/>
      <c r="O543" s="115"/>
      <c r="P543" s="115"/>
    </row>
    <row r="544" spans="10:16" ht="12.5" x14ac:dyDescent="0.25">
      <c r="J544" s="115"/>
      <c r="K544" s="115"/>
      <c r="L544" s="115"/>
      <c r="M544" s="115"/>
      <c r="N544" s="115"/>
      <c r="O544" s="115"/>
      <c r="P544" s="115"/>
    </row>
    <row r="545" spans="10:16" ht="12.5" x14ac:dyDescent="0.25">
      <c r="J545" s="115"/>
      <c r="K545" s="115"/>
      <c r="L545" s="115"/>
      <c r="M545" s="115"/>
      <c r="N545" s="115"/>
      <c r="O545" s="115"/>
      <c r="P545" s="115"/>
    </row>
    <row r="546" spans="10:16" ht="12.5" x14ac:dyDescent="0.25">
      <c r="J546" s="115"/>
      <c r="K546" s="115"/>
      <c r="L546" s="115"/>
      <c r="M546" s="115"/>
      <c r="N546" s="115"/>
      <c r="O546" s="115"/>
      <c r="P546" s="115"/>
    </row>
    <row r="547" spans="10:16" ht="12.5" x14ac:dyDescent="0.25">
      <c r="J547" s="115"/>
      <c r="K547" s="115"/>
      <c r="L547" s="115"/>
      <c r="M547" s="115"/>
      <c r="N547" s="115"/>
      <c r="O547" s="115"/>
      <c r="P547" s="115"/>
    </row>
    <row r="548" spans="10:16" ht="12.5" x14ac:dyDescent="0.25">
      <c r="J548" s="115"/>
      <c r="K548" s="115"/>
      <c r="L548" s="115"/>
      <c r="M548" s="115"/>
      <c r="N548" s="115"/>
      <c r="O548" s="115"/>
      <c r="P548" s="115"/>
    </row>
    <row r="549" spans="10:16" ht="12.5" x14ac:dyDescent="0.25">
      <c r="J549" s="115"/>
      <c r="K549" s="115"/>
      <c r="L549" s="115"/>
      <c r="M549" s="115"/>
      <c r="N549" s="115"/>
      <c r="O549" s="115"/>
      <c r="P549" s="115"/>
    </row>
    <row r="550" spans="10:16" ht="12.5" x14ac:dyDescent="0.25">
      <c r="J550" s="115"/>
      <c r="K550" s="115"/>
      <c r="L550" s="115"/>
      <c r="M550" s="115"/>
      <c r="N550" s="115"/>
      <c r="O550" s="115"/>
      <c r="P550" s="115"/>
    </row>
    <row r="551" spans="10:16" ht="12.5" x14ac:dyDescent="0.25">
      <c r="J551" s="115"/>
      <c r="K551" s="115"/>
      <c r="L551" s="115"/>
      <c r="M551" s="115"/>
      <c r="N551" s="115"/>
      <c r="O551" s="115"/>
      <c r="P551" s="115"/>
    </row>
    <row r="552" spans="10:16" ht="12.5" x14ac:dyDescent="0.25">
      <c r="J552" s="115"/>
      <c r="K552" s="115"/>
      <c r="L552" s="115"/>
      <c r="M552" s="115"/>
      <c r="N552" s="115"/>
      <c r="O552" s="115"/>
      <c r="P552" s="115"/>
    </row>
    <row r="553" spans="10:16" ht="12.5" x14ac:dyDescent="0.25">
      <c r="J553" s="115"/>
      <c r="K553" s="115"/>
      <c r="L553" s="115"/>
      <c r="M553" s="115"/>
      <c r="N553" s="115"/>
      <c r="O553" s="115"/>
      <c r="P553" s="115"/>
    </row>
    <row r="554" spans="10:16" ht="12.5" x14ac:dyDescent="0.25">
      <c r="J554" s="115"/>
      <c r="K554" s="115"/>
      <c r="L554" s="115"/>
      <c r="M554" s="115"/>
      <c r="N554" s="115"/>
      <c r="O554" s="115"/>
      <c r="P554" s="115"/>
    </row>
    <row r="555" spans="10:16" ht="12.5" x14ac:dyDescent="0.25">
      <c r="J555" s="115"/>
      <c r="K555" s="115"/>
      <c r="L555" s="115"/>
      <c r="M555" s="115"/>
      <c r="N555" s="115"/>
      <c r="O555" s="115"/>
      <c r="P555" s="115"/>
    </row>
    <row r="556" spans="10:16" ht="12.5" x14ac:dyDescent="0.25">
      <c r="J556" s="115"/>
      <c r="K556" s="115"/>
      <c r="L556" s="115"/>
      <c r="M556" s="115"/>
      <c r="N556" s="115"/>
      <c r="O556" s="115"/>
      <c r="P556" s="115"/>
    </row>
    <row r="557" spans="10:16" ht="12.5" x14ac:dyDescent="0.25">
      <c r="J557" s="115"/>
      <c r="K557" s="115"/>
      <c r="L557" s="115"/>
      <c r="M557" s="115"/>
      <c r="N557" s="115"/>
      <c r="O557" s="115"/>
      <c r="P557" s="115"/>
    </row>
    <row r="558" spans="10:16" ht="12.5" x14ac:dyDescent="0.25">
      <c r="J558" s="115"/>
      <c r="K558" s="115"/>
      <c r="L558" s="115"/>
      <c r="M558" s="115"/>
      <c r="N558" s="115"/>
      <c r="O558" s="115"/>
      <c r="P558" s="115"/>
    </row>
    <row r="559" spans="10:16" ht="12.5" x14ac:dyDescent="0.25">
      <c r="J559" s="115"/>
      <c r="K559" s="115"/>
      <c r="L559" s="115"/>
      <c r="M559" s="115"/>
      <c r="N559" s="115"/>
      <c r="O559" s="115"/>
      <c r="P559" s="115"/>
    </row>
    <row r="560" spans="10:16" ht="12.5" x14ac:dyDescent="0.25">
      <c r="J560" s="115"/>
      <c r="K560" s="115"/>
      <c r="L560" s="115"/>
      <c r="M560" s="115"/>
      <c r="N560" s="115"/>
      <c r="O560" s="115"/>
      <c r="P560" s="115"/>
    </row>
    <row r="561" spans="10:16" ht="12.5" x14ac:dyDescent="0.25">
      <c r="J561" s="115"/>
      <c r="K561" s="115"/>
      <c r="L561" s="115"/>
      <c r="M561" s="115"/>
      <c r="N561" s="115"/>
      <c r="O561" s="115"/>
      <c r="P561" s="115"/>
    </row>
    <row r="562" spans="10:16" ht="12.5" x14ac:dyDescent="0.25">
      <c r="J562" s="115"/>
      <c r="K562" s="115"/>
      <c r="L562" s="115"/>
      <c r="M562" s="115"/>
      <c r="N562" s="115"/>
      <c r="O562" s="115"/>
      <c r="P562" s="115"/>
    </row>
    <row r="563" spans="10:16" ht="12.5" x14ac:dyDescent="0.25">
      <c r="J563" s="115"/>
      <c r="K563" s="115"/>
      <c r="L563" s="115"/>
      <c r="M563" s="115"/>
      <c r="N563" s="115"/>
      <c r="O563" s="115"/>
      <c r="P563" s="115"/>
    </row>
    <row r="564" spans="10:16" ht="12.5" x14ac:dyDescent="0.25">
      <c r="J564" s="115"/>
      <c r="K564" s="115"/>
      <c r="L564" s="115"/>
      <c r="M564" s="115"/>
      <c r="N564" s="115"/>
      <c r="O564" s="115"/>
      <c r="P564" s="115"/>
    </row>
    <row r="565" spans="10:16" ht="12.5" x14ac:dyDescent="0.25">
      <c r="J565" s="115"/>
      <c r="K565" s="115"/>
      <c r="L565" s="115"/>
      <c r="M565" s="115"/>
      <c r="N565" s="115"/>
      <c r="O565" s="115"/>
      <c r="P565" s="115"/>
    </row>
    <row r="566" spans="10:16" ht="12.5" x14ac:dyDescent="0.25">
      <c r="J566" s="115"/>
      <c r="K566" s="115"/>
      <c r="L566" s="115"/>
      <c r="M566" s="115"/>
      <c r="N566" s="115"/>
      <c r="O566" s="115"/>
      <c r="P566" s="115"/>
    </row>
    <row r="567" spans="10:16" ht="12.5" x14ac:dyDescent="0.25">
      <c r="J567" s="115"/>
      <c r="K567" s="115"/>
      <c r="L567" s="115"/>
      <c r="M567" s="115"/>
      <c r="N567" s="115"/>
      <c r="O567" s="115"/>
      <c r="P567" s="115"/>
    </row>
    <row r="568" spans="10:16" ht="12.5" x14ac:dyDescent="0.25">
      <c r="J568" s="115"/>
      <c r="K568" s="115"/>
      <c r="L568" s="115"/>
      <c r="M568" s="115"/>
      <c r="N568" s="115"/>
      <c r="O568" s="115"/>
      <c r="P568" s="115"/>
    </row>
    <row r="569" spans="10:16" ht="12.5" x14ac:dyDescent="0.25">
      <c r="J569" s="115"/>
      <c r="K569" s="115"/>
      <c r="L569" s="115"/>
      <c r="M569" s="115"/>
      <c r="N569" s="115"/>
      <c r="O569" s="115"/>
      <c r="P569" s="115"/>
    </row>
    <row r="570" spans="10:16" ht="12.5" x14ac:dyDescent="0.25">
      <c r="J570" s="115"/>
      <c r="K570" s="115"/>
      <c r="L570" s="115"/>
      <c r="M570" s="115"/>
      <c r="N570" s="115"/>
      <c r="O570" s="115"/>
      <c r="P570" s="115"/>
    </row>
    <row r="571" spans="10:16" ht="12.5" x14ac:dyDescent="0.25">
      <c r="J571" s="115"/>
      <c r="K571" s="115"/>
      <c r="L571" s="115"/>
      <c r="M571" s="115"/>
      <c r="N571" s="115"/>
      <c r="O571" s="115"/>
      <c r="P571" s="115"/>
    </row>
    <row r="572" spans="10:16" ht="12.5" x14ac:dyDescent="0.25">
      <c r="J572" s="115"/>
      <c r="K572" s="115"/>
      <c r="L572" s="115"/>
      <c r="M572" s="115"/>
      <c r="N572" s="115"/>
      <c r="O572" s="115"/>
      <c r="P572" s="115"/>
    </row>
    <row r="573" spans="10:16" ht="12.5" x14ac:dyDescent="0.25">
      <c r="J573" s="115"/>
      <c r="K573" s="115"/>
      <c r="L573" s="115"/>
      <c r="M573" s="115"/>
      <c r="N573" s="115"/>
      <c r="O573" s="115"/>
      <c r="P573" s="115"/>
    </row>
    <row r="574" spans="10:16" ht="12.5" x14ac:dyDescent="0.25">
      <c r="J574" s="115"/>
      <c r="K574" s="115"/>
      <c r="L574" s="115"/>
      <c r="M574" s="115"/>
      <c r="N574" s="115"/>
      <c r="O574" s="115"/>
      <c r="P574" s="115"/>
    </row>
    <row r="575" spans="10:16" ht="12.5" x14ac:dyDescent="0.25">
      <c r="J575" s="115"/>
      <c r="K575" s="115"/>
      <c r="L575" s="115"/>
      <c r="M575" s="115"/>
      <c r="N575" s="115"/>
      <c r="O575" s="115"/>
      <c r="P575" s="115"/>
    </row>
    <row r="576" spans="10:16" ht="12.5" x14ac:dyDescent="0.25">
      <c r="J576" s="115"/>
      <c r="K576" s="115"/>
      <c r="L576" s="115"/>
      <c r="M576" s="115"/>
      <c r="N576" s="115"/>
      <c r="O576" s="115"/>
      <c r="P576" s="115"/>
    </row>
    <row r="577" spans="10:16" ht="12.5" x14ac:dyDescent="0.25">
      <c r="J577" s="115"/>
      <c r="K577" s="115"/>
      <c r="L577" s="115"/>
      <c r="M577" s="115"/>
      <c r="N577" s="115"/>
      <c r="O577" s="115"/>
      <c r="P577" s="115"/>
    </row>
    <row r="578" spans="10:16" ht="12.5" x14ac:dyDescent="0.25">
      <c r="J578" s="115"/>
      <c r="K578" s="115"/>
      <c r="L578" s="115"/>
      <c r="M578" s="115"/>
      <c r="N578" s="115"/>
      <c r="O578" s="115"/>
      <c r="P578" s="115"/>
    </row>
    <row r="579" spans="10:16" ht="12.5" x14ac:dyDescent="0.25">
      <c r="J579" s="115"/>
      <c r="K579" s="115"/>
      <c r="L579" s="115"/>
      <c r="M579" s="115"/>
      <c r="N579" s="115"/>
      <c r="O579" s="115"/>
      <c r="P579" s="115"/>
    </row>
    <row r="580" spans="10:16" ht="12.5" x14ac:dyDescent="0.25">
      <c r="J580" s="115"/>
      <c r="K580" s="115"/>
      <c r="L580" s="115"/>
      <c r="M580" s="115"/>
      <c r="N580" s="115"/>
      <c r="O580" s="115"/>
      <c r="P580" s="115"/>
    </row>
    <row r="581" spans="10:16" ht="12.5" x14ac:dyDescent="0.25">
      <c r="J581" s="115"/>
      <c r="K581" s="115"/>
      <c r="L581" s="115"/>
      <c r="M581" s="115"/>
      <c r="N581" s="115"/>
      <c r="O581" s="115"/>
      <c r="P581" s="115"/>
    </row>
    <row r="582" spans="10:16" ht="12.5" x14ac:dyDescent="0.25">
      <c r="J582" s="115"/>
      <c r="K582" s="115"/>
      <c r="L582" s="115"/>
      <c r="M582" s="115"/>
      <c r="N582" s="115"/>
      <c r="O582" s="115"/>
      <c r="P582" s="115"/>
    </row>
    <row r="583" spans="10:16" ht="12.5" x14ac:dyDescent="0.25">
      <c r="J583" s="115"/>
      <c r="K583" s="115"/>
      <c r="L583" s="115"/>
      <c r="M583" s="115"/>
      <c r="N583" s="115"/>
      <c r="O583" s="115"/>
      <c r="P583" s="115"/>
    </row>
    <row r="584" spans="10:16" ht="12.5" x14ac:dyDescent="0.25">
      <c r="J584" s="115"/>
      <c r="K584" s="115"/>
      <c r="L584" s="115"/>
      <c r="M584" s="115"/>
      <c r="N584" s="115"/>
      <c r="O584" s="115"/>
      <c r="P584" s="115"/>
    </row>
    <row r="585" spans="10:16" ht="12.5" x14ac:dyDescent="0.25">
      <c r="J585" s="115"/>
      <c r="K585" s="115"/>
      <c r="L585" s="115"/>
      <c r="M585" s="115"/>
      <c r="N585" s="115"/>
      <c r="O585" s="115"/>
      <c r="P585" s="115"/>
    </row>
    <row r="586" spans="10:16" ht="12.5" x14ac:dyDescent="0.25">
      <c r="J586" s="115"/>
      <c r="K586" s="115"/>
      <c r="L586" s="115"/>
      <c r="M586" s="115"/>
      <c r="N586" s="115"/>
      <c r="O586" s="115"/>
      <c r="P586" s="115"/>
    </row>
    <row r="587" spans="10:16" ht="12.5" x14ac:dyDescent="0.25">
      <c r="J587" s="115"/>
      <c r="K587" s="115"/>
      <c r="L587" s="115"/>
      <c r="M587" s="115"/>
      <c r="N587" s="115"/>
      <c r="O587" s="115"/>
      <c r="P587" s="115"/>
    </row>
    <row r="588" spans="10:16" ht="12.5" x14ac:dyDescent="0.25">
      <c r="J588" s="115"/>
      <c r="K588" s="115"/>
      <c r="L588" s="115"/>
      <c r="M588" s="115"/>
      <c r="N588" s="115"/>
      <c r="O588" s="115"/>
      <c r="P588" s="115"/>
    </row>
    <row r="589" spans="10:16" ht="12.5" x14ac:dyDescent="0.25">
      <c r="J589" s="115"/>
      <c r="K589" s="115"/>
      <c r="L589" s="115"/>
      <c r="M589" s="115"/>
      <c r="N589" s="115"/>
      <c r="O589" s="115"/>
      <c r="P589" s="115"/>
    </row>
    <row r="590" spans="10:16" ht="12.5" x14ac:dyDescent="0.25">
      <c r="J590" s="115"/>
      <c r="K590" s="115"/>
      <c r="L590" s="115"/>
      <c r="M590" s="115"/>
      <c r="N590" s="115"/>
      <c r="O590" s="115"/>
      <c r="P590" s="115"/>
    </row>
    <row r="591" spans="10:16" ht="12.5" x14ac:dyDescent="0.25">
      <c r="J591" s="115"/>
      <c r="K591" s="115"/>
      <c r="L591" s="115"/>
      <c r="M591" s="115"/>
      <c r="N591" s="115"/>
      <c r="O591" s="115"/>
      <c r="P591" s="115"/>
    </row>
    <row r="592" spans="10:16" ht="12.5" x14ac:dyDescent="0.25">
      <c r="J592" s="115"/>
      <c r="K592" s="115"/>
      <c r="L592" s="115"/>
      <c r="M592" s="115"/>
      <c r="N592" s="115"/>
      <c r="O592" s="115"/>
      <c r="P592" s="115"/>
    </row>
    <row r="593" spans="10:16" ht="12.5" x14ac:dyDescent="0.25">
      <c r="J593" s="115"/>
      <c r="K593" s="115"/>
      <c r="L593" s="115"/>
      <c r="M593" s="115"/>
      <c r="N593" s="115"/>
      <c r="O593" s="115"/>
      <c r="P593" s="115"/>
    </row>
    <row r="594" spans="10:16" ht="12.5" x14ac:dyDescent="0.25">
      <c r="J594" s="115"/>
      <c r="K594" s="115"/>
      <c r="L594" s="115"/>
      <c r="M594" s="115"/>
      <c r="N594" s="115"/>
      <c r="O594" s="115"/>
      <c r="P594" s="115"/>
    </row>
    <row r="595" spans="10:16" ht="12.5" x14ac:dyDescent="0.25">
      <c r="J595" s="115"/>
      <c r="K595" s="115"/>
      <c r="L595" s="115"/>
      <c r="M595" s="115"/>
      <c r="N595" s="115"/>
      <c r="O595" s="115"/>
      <c r="P595" s="115"/>
    </row>
    <row r="596" spans="10:16" ht="12.5" x14ac:dyDescent="0.25">
      <c r="J596" s="115"/>
      <c r="K596" s="115"/>
      <c r="L596" s="115"/>
      <c r="M596" s="115"/>
      <c r="N596" s="115"/>
      <c r="O596" s="115"/>
      <c r="P596" s="115"/>
    </row>
    <row r="597" spans="10:16" ht="12.5" x14ac:dyDescent="0.25">
      <c r="J597" s="115"/>
      <c r="K597" s="115"/>
      <c r="L597" s="115"/>
      <c r="M597" s="115"/>
      <c r="N597" s="115"/>
      <c r="O597" s="115"/>
      <c r="P597" s="115"/>
    </row>
    <row r="598" spans="10:16" ht="12.5" x14ac:dyDescent="0.25">
      <c r="J598" s="115"/>
      <c r="K598" s="115"/>
      <c r="L598" s="115"/>
      <c r="M598" s="115"/>
      <c r="N598" s="115"/>
      <c r="O598" s="115"/>
      <c r="P598" s="115"/>
    </row>
    <row r="599" spans="10:16" ht="12.5" x14ac:dyDescent="0.25">
      <c r="J599" s="115"/>
      <c r="K599" s="115"/>
      <c r="L599" s="115"/>
      <c r="M599" s="115"/>
      <c r="N599" s="115"/>
      <c r="O599" s="115"/>
      <c r="P599" s="115"/>
    </row>
    <row r="600" spans="10:16" ht="12.5" x14ac:dyDescent="0.25">
      <c r="J600" s="115"/>
      <c r="K600" s="115"/>
      <c r="L600" s="115"/>
      <c r="M600" s="115"/>
      <c r="N600" s="115"/>
      <c r="O600" s="115"/>
      <c r="P600" s="115"/>
    </row>
    <row r="601" spans="10:16" ht="12.5" x14ac:dyDescent="0.25">
      <c r="J601" s="115"/>
      <c r="K601" s="115"/>
      <c r="L601" s="115"/>
      <c r="M601" s="115"/>
      <c r="N601" s="115"/>
      <c r="O601" s="115"/>
      <c r="P601" s="115"/>
    </row>
    <row r="602" spans="10:16" ht="12.5" x14ac:dyDescent="0.25">
      <c r="J602" s="115"/>
      <c r="K602" s="115"/>
      <c r="L602" s="115"/>
      <c r="M602" s="115"/>
      <c r="N602" s="115"/>
      <c r="O602" s="115"/>
      <c r="P602" s="115"/>
    </row>
    <row r="603" spans="10:16" ht="12.5" x14ac:dyDescent="0.25">
      <c r="J603" s="115"/>
      <c r="K603" s="115"/>
      <c r="L603" s="115"/>
      <c r="M603" s="115"/>
      <c r="N603" s="115"/>
      <c r="O603" s="115"/>
      <c r="P603" s="115"/>
    </row>
    <row r="604" spans="10:16" ht="12.5" x14ac:dyDescent="0.25">
      <c r="J604" s="115"/>
      <c r="K604" s="115"/>
      <c r="L604" s="115"/>
      <c r="M604" s="115"/>
      <c r="N604" s="115"/>
      <c r="O604" s="115"/>
      <c r="P604" s="115"/>
    </row>
    <row r="605" spans="10:16" ht="12.5" x14ac:dyDescent="0.25">
      <c r="J605" s="115"/>
      <c r="K605" s="115"/>
      <c r="L605" s="115"/>
      <c r="M605" s="115"/>
      <c r="N605" s="115"/>
      <c r="O605" s="115"/>
      <c r="P605" s="115"/>
    </row>
    <row r="606" spans="10:16" ht="12.5" x14ac:dyDescent="0.25">
      <c r="J606" s="115"/>
      <c r="K606" s="115"/>
      <c r="L606" s="115"/>
      <c r="M606" s="115"/>
      <c r="N606" s="115"/>
      <c r="O606" s="115"/>
      <c r="P606" s="115"/>
    </row>
    <row r="607" spans="10:16" ht="12.5" x14ac:dyDescent="0.25">
      <c r="J607" s="115"/>
      <c r="K607" s="115"/>
      <c r="L607" s="115"/>
      <c r="M607" s="115"/>
      <c r="N607" s="115"/>
      <c r="O607" s="115"/>
      <c r="P607" s="115"/>
    </row>
    <row r="608" spans="10:16" ht="12.5" x14ac:dyDescent="0.25">
      <c r="J608" s="115"/>
      <c r="K608" s="115"/>
      <c r="L608" s="115"/>
      <c r="M608" s="115"/>
      <c r="N608" s="115"/>
      <c r="O608" s="115"/>
      <c r="P608" s="115"/>
    </row>
    <row r="609" spans="10:16" ht="12.5" x14ac:dyDescent="0.25">
      <c r="J609" s="115"/>
      <c r="K609" s="115"/>
      <c r="L609" s="115"/>
      <c r="M609" s="115"/>
      <c r="N609" s="115"/>
      <c r="O609" s="115"/>
      <c r="P609" s="115"/>
    </row>
    <row r="610" spans="10:16" ht="12.5" x14ac:dyDescent="0.25">
      <c r="J610" s="115"/>
      <c r="K610" s="115"/>
      <c r="L610" s="115"/>
      <c r="M610" s="115"/>
      <c r="N610" s="115"/>
      <c r="O610" s="115"/>
      <c r="P610" s="115"/>
    </row>
    <row r="611" spans="10:16" ht="12.5" x14ac:dyDescent="0.25">
      <c r="J611" s="115"/>
      <c r="K611" s="115"/>
      <c r="L611" s="115"/>
      <c r="M611" s="115"/>
      <c r="N611" s="115"/>
      <c r="O611" s="115"/>
      <c r="P611" s="115"/>
    </row>
    <row r="612" spans="10:16" ht="12.5" x14ac:dyDescent="0.25">
      <c r="J612" s="115"/>
      <c r="K612" s="115"/>
      <c r="L612" s="115"/>
      <c r="M612" s="115"/>
      <c r="N612" s="115"/>
      <c r="O612" s="115"/>
      <c r="P612" s="115"/>
    </row>
    <row r="613" spans="10:16" ht="12.5" x14ac:dyDescent="0.25">
      <c r="J613" s="115"/>
      <c r="K613" s="115"/>
      <c r="L613" s="115"/>
      <c r="M613" s="115"/>
      <c r="N613" s="115"/>
      <c r="O613" s="115"/>
      <c r="P613" s="115"/>
    </row>
    <row r="614" spans="10:16" ht="12.5" x14ac:dyDescent="0.25">
      <c r="J614" s="115"/>
      <c r="K614" s="115"/>
      <c r="L614" s="115"/>
      <c r="M614" s="115"/>
      <c r="N614" s="115"/>
      <c r="O614" s="115"/>
      <c r="P614" s="115"/>
    </row>
    <row r="615" spans="10:16" ht="12.5" x14ac:dyDescent="0.25">
      <c r="J615" s="115"/>
      <c r="K615" s="115"/>
      <c r="L615" s="115"/>
      <c r="M615" s="115"/>
      <c r="N615" s="115"/>
      <c r="O615" s="115"/>
      <c r="P615" s="115"/>
    </row>
    <row r="616" spans="10:16" ht="12.5" x14ac:dyDescent="0.25">
      <c r="J616" s="115"/>
      <c r="K616" s="115"/>
      <c r="L616" s="115"/>
      <c r="M616" s="115"/>
      <c r="N616" s="115"/>
      <c r="O616" s="115"/>
      <c r="P616" s="115"/>
    </row>
    <row r="617" spans="10:16" ht="12.5" x14ac:dyDescent="0.25">
      <c r="J617" s="115"/>
      <c r="K617" s="115"/>
      <c r="L617" s="115"/>
      <c r="M617" s="115"/>
      <c r="N617" s="115"/>
      <c r="O617" s="115"/>
      <c r="P617" s="115"/>
    </row>
    <row r="618" spans="10:16" ht="12.5" x14ac:dyDescent="0.25">
      <c r="J618" s="115"/>
      <c r="K618" s="115"/>
      <c r="L618" s="115"/>
      <c r="M618" s="115"/>
      <c r="N618" s="115"/>
      <c r="O618" s="115"/>
      <c r="P618" s="115"/>
    </row>
    <row r="619" spans="10:16" ht="12.5" x14ac:dyDescent="0.25">
      <c r="J619" s="115"/>
      <c r="K619" s="115"/>
      <c r="L619" s="115"/>
      <c r="M619" s="115"/>
      <c r="N619" s="115"/>
      <c r="O619" s="115"/>
      <c r="P619" s="115"/>
    </row>
    <row r="620" spans="10:16" ht="12.5" x14ac:dyDescent="0.25">
      <c r="J620" s="115"/>
      <c r="K620" s="115"/>
      <c r="L620" s="115"/>
      <c r="M620" s="115"/>
      <c r="N620" s="115"/>
      <c r="O620" s="115"/>
      <c r="P620" s="115"/>
    </row>
    <row r="621" spans="10:16" ht="12.5" x14ac:dyDescent="0.25">
      <c r="J621" s="115"/>
      <c r="K621" s="115"/>
      <c r="L621" s="115"/>
      <c r="M621" s="115"/>
      <c r="N621" s="115"/>
      <c r="O621" s="115"/>
      <c r="P621" s="115"/>
    </row>
    <row r="622" spans="10:16" ht="12.5" x14ac:dyDescent="0.25">
      <c r="J622" s="115"/>
      <c r="K622" s="115"/>
      <c r="L622" s="115"/>
      <c r="M622" s="115"/>
      <c r="N622" s="115"/>
      <c r="O622" s="115"/>
      <c r="P622" s="115"/>
    </row>
    <row r="623" spans="10:16" ht="12.5" x14ac:dyDescent="0.25">
      <c r="J623" s="115"/>
      <c r="K623" s="115"/>
      <c r="L623" s="115"/>
      <c r="M623" s="115"/>
      <c r="N623" s="115"/>
      <c r="O623" s="115"/>
      <c r="P623" s="115"/>
    </row>
    <row r="624" spans="10:16" ht="12.5" x14ac:dyDescent="0.25">
      <c r="J624" s="115"/>
      <c r="K624" s="115"/>
      <c r="L624" s="115"/>
      <c r="M624" s="115"/>
      <c r="N624" s="115"/>
      <c r="O624" s="115"/>
      <c r="P624" s="115"/>
    </row>
    <row r="625" spans="10:16" ht="12.5" x14ac:dyDescent="0.25">
      <c r="J625" s="115"/>
      <c r="K625" s="115"/>
      <c r="L625" s="115"/>
      <c r="M625" s="115"/>
      <c r="N625" s="115"/>
      <c r="O625" s="115"/>
      <c r="P625" s="115"/>
    </row>
    <row r="626" spans="10:16" ht="12.5" x14ac:dyDescent="0.25">
      <c r="J626" s="115"/>
      <c r="K626" s="115"/>
      <c r="L626" s="115"/>
      <c r="M626" s="115"/>
      <c r="N626" s="115"/>
      <c r="O626" s="115"/>
      <c r="P626" s="115"/>
    </row>
    <row r="627" spans="10:16" ht="12.5" x14ac:dyDescent="0.25">
      <c r="J627" s="115"/>
      <c r="K627" s="115"/>
      <c r="L627" s="115"/>
      <c r="M627" s="115"/>
      <c r="N627" s="115"/>
      <c r="O627" s="115"/>
      <c r="P627" s="115"/>
    </row>
    <row r="628" spans="10:16" ht="12.5" x14ac:dyDescent="0.25">
      <c r="J628" s="115"/>
      <c r="K628" s="115"/>
      <c r="L628" s="115"/>
      <c r="M628" s="115"/>
      <c r="N628" s="115"/>
      <c r="O628" s="115"/>
      <c r="P628" s="115"/>
    </row>
    <row r="629" spans="10:16" ht="12.5" x14ac:dyDescent="0.25">
      <c r="J629" s="115"/>
      <c r="K629" s="115"/>
      <c r="L629" s="115"/>
      <c r="M629" s="115"/>
      <c r="N629" s="115"/>
      <c r="O629" s="115"/>
      <c r="P629" s="115"/>
    </row>
    <row r="630" spans="10:16" ht="12.5" x14ac:dyDescent="0.25">
      <c r="J630" s="115"/>
      <c r="K630" s="115"/>
      <c r="L630" s="115"/>
      <c r="M630" s="115"/>
      <c r="N630" s="115"/>
      <c r="O630" s="115"/>
      <c r="P630" s="115"/>
    </row>
    <row r="631" spans="10:16" ht="12.5" x14ac:dyDescent="0.25">
      <c r="J631" s="115"/>
      <c r="K631" s="115"/>
      <c r="L631" s="115"/>
      <c r="M631" s="115"/>
      <c r="N631" s="115"/>
      <c r="O631" s="115"/>
      <c r="P631" s="115"/>
    </row>
    <row r="632" spans="10:16" ht="12.5" x14ac:dyDescent="0.25">
      <c r="J632" s="115"/>
      <c r="K632" s="115"/>
      <c r="L632" s="115"/>
      <c r="M632" s="115"/>
      <c r="N632" s="115"/>
      <c r="O632" s="115"/>
      <c r="P632" s="115"/>
    </row>
    <row r="633" spans="10:16" ht="12.5" x14ac:dyDescent="0.25">
      <c r="J633" s="115"/>
      <c r="K633" s="115"/>
      <c r="L633" s="115"/>
      <c r="M633" s="115"/>
      <c r="N633" s="115"/>
      <c r="O633" s="115"/>
      <c r="P633" s="115"/>
    </row>
    <row r="634" spans="10:16" ht="12.5" x14ac:dyDescent="0.25">
      <c r="J634" s="115"/>
      <c r="K634" s="115"/>
      <c r="L634" s="115"/>
      <c r="M634" s="115"/>
      <c r="N634" s="115"/>
      <c r="O634" s="115"/>
      <c r="P634" s="115"/>
    </row>
    <row r="635" spans="10:16" ht="12.5" x14ac:dyDescent="0.25">
      <c r="J635" s="115"/>
      <c r="K635" s="115"/>
      <c r="L635" s="115"/>
      <c r="M635" s="115"/>
      <c r="N635" s="115"/>
      <c r="O635" s="115"/>
      <c r="P635" s="115"/>
    </row>
    <row r="636" spans="10:16" ht="12.5" x14ac:dyDescent="0.25">
      <c r="J636" s="115"/>
      <c r="K636" s="115"/>
      <c r="L636" s="115"/>
      <c r="M636" s="115"/>
      <c r="N636" s="115"/>
      <c r="O636" s="115"/>
      <c r="P636" s="115"/>
    </row>
    <row r="637" spans="10:16" ht="12.5" x14ac:dyDescent="0.25">
      <c r="J637" s="115"/>
      <c r="K637" s="115"/>
      <c r="L637" s="115"/>
      <c r="M637" s="115"/>
      <c r="N637" s="115"/>
      <c r="O637" s="115"/>
      <c r="P637" s="115"/>
    </row>
    <row r="638" spans="10:16" ht="12.5" x14ac:dyDescent="0.25">
      <c r="J638" s="115"/>
      <c r="K638" s="115"/>
      <c r="L638" s="115"/>
      <c r="M638" s="115"/>
      <c r="N638" s="115"/>
      <c r="O638" s="115"/>
      <c r="P638" s="115"/>
    </row>
    <row r="639" spans="10:16" ht="12.5" x14ac:dyDescent="0.25">
      <c r="J639" s="115"/>
      <c r="K639" s="115"/>
      <c r="L639" s="115"/>
      <c r="M639" s="115"/>
      <c r="N639" s="115"/>
      <c r="O639" s="115"/>
      <c r="P639" s="115"/>
    </row>
    <row r="640" spans="10:16" ht="12.5" x14ac:dyDescent="0.25">
      <c r="J640" s="115"/>
      <c r="K640" s="115"/>
      <c r="L640" s="115"/>
      <c r="M640" s="115"/>
      <c r="N640" s="115"/>
      <c r="O640" s="115"/>
      <c r="P640" s="115"/>
    </row>
    <row r="641" spans="10:16" ht="12.5" x14ac:dyDescent="0.25">
      <c r="J641" s="115"/>
      <c r="K641" s="115"/>
      <c r="L641" s="115"/>
      <c r="M641" s="115"/>
      <c r="N641" s="115"/>
      <c r="O641" s="115"/>
      <c r="P641" s="115"/>
    </row>
    <row r="642" spans="10:16" ht="12.5" x14ac:dyDescent="0.25">
      <c r="J642" s="115"/>
      <c r="K642" s="115"/>
      <c r="L642" s="115"/>
      <c r="M642" s="115"/>
      <c r="N642" s="115"/>
      <c r="O642" s="115"/>
      <c r="P642" s="115"/>
    </row>
    <row r="643" spans="10:16" ht="12.5" x14ac:dyDescent="0.25">
      <c r="J643" s="115"/>
      <c r="K643" s="115"/>
      <c r="L643" s="115"/>
      <c r="M643" s="115"/>
      <c r="N643" s="115"/>
      <c r="O643" s="115"/>
      <c r="P643" s="115"/>
    </row>
    <row r="644" spans="10:16" ht="12.5" x14ac:dyDescent="0.25">
      <c r="J644" s="115"/>
      <c r="K644" s="115"/>
      <c r="L644" s="115"/>
      <c r="M644" s="115"/>
      <c r="N644" s="115"/>
      <c r="O644" s="115"/>
      <c r="P644" s="115"/>
    </row>
    <row r="645" spans="10:16" ht="12.5" x14ac:dyDescent="0.25">
      <c r="J645" s="115"/>
      <c r="K645" s="115"/>
      <c r="L645" s="115"/>
      <c r="M645" s="115"/>
      <c r="N645" s="115"/>
      <c r="O645" s="115"/>
      <c r="P645" s="115"/>
    </row>
    <row r="646" spans="10:16" ht="12.5" x14ac:dyDescent="0.25">
      <c r="J646" s="115"/>
      <c r="K646" s="115"/>
      <c r="L646" s="115"/>
      <c r="M646" s="115"/>
      <c r="N646" s="115"/>
      <c r="O646" s="115"/>
      <c r="P646" s="115"/>
    </row>
    <row r="647" spans="10:16" ht="12.5" x14ac:dyDescent="0.25">
      <c r="J647" s="115"/>
      <c r="K647" s="115"/>
      <c r="L647" s="115"/>
      <c r="M647" s="115"/>
      <c r="N647" s="115"/>
      <c r="O647" s="115"/>
      <c r="P647" s="115"/>
    </row>
    <row r="648" spans="10:16" ht="12.5" x14ac:dyDescent="0.25">
      <c r="J648" s="115"/>
      <c r="K648" s="115"/>
      <c r="L648" s="115"/>
      <c r="M648" s="115"/>
      <c r="N648" s="115"/>
      <c r="O648" s="115"/>
      <c r="P648" s="115"/>
    </row>
    <row r="649" spans="10:16" ht="12.5" x14ac:dyDescent="0.25">
      <c r="J649" s="115"/>
      <c r="K649" s="115"/>
      <c r="L649" s="115"/>
      <c r="M649" s="115"/>
      <c r="N649" s="115"/>
      <c r="O649" s="115"/>
      <c r="P649" s="115"/>
    </row>
    <row r="650" spans="10:16" ht="12.5" x14ac:dyDescent="0.25">
      <c r="J650" s="115"/>
      <c r="K650" s="115"/>
      <c r="L650" s="115"/>
      <c r="M650" s="115"/>
      <c r="N650" s="115"/>
      <c r="O650" s="115"/>
      <c r="P650" s="115"/>
    </row>
    <row r="651" spans="10:16" ht="12.5" x14ac:dyDescent="0.25">
      <c r="J651" s="115"/>
      <c r="K651" s="115"/>
      <c r="L651" s="115"/>
      <c r="M651" s="115"/>
      <c r="N651" s="115"/>
      <c r="O651" s="115"/>
      <c r="P651" s="115"/>
    </row>
    <row r="652" spans="10:16" ht="12.5" x14ac:dyDescent="0.25">
      <c r="J652" s="115"/>
      <c r="K652" s="115"/>
      <c r="L652" s="115"/>
      <c r="M652" s="115"/>
      <c r="N652" s="115"/>
      <c r="O652" s="115"/>
      <c r="P652" s="115"/>
    </row>
    <row r="653" spans="10:16" ht="12.5" x14ac:dyDescent="0.25">
      <c r="J653" s="115"/>
      <c r="K653" s="115"/>
      <c r="L653" s="115"/>
      <c r="M653" s="115"/>
      <c r="N653" s="115"/>
      <c r="O653" s="115"/>
      <c r="P653" s="115"/>
    </row>
    <row r="654" spans="10:16" ht="12.5" x14ac:dyDescent="0.25">
      <c r="J654" s="115"/>
      <c r="K654" s="115"/>
      <c r="L654" s="115"/>
      <c r="M654" s="115"/>
      <c r="N654" s="115"/>
      <c r="O654" s="115"/>
      <c r="P654" s="115"/>
    </row>
    <row r="655" spans="10:16" ht="12.5" x14ac:dyDescent="0.25">
      <c r="J655" s="115"/>
      <c r="K655" s="115"/>
      <c r="L655" s="115"/>
      <c r="M655" s="115"/>
      <c r="N655" s="115"/>
      <c r="O655" s="115"/>
      <c r="P655" s="115"/>
    </row>
    <row r="656" spans="10:16" ht="12.5" x14ac:dyDescent="0.25">
      <c r="J656" s="115"/>
      <c r="K656" s="115"/>
      <c r="L656" s="115"/>
      <c r="M656" s="115"/>
      <c r="N656" s="115"/>
      <c r="O656" s="115"/>
      <c r="P656" s="115"/>
    </row>
    <row r="657" spans="10:16" ht="12.5" x14ac:dyDescent="0.25">
      <c r="J657" s="115"/>
      <c r="K657" s="115"/>
      <c r="L657" s="115"/>
      <c r="M657" s="115"/>
      <c r="N657" s="115"/>
      <c r="O657" s="115"/>
      <c r="P657" s="115"/>
    </row>
    <row r="658" spans="10:16" ht="12.5" x14ac:dyDescent="0.25">
      <c r="J658" s="115"/>
      <c r="K658" s="115"/>
      <c r="L658" s="115"/>
      <c r="M658" s="115"/>
      <c r="N658" s="115"/>
      <c r="O658" s="115"/>
      <c r="P658" s="115"/>
    </row>
    <row r="659" spans="10:16" ht="12.5" x14ac:dyDescent="0.25">
      <c r="J659" s="115"/>
      <c r="K659" s="115"/>
      <c r="L659" s="115"/>
      <c r="M659" s="115"/>
      <c r="N659" s="115"/>
      <c r="O659" s="115"/>
      <c r="P659" s="115"/>
    </row>
    <row r="660" spans="10:16" ht="12.5" x14ac:dyDescent="0.25">
      <c r="J660" s="115"/>
      <c r="K660" s="115"/>
      <c r="L660" s="115"/>
      <c r="M660" s="115"/>
      <c r="N660" s="115"/>
      <c r="O660" s="115"/>
      <c r="P660" s="115"/>
    </row>
    <row r="661" spans="10:16" ht="12.5" x14ac:dyDescent="0.25">
      <c r="J661" s="115"/>
      <c r="K661" s="115"/>
      <c r="L661" s="115"/>
      <c r="M661" s="115"/>
      <c r="N661" s="115"/>
      <c r="O661" s="115"/>
      <c r="P661" s="115"/>
    </row>
    <row r="662" spans="10:16" ht="12.5" x14ac:dyDescent="0.25">
      <c r="J662" s="115"/>
      <c r="K662" s="115"/>
      <c r="L662" s="115"/>
      <c r="M662" s="115"/>
      <c r="N662" s="115"/>
      <c r="O662" s="115"/>
      <c r="P662" s="115"/>
    </row>
    <row r="663" spans="10:16" ht="12.5" x14ac:dyDescent="0.25">
      <c r="J663" s="115"/>
      <c r="K663" s="115"/>
      <c r="L663" s="115"/>
      <c r="M663" s="115"/>
      <c r="N663" s="115"/>
      <c r="O663" s="115"/>
      <c r="P663" s="115"/>
    </row>
    <row r="664" spans="10:16" ht="12.5" x14ac:dyDescent="0.25">
      <c r="J664" s="115"/>
      <c r="K664" s="115"/>
      <c r="L664" s="115"/>
      <c r="M664" s="115"/>
      <c r="N664" s="115"/>
      <c r="O664" s="115"/>
      <c r="P664" s="115"/>
    </row>
    <row r="665" spans="10:16" ht="12.5" x14ac:dyDescent="0.25">
      <c r="J665" s="115"/>
      <c r="K665" s="115"/>
      <c r="L665" s="115"/>
      <c r="M665" s="115"/>
      <c r="N665" s="115"/>
      <c r="O665" s="115"/>
      <c r="P665" s="115"/>
    </row>
    <row r="666" spans="10:16" ht="12.5" x14ac:dyDescent="0.25">
      <c r="J666" s="115"/>
      <c r="K666" s="115"/>
      <c r="L666" s="115"/>
      <c r="M666" s="115"/>
      <c r="N666" s="115"/>
      <c r="O666" s="115"/>
      <c r="P666" s="115"/>
    </row>
    <row r="667" spans="10:16" ht="12.5" x14ac:dyDescent="0.25">
      <c r="J667" s="115"/>
      <c r="K667" s="115"/>
      <c r="L667" s="115"/>
      <c r="M667" s="115"/>
      <c r="N667" s="115"/>
      <c r="O667" s="115"/>
      <c r="P667" s="115"/>
    </row>
    <row r="668" spans="10:16" ht="12.5" x14ac:dyDescent="0.25">
      <c r="J668" s="115"/>
      <c r="K668" s="115"/>
      <c r="L668" s="115"/>
      <c r="M668" s="115"/>
      <c r="N668" s="115"/>
      <c r="O668" s="115"/>
      <c r="P668" s="115"/>
    </row>
    <row r="669" spans="10:16" ht="12.5" x14ac:dyDescent="0.25">
      <c r="J669" s="115"/>
      <c r="K669" s="115"/>
      <c r="L669" s="115"/>
      <c r="M669" s="115"/>
      <c r="N669" s="115"/>
      <c r="O669" s="115"/>
      <c r="P669" s="115"/>
    </row>
    <row r="670" spans="10:16" ht="12.5" x14ac:dyDescent="0.25">
      <c r="J670" s="115"/>
      <c r="K670" s="115"/>
      <c r="L670" s="115"/>
      <c r="M670" s="115"/>
      <c r="N670" s="115"/>
      <c r="O670" s="115"/>
      <c r="P670" s="115"/>
    </row>
    <row r="671" spans="10:16" ht="12.5" x14ac:dyDescent="0.25">
      <c r="J671" s="115"/>
      <c r="K671" s="115"/>
      <c r="L671" s="115"/>
      <c r="M671" s="115"/>
      <c r="N671" s="115"/>
      <c r="O671" s="115"/>
      <c r="P671" s="115"/>
    </row>
    <row r="672" spans="10:16" ht="12.5" x14ac:dyDescent="0.25">
      <c r="J672" s="115"/>
      <c r="K672" s="115"/>
      <c r="L672" s="115"/>
      <c r="M672" s="115"/>
      <c r="N672" s="115"/>
      <c r="O672" s="115"/>
      <c r="P672" s="115"/>
    </row>
    <row r="673" spans="10:16" ht="12.5" x14ac:dyDescent="0.25">
      <c r="J673" s="115"/>
      <c r="K673" s="115"/>
      <c r="L673" s="115"/>
      <c r="M673" s="115"/>
      <c r="N673" s="115"/>
      <c r="O673" s="115"/>
      <c r="P673" s="115"/>
    </row>
    <row r="674" spans="10:16" ht="12.5" x14ac:dyDescent="0.25">
      <c r="J674" s="115"/>
      <c r="K674" s="115"/>
      <c r="L674" s="115"/>
      <c r="M674" s="115"/>
      <c r="N674" s="115"/>
      <c r="O674" s="115"/>
      <c r="P674" s="115"/>
    </row>
    <row r="675" spans="10:16" ht="12.5" x14ac:dyDescent="0.25">
      <c r="J675" s="115"/>
      <c r="K675" s="115"/>
      <c r="L675" s="115"/>
      <c r="M675" s="115"/>
      <c r="N675" s="115"/>
      <c r="O675" s="115"/>
      <c r="P675" s="115"/>
    </row>
    <row r="676" spans="10:16" ht="12.5" x14ac:dyDescent="0.25">
      <c r="J676" s="115"/>
      <c r="K676" s="115"/>
      <c r="L676" s="115"/>
      <c r="M676" s="115"/>
      <c r="N676" s="115"/>
      <c r="O676" s="115"/>
      <c r="P676" s="115"/>
    </row>
    <row r="677" spans="10:16" ht="12.5" x14ac:dyDescent="0.25">
      <c r="J677" s="115"/>
      <c r="K677" s="115"/>
      <c r="L677" s="115"/>
      <c r="M677" s="115"/>
      <c r="N677" s="115"/>
      <c r="O677" s="115"/>
      <c r="P677" s="115"/>
    </row>
    <row r="678" spans="10:16" ht="12.5" x14ac:dyDescent="0.25">
      <c r="J678" s="115"/>
      <c r="K678" s="115"/>
      <c r="L678" s="115"/>
      <c r="M678" s="115"/>
      <c r="N678" s="115"/>
      <c r="O678" s="115"/>
      <c r="P678" s="115"/>
    </row>
    <row r="679" spans="10:16" ht="12.5" x14ac:dyDescent="0.25">
      <c r="J679" s="115"/>
      <c r="K679" s="115"/>
      <c r="L679" s="115"/>
      <c r="M679" s="115"/>
      <c r="N679" s="115"/>
      <c r="O679" s="115"/>
      <c r="P679" s="115"/>
    </row>
    <row r="680" spans="10:16" ht="12.5" x14ac:dyDescent="0.25">
      <c r="J680" s="115"/>
      <c r="K680" s="115"/>
      <c r="L680" s="115"/>
      <c r="M680" s="115"/>
      <c r="N680" s="115"/>
      <c r="O680" s="115"/>
      <c r="P680" s="115"/>
    </row>
    <row r="681" spans="10:16" ht="12.5" x14ac:dyDescent="0.25">
      <c r="J681" s="115"/>
      <c r="K681" s="115"/>
      <c r="L681" s="115"/>
      <c r="M681" s="115"/>
      <c r="N681" s="115"/>
      <c r="O681" s="115"/>
      <c r="P681" s="115"/>
    </row>
    <row r="682" spans="10:16" ht="12.5" x14ac:dyDescent="0.25">
      <c r="J682" s="115"/>
      <c r="K682" s="115"/>
      <c r="L682" s="115"/>
      <c r="M682" s="115"/>
      <c r="N682" s="115"/>
      <c r="O682" s="115"/>
      <c r="P682" s="115"/>
    </row>
    <row r="683" spans="10:16" ht="12.5" x14ac:dyDescent="0.25">
      <c r="J683" s="115"/>
      <c r="K683" s="115"/>
      <c r="L683" s="115"/>
      <c r="M683" s="115"/>
      <c r="N683" s="115"/>
      <c r="O683" s="115"/>
      <c r="P683" s="115"/>
    </row>
    <row r="684" spans="10:16" ht="12.5" x14ac:dyDescent="0.25">
      <c r="J684" s="115"/>
      <c r="K684" s="115"/>
      <c r="L684" s="115"/>
      <c r="M684" s="115"/>
      <c r="N684" s="115"/>
      <c r="O684" s="115"/>
      <c r="P684" s="115"/>
    </row>
    <row r="685" spans="10:16" ht="12.5" x14ac:dyDescent="0.25">
      <c r="J685" s="115"/>
      <c r="K685" s="115"/>
      <c r="L685" s="115"/>
      <c r="M685" s="115"/>
      <c r="N685" s="115"/>
      <c r="O685" s="115"/>
      <c r="P685" s="115"/>
    </row>
    <row r="686" spans="10:16" ht="12.5" x14ac:dyDescent="0.25">
      <c r="J686" s="115"/>
      <c r="K686" s="115"/>
      <c r="L686" s="115"/>
      <c r="M686" s="115"/>
      <c r="N686" s="115"/>
      <c r="O686" s="115"/>
      <c r="P686" s="115"/>
    </row>
    <row r="687" spans="10:16" ht="12.5" x14ac:dyDescent="0.25">
      <c r="J687" s="115"/>
      <c r="K687" s="115"/>
      <c r="L687" s="115"/>
      <c r="M687" s="115"/>
      <c r="N687" s="115"/>
      <c r="O687" s="115"/>
      <c r="P687" s="115"/>
    </row>
    <row r="688" spans="10:16" ht="12.5" x14ac:dyDescent="0.25">
      <c r="J688" s="115"/>
      <c r="K688" s="115"/>
      <c r="L688" s="115"/>
      <c r="M688" s="115"/>
      <c r="N688" s="115"/>
      <c r="O688" s="115"/>
      <c r="P688" s="115"/>
    </row>
    <row r="689" spans="10:16" ht="12.5" x14ac:dyDescent="0.25">
      <c r="J689" s="115"/>
      <c r="K689" s="115"/>
      <c r="L689" s="115"/>
      <c r="M689" s="115"/>
      <c r="N689" s="115"/>
      <c r="O689" s="115"/>
      <c r="P689" s="115"/>
    </row>
    <row r="690" spans="10:16" ht="12.5" x14ac:dyDescent="0.25">
      <c r="J690" s="115"/>
      <c r="K690" s="115"/>
      <c r="L690" s="115"/>
      <c r="M690" s="115"/>
      <c r="N690" s="115"/>
      <c r="O690" s="115"/>
      <c r="P690" s="115"/>
    </row>
    <row r="691" spans="10:16" ht="12.5" x14ac:dyDescent="0.25">
      <c r="J691" s="115"/>
      <c r="K691" s="115"/>
      <c r="L691" s="115"/>
      <c r="M691" s="115"/>
      <c r="N691" s="115"/>
      <c r="O691" s="115"/>
      <c r="P691" s="115"/>
    </row>
    <row r="692" spans="10:16" ht="12.5" x14ac:dyDescent="0.25">
      <c r="J692" s="115"/>
      <c r="K692" s="115"/>
      <c r="L692" s="115"/>
      <c r="M692" s="115"/>
      <c r="N692" s="115"/>
      <c r="O692" s="115"/>
      <c r="P692" s="115"/>
    </row>
    <row r="693" spans="10:16" ht="12.5" x14ac:dyDescent="0.25">
      <c r="J693" s="115"/>
      <c r="K693" s="115"/>
      <c r="L693" s="115"/>
      <c r="M693" s="115"/>
      <c r="N693" s="115"/>
      <c r="O693" s="115"/>
      <c r="P693" s="115"/>
    </row>
    <row r="694" spans="10:16" ht="12.5" x14ac:dyDescent="0.25">
      <c r="J694" s="115"/>
      <c r="K694" s="115"/>
      <c r="L694" s="115"/>
      <c r="M694" s="115"/>
      <c r="N694" s="115"/>
      <c r="O694" s="115"/>
      <c r="P694" s="115"/>
    </row>
    <row r="695" spans="10:16" ht="12.5" x14ac:dyDescent="0.25">
      <c r="J695" s="115"/>
      <c r="K695" s="115"/>
      <c r="L695" s="115"/>
      <c r="M695" s="115"/>
      <c r="N695" s="115"/>
      <c r="O695" s="115"/>
      <c r="P695" s="115"/>
    </row>
    <row r="696" spans="10:16" ht="12.5" x14ac:dyDescent="0.25">
      <c r="J696" s="115"/>
      <c r="K696" s="115"/>
      <c r="L696" s="115"/>
      <c r="M696" s="115"/>
      <c r="N696" s="115"/>
      <c r="O696" s="115"/>
      <c r="P696" s="115"/>
    </row>
    <row r="697" spans="10:16" ht="12.5" x14ac:dyDescent="0.25">
      <c r="J697" s="115"/>
      <c r="K697" s="115"/>
      <c r="L697" s="115"/>
      <c r="M697" s="115"/>
      <c r="N697" s="115"/>
      <c r="O697" s="115"/>
      <c r="P697" s="115"/>
    </row>
    <row r="698" spans="10:16" ht="12.5" x14ac:dyDescent="0.25">
      <c r="J698" s="115"/>
      <c r="K698" s="115"/>
      <c r="L698" s="115"/>
      <c r="M698" s="115"/>
      <c r="N698" s="115"/>
      <c r="O698" s="115"/>
      <c r="P698" s="115"/>
    </row>
    <row r="699" spans="10:16" ht="12.5" x14ac:dyDescent="0.25">
      <c r="J699" s="115"/>
      <c r="K699" s="115"/>
      <c r="L699" s="115"/>
      <c r="M699" s="115"/>
      <c r="N699" s="115"/>
      <c r="O699" s="115"/>
      <c r="P699" s="115"/>
    </row>
    <row r="700" spans="10:16" ht="12.5" x14ac:dyDescent="0.25">
      <c r="J700" s="115"/>
      <c r="K700" s="115"/>
      <c r="L700" s="115"/>
      <c r="M700" s="115"/>
      <c r="N700" s="115"/>
      <c r="O700" s="115"/>
      <c r="P700" s="115"/>
    </row>
    <row r="701" spans="10:16" ht="12.5" x14ac:dyDescent="0.25">
      <c r="J701" s="115"/>
      <c r="K701" s="115"/>
      <c r="L701" s="115"/>
      <c r="M701" s="115"/>
      <c r="N701" s="115"/>
      <c r="O701" s="115"/>
      <c r="P701" s="115"/>
    </row>
    <row r="702" spans="10:16" ht="12.5" x14ac:dyDescent="0.25">
      <c r="J702" s="115"/>
      <c r="K702" s="115"/>
      <c r="L702" s="115"/>
      <c r="M702" s="115"/>
      <c r="N702" s="115"/>
      <c r="O702" s="115"/>
      <c r="P702" s="115"/>
    </row>
    <row r="703" spans="10:16" ht="12.5" x14ac:dyDescent="0.25">
      <c r="J703" s="115"/>
      <c r="K703" s="115"/>
      <c r="L703" s="115"/>
      <c r="M703" s="115"/>
      <c r="N703" s="115"/>
      <c r="O703" s="115"/>
      <c r="P703" s="115"/>
    </row>
    <row r="704" spans="10:16" ht="12.5" x14ac:dyDescent="0.25">
      <c r="J704" s="115"/>
      <c r="K704" s="115"/>
      <c r="L704" s="115"/>
      <c r="M704" s="115"/>
      <c r="N704" s="115"/>
      <c r="O704" s="115"/>
      <c r="P704" s="115"/>
    </row>
    <row r="705" spans="10:16" ht="12.5" x14ac:dyDescent="0.25">
      <c r="J705" s="115"/>
      <c r="K705" s="115"/>
      <c r="L705" s="115"/>
      <c r="M705" s="115"/>
      <c r="N705" s="115"/>
      <c r="O705" s="115"/>
      <c r="P705" s="115"/>
    </row>
    <row r="706" spans="10:16" ht="12.5" x14ac:dyDescent="0.25">
      <c r="J706" s="115"/>
      <c r="K706" s="115"/>
      <c r="L706" s="115"/>
      <c r="M706" s="115"/>
      <c r="N706" s="115"/>
      <c r="O706" s="115"/>
      <c r="P706" s="115"/>
    </row>
    <row r="707" spans="10:16" ht="12.5" x14ac:dyDescent="0.25">
      <c r="J707" s="115"/>
      <c r="K707" s="115"/>
      <c r="L707" s="115"/>
      <c r="M707" s="115"/>
      <c r="N707" s="115"/>
      <c r="O707" s="115"/>
      <c r="P707" s="115"/>
    </row>
    <row r="708" spans="10:16" ht="12.5" x14ac:dyDescent="0.25">
      <c r="J708" s="115"/>
      <c r="K708" s="115"/>
      <c r="L708" s="115"/>
      <c r="M708" s="115"/>
      <c r="N708" s="115"/>
      <c r="O708" s="115"/>
      <c r="P708" s="115"/>
    </row>
    <row r="709" spans="10:16" ht="12.5" x14ac:dyDescent="0.25">
      <c r="J709" s="115"/>
      <c r="K709" s="115"/>
      <c r="L709" s="115"/>
      <c r="M709" s="115"/>
      <c r="N709" s="115"/>
      <c r="O709" s="115"/>
      <c r="P709" s="115"/>
    </row>
    <row r="710" spans="10:16" ht="12.5" x14ac:dyDescent="0.25">
      <c r="J710" s="115"/>
      <c r="K710" s="115"/>
      <c r="L710" s="115"/>
      <c r="M710" s="115"/>
      <c r="N710" s="115"/>
      <c r="O710" s="115"/>
      <c r="P710" s="115"/>
    </row>
    <row r="711" spans="10:16" ht="12.5" x14ac:dyDescent="0.25">
      <c r="J711" s="115"/>
      <c r="K711" s="115"/>
      <c r="L711" s="115"/>
      <c r="M711" s="115"/>
      <c r="N711" s="115"/>
      <c r="O711" s="115"/>
      <c r="P711" s="115"/>
    </row>
    <row r="712" spans="10:16" ht="12.5" x14ac:dyDescent="0.25">
      <c r="J712" s="115"/>
      <c r="K712" s="115"/>
      <c r="L712" s="115"/>
      <c r="M712" s="115"/>
      <c r="N712" s="115"/>
      <c r="O712" s="115"/>
      <c r="P712" s="115"/>
    </row>
    <row r="713" spans="10:16" ht="12.5" x14ac:dyDescent="0.25">
      <c r="J713" s="115"/>
      <c r="K713" s="115"/>
      <c r="L713" s="115"/>
      <c r="M713" s="115"/>
      <c r="N713" s="115"/>
      <c r="O713" s="115"/>
      <c r="P713" s="115"/>
    </row>
    <row r="714" spans="10:16" ht="12.5" x14ac:dyDescent="0.25">
      <c r="J714" s="115"/>
      <c r="K714" s="115"/>
      <c r="L714" s="115"/>
      <c r="M714" s="115"/>
      <c r="N714" s="115"/>
      <c r="O714" s="115"/>
      <c r="P714" s="115"/>
    </row>
    <row r="715" spans="10:16" ht="12.5" x14ac:dyDescent="0.25">
      <c r="J715" s="115"/>
      <c r="K715" s="115"/>
      <c r="L715" s="115"/>
      <c r="M715" s="115"/>
      <c r="N715" s="115"/>
      <c r="O715" s="115"/>
      <c r="P715" s="115"/>
    </row>
    <row r="716" spans="10:16" ht="12.5" x14ac:dyDescent="0.25">
      <c r="J716" s="115"/>
      <c r="K716" s="115"/>
      <c r="L716" s="115"/>
      <c r="M716" s="115"/>
      <c r="N716" s="115"/>
      <c r="O716" s="115"/>
      <c r="P716" s="115"/>
    </row>
    <row r="717" spans="10:16" ht="12.5" x14ac:dyDescent="0.25">
      <c r="J717" s="115"/>
      <c r="K717" s="115"/>
      <c r="L717" s="115"/>
      <c r="M717" s="115"/>
      <c r="N717" s="115"/>
      <c r="O717" s="115"/>
      <c r="P717" s="115"/>
    </row>
    <row r="718" spans="10:16" ht="12.5" x14ac:dyDescent="0.25">
      <c r="J718" s="115"/>
      <c r="K718" s="115"/>
      <c r="L718" s="115"/>
      <c r="M718" s="115"/>
      <c r="N718" s="115"/>
      <c r="O718" s="115"/>
      <c r="P718" s="115"/>
    </row>
    <row r="719" spans="10:16" ht="12.5" x14ac:dyDescent="0.25">
      <c r="J719" s="115"/>
      <c r="K719" s="115"/>
      <c r="L719" s="115"/>
      <c r="M719" s="115"/>
      <c r="N719" s="115"/>
      <c r="O719" s="115"/>
      <c r="P719" s="115"/>
    </row>
    <row r="720" spans="10:16" ht="12.5" x14ac:dyDescent="0.25">
      <c r="J720" s="115"/>
      <c r="K720" s="115"/>
      <c r="L720" s="115"/>
      <c r="M720" s="115"/>
      <c r="N720" s="115"/>
      <c r="O720" s="115"/>
      <c r="P720" s="115"/>
    </row>
    <row r="721" spans="10:16" ht="12.5" x14ac:dyDescent="0.25">
      <c r="J721" s="115"/>
      <c r="K721" s="115"/>
      <c r="L721" s="115"/>
      <c r="M721" s="115"/>
      <c r="N721" s="115"/>
      <c r="O721" s="115"/>
      <c r="P721" s="115"/>
    </row>
    <row r="722" spans="10:16" ht="12.5" x14ac:dyDescent="0.25">
      <c r="J722" s="115"/>
      <c r="K722" s="115"/>
      <c r="L722" s="115"/>
      <c r="M722" s="115"/>
      <c r="N722" s="115"/>
      <c r="O722" s="115"/>
      <c r="P722" s="115"/>
    </row>
    <row r="723" spans="10:16" ht="12.5" x14ac:dyDescent="0.25">
      <c r="J723" s="115"/>
      <c r="K723" s="115"/>
      <c r="L723" s="115"/>
      <c r="M723" s="115"/>
      <c r="N723" s="115"/>
      <c r="O723" s="115"/>
      <c r="P723" s="115"/>
    </row>
    <row r="724" spans="10:16" ht="12.5" x14ac:dyDescent="0.25">
      <c r="J724" s="115"/>
      <c r="K724" s="115"/>
      <c r="L724" s="115"/>
      <c r="M724" s="115"/>
      <c r="N724" s="115"/>
      <c r="O724" s="115"/>
      <c r="P724" s="115"/>
    </row>
    <row r="725" spans="10:16" ht="12.5" x14ac:dyDescent="0.25">
      <c r="J725" s="115"/>
      <c r="K725" s="115"/>
      <c r="L725" s="115"/>
      <c r="M725" s="115"/>
      <c r="N725" s="115"/>
      <c r="O725" s="115"/>
      <c r="P725" s="115"/>
    </row>
    <row r="726" spans="10:16" ht="12.5" x14ac:dyDescent="0.25">
      <c r="J726" s="115"/>
      <c r="K726" s="115"/>
      <c r="L726" s="115"/>
      <c r="M726" s="115"/>
      <c r="N726" s="115"/>
      <c r="O726" s="115"/>
      <c r="P726" s="115"/>
    </row>
    <row r="727" spans="10:16" ht="12.5" x14ac:dyDescent="0.25">
      <c r="J727" s="115"/>
      <c r="K727" s="115"/>
      <c r="L727" s="115"/>
      <c r="M727" s="115"/>
      <c r="N727" s="115"/>
      <c r="O727" s="115"/>
      <c r="P727" s="115"/>
    </row>
    <row r="728" spans="10:16" ht="12.5" x14ac:dyDescent="0.25">
      <c r="J728" s="115"/>
      <c r="K728" s="115"/>
      <c r="L728" s="115"/>
      <c r="M728" s="115"/>
      <c r="N728" s="115"/>
      <c r="O728" s="115"/>
      <c r="P728" s="115"/>
    </row>
    <row r="729" spans="10:16" ht="12.5" x14ac:dyDescent="0.25">
      <c r="J729" s="115"/>
      <c r="K729" s="115"/>
      <c r="L729" s="115"/>
      <c r="M729" s="115"/>
      <c r="N729" s="115"/>
      <c r="O729" s="115"/>
      <c r="P729" s="115"/>
    </row>
    <row r="730" spans="10:16" ht="12.5" x14ac:dyDescent="0.25">
      <c r="J730" s="115"/>
      <c r="K730" s="115"/>
      <c r="L730" s="115"/>
      <c r="M730" s="115"/>
      <c r="N730" s="115"/>
      <c r="O730" s="115"/>
      <c r="P730" s="115"/>
    </row>
    <row r="731" spans="10:16" ht="12.5" x14ac:dyDescent="0.25">
      <c r="J731" s="115"/>
      <c r="K731" s="115"/>
      <c r="L731" s="115"/>
      <c r="M731" s="115"/>
      <c r="N731" s="115"/>
      <c r="O731" s="115"/>
      <c r="P731" s="115"/>
    </row>
    <row r="732" spans="10:16" ht="12.5" x14ac:dyDescent="0.25">
      <c r="J732" s="115"/>
      <c r="K732" s="115"/>
      <c r="L732" s="115"/>
      <c r="M732" s="115"/>
      <c r="N732" s="115"/>
      <c r="O732" s="115"/>
      <c r="P732" s="115"/>
    </row>
    <row r="733" spans="10:16" ht="12.5" x14ac:dyDescent="0.25">
      <c r="J733" s="115"/>
      <c r="K733" s="115"/>
      <c r="L733" s="115"/>
      <c r="M733" s="115"/>
      <c r="N733" s="115"/>
      <c r="O733" s="115"/>
      <c r="P733" s="115"/>
    </row>
    <row r="734" spans="10:16" ht="12.5" x14ac:dyDescent="0.25">
      <c r="J734" s="115"/>
      <c r="K734" s="115"/>
      <c r="L734" s="115"/>
      <c r="M734" s="115"/>
      <c r="N734" s="115"/>
      <c r="O734" s="115"/>
      <c r="P734" s="115"/>
    </row>
    <row r="735" spans="10:16" ht="12.5" x14ac:dyDescent="0.25">
      <c r="J735" s="115"/>
      <c r="K735" s="115"/>
      <c r="L735" s="115"/>
      <c r="M735" s="115"/>
      <c r="N735" s="115"/>
      <c r="O735" s="115"/>
      <c r="P735" s="115"/>
    </row>
    <row r="736" spans="10:16" ht="12.5" x14ac:dyDescent="0.25">
      <c r="J736" s="115"/>
      <c r="K736" s="115"/>
      <c r="L736" s="115"/>
      <c r="M736" s="115"/>
      <c r="N736" s="115"/>
      <c r="O736" s="115"/>
      <c r="P736" s="115"/>
    </row>
    <row r="737" spans="10:16" ht="12.5" x14ac:dyDescent="0.25">
      <c r="J737" s="115"/>
      <c r="K737" s="115"/>
      <c r="L737" s="115"/>
      <c r="M737" s="115"/>
      <c r="N737" s="115"/>
      <c r="O737" s="115"/>
      <c r="P737" s="115"/>
    </row>
    <row r="738" spans="10:16" ht="12.5" x14ac:dyDescent="0.25">
      <c r="J738" s="115"/>
      <c r="K738" s="115"/>
      <c r="L738" s="115"/>
      <c r="M738" s="115"/>
      <c r="N738" s="115"/>
      <c r="O738" s="115"/>
      <c r="P738" s="115"/>
    </row>
    <row r="739" spans="10:16" ht="12.5" x14ac:dyDescent="0.25">
      <c r="J739" s="115"/>
      <c r="K739" s="115"/>
      <c r="L739" s="115"/>
      <c r="M739" s="115"/>
      <c r="N739" s="115"/>
      <c r="O739" s="115"/>
      <c r="P739" s="115"/>
    </row>
    <row r="740" spans="10:16" ht="12.5" x14ac:dyDescent="0.25">
      <c r="J740" s="115"/>
      <c r="K740" s="115"/>
      <c r="L740" s="115"/>
      <c r="M740" s="115"/>
      <c r="N740" s="115"/>
      <c r="O740" s="115"/>
      <c r="P740" s="115"/>
    </row>
    <row r="741" spans="10:16" ht="12.5" x14ac:dyDescent="0.25">
      <c r="J741" s="115"/>
      <c r="K741" s="115"/>
      <c r="L741" s="115"/>
      <c r="M741" s="115"/>
      <c r="N741" s="115"/>
      <c r="O741" s="115"/>
      <c r="P741" s="115"/>
    </row>
    <row r="742" spans="10:16" ht="12.5" x14ac:dyDescent="0.25">
      <c r="J742" s="115"/>
      <c r="K742" s="115"/>
      <c r="L742" s="115"/>
      <c r="M742" s="115"/>
      <c r="N742" s="115"/>
      <c r="O742" s="115"/>
      <c r="P742" s="115"/>
    </row>
    <row r="743" spans="10:16" ht="12.5" x14ac:dyDescent="0.25">
      <c r="J743" s="115"/>
      <c r="K743" s="115"/>
      <c r="L743" s="115"/>
      <c r="M743" s="115"/>
      <c r="N743" s="115"/>
      <c r="O743" s="115"/>
      <c r="P743" s="115"/>
    </row>
    <row r="744" spans="10:16" ht="12.5" x14ac:dyDescent="0.25">
      <c r="J744" s="115"/>
      <c r="K744" s="115"/>
      <c r="L744" s="115"/>
      <c r="M744" s="115"/>
      <c r="N744" s="115"/>
      <c r="O744" s="115"/>
      <c r="P744" s="115"/>
    </row>
    <row r="745" spans="10:16" ht="12.5" x14ac:dyDescent="0.25">
      <c r="J745" s="115"/>
      <c r="K745" s="115"/>
      <c r="L745" s="115"/>
      <c r="M745" s="115"/>
      <c r="N745" s="115"/>
      <c r="O745" s="115"/>
      <c r="P745" s="115"/>
    </row>
    <row r="746" spans="10:16" ht="12.5" x14ac:dyDescent="0.25">
      <c r="J746" s="115"/>
      <c r="K746" s="115"/>
      <c r="L746" s="115"/>
      <c r="M746" s="115"/>
      <c r="N746" s="115"/>
      <c r="O746" s="115"/>
      <c r="P746" s="115"/>
    </row>
    <row r="747" spans="10:16" ht="12.5" x14ac:dyDescent="0.25">
      <c r="J747" s="115"/>
      <c r="K747" s="115"/>
      <c r="L747" s="115"/>
      <c r="M747" s="115"/>
      <c r="N747" s="115"/>
      <c r="O747" s="115"/>
      <c r="P747" s="115"/>
    </row>
    <row r="748" spans="10:16" ht="12.5" x14ac:dyDescent="0.25">
      <c r="J748" s="115"/>
      <c r="K748" s="115"/>
      <c r="L748" s="115"/>
      <c r="M748" s="115"/>
      <c r="N748" s="115"/>
      <c r="O748" s="115"/>
      <c r="P748" s="115"/>
    </row>
    <row r="749" spans="10:16" ht="12.5" x14ac:dyDescent="0.25">
      <c r="J749" s="115"/>
      <c r="K749" s="115"/>
      <c r="L749" s="115"/>
      <c r="M749" s="115"/>
      <c r="N749" s="115"/>
      <c r="O749" s="115"/>
      <c r="P749" s="115"/>
    </row>
    <row r="750" spans="10:16" ht="12.5" x14ac:dyDescent="0.25">
      <c r="J750" s="115"/>
      <c r="K750" s="115"/>
      <c r="L750" s="115"/>
      <c r="M750" s="115"/>
      <c r="N750" s="115"/>
      <c r="O750" s="115"/>
      <c r="P750" s="115"/>
    </row>
    <row r="751" spans="10:16" ht="12.5" x14ac:dyDescent="0.25">
      <c r="J751" s="115"/>
      <c r="K751" s="115"/>
      <c r="L751" s="115"/>
      <c r="M751" s="115"/>
      <c r="N751" s="115"/>
      <c r="O751" s="115"/>
      <c r="P751" s="115"/>
    </row>
    <row r="752" spans="10:16" ht="12.5" x14ac:dyDescent="0.25">
      <c r="J752" s="115"/>
      <c r="K752" s="115"/>
      <c r="L752" s="115"/>
      <c r="M752" s="115"/>
      <c r="N752" s="115"/>
      <c r="O752" s="115"/>
      <c r="P752" s="115"/>
    </row>
    <row r="753" spans="10:16" ht="12.5" x14ac:dyDescent="0.25">
      <c r="J753" s="115"/>
      <c r="K753" s="115"/>
      <c r="L753" s="115"/>
      <c r="M753" s="115"/>
      <c r="N753" s="115"/>
      <c r="O753" s="115"/>
      <c r="P753" s="115"/>
    </row>
    <row r="754" spans="10:16" ht="12.5" x14ac:dyDescent="0.25">
      <c r="J754" s="115"/>
      <c r="K754" s="115"/>
      <c r="L754" s="115"/>
      <c r="M754" s="115"/>
      <c r="N754" s="115"/>
      <c r="O754" s="115"/>
      <c r="P754" s="115"/>
    </row>
    <row r="755" spans="10:16" ht="12.5" x14ac:dyDescent="0.25">
      <c r="J755" s="115"/>
      <c r="K755" s="115"/>
      <c r="L755" s="115"/>
      <c r="M755" s="115"/>
      <c r="N755" s="115"/>
      <c r="O755" s="115"/>
      <c r="P755" s="115"/>
    </row>
    <row r="756" spans="10:16" ht="12.5" x14ac:dyDescent="0.25">
      <c r="J756" s="115"/>
      <c r="K756" s="115"/>
      <c r="L756" s="115"/>
      <c r="M756" s="115"/>
      <c r="N756" s="115"/>
      <c r="O756" s="115"/>
      <c r="P756" s="115"/>
    </row>
    <row r="757" spans="10:16" ht="12.5" x14ac:dyDescent="0.25">
      <c r="J757" s="115"/>
      <c r="K757" s="115"/>
      <c r="L757" s="115"/>
      <c r="M757" s="115"/>
      <c r="N757" s="115"/>
      <c r="O757" s="115"/>
      <c r="P757" s="115"/>
    </row>
    <row r="758" spans="10:16" ht="12.5" x14ac:dyDescent="0.25">
      <c r="J758" s="115"/>
      <c r="K758" s="115"/>
      <c r="L758" s="115"/>
      <c r="M758" s="115"/>
      <c r="N758" s="115"/>
      <c r="O758" s="115"/>
      <c r="P758" s="115"/>
    </row>
    <row r="759" spans="10:16" ht="12.5" x14ac:dyDescent="0.25">
      <c r="J759" s="115"/>
      <c r="K759" s="115"/>
      <c r="L759" s="115"/>
      <c r="M759" s="115"/>
      <c r="N759" s="115"/>
      <c r="O759" s="115"/>
      <c r="P759" s="115"/>
    </row>
    <row r="760" spans="10:16" ht="12.5" x14ac:dyDescent="0.25">
      <c r="J760" s="115"/>
      <c r="K760" s="115"/>
      <c r="L760" s="115"/>
      <c r="M760" s="115"/>
      <c r="N760" s="115"/>
      <c r="O760" s="115"/>
      <c r="P760" s="115"/>
    </row>
    <row r="761" spans="10:16" ht="12.5" x14ac:dyDescent="0.25">
      <c r="J761" s="115"/>
      <c r="K761" s="115"/>
      <c r="L761" s="115"/>
      <c r="M761" s="115"/>
      <c r="N761" s="115"/>
      <c r="O761" s="115"/>
      <c r="P761" s="115"/>
    </row>
    <row r="762" spans="10:16" ht="12.5" x14ac:dyDescent="0.25">
      <c r="J762" s="115"/>
      <c r="K762" s="115"/>
      <c r="L762" s="115"/>
      <c r="M762" s="115"/>
      <c r="N762" s="115"/>
      <c r="O762" s="115"/>
      <c r="P762" s="115"/>
    </row>
    <row r="763" spans="10:16" ht="12.5" x14ac:dyDescent="0.25">
      <c r="J763" s="115"/>
      <c r="K763" s="115"/>
      <c r="L763" s="115"/>
      <c r="M763" s="115"/>
      <c r="N763" s="115"/>
      <c r="O763" s="115"/>
      <c r="P763" s="115"/>
    </row>
    <row r="764" spans="10:16" ht="12.5" x14ac:dyDescent="0.25">
      <c r="J764" s="115"/>
      <c r="K764" s="115"/>
      <c r="L764" s="115"/>
      <c r="M764" s="115"/>
      <c r="N764" s="115"/>
      <c r="O764" s="115"/>
      <c r="P764" s="115"/>
    </row>
    <row r="765" spans="10:16" ht="12.5" x14ac:dyDescent="0.25">
      <c r="J765" s="115"/>
      <c r="K765" s="115"/>
      <c r="L765" s="115"/>
      <c r="M765" s="115"/>
      <c r="N765" s="115"/>
      <c r="O765" s="115"/>
      <c r="P765" s="115"/>
    </row>
    <row r="766" spans="10:16" ht="12.5" x14ac:dyDescent="0.25">
      <c r="J766" s="115"/>
      <c r="K766" s="115"/>
      <c r="L766" s="115"/>
      <c r="M766" s="115"/>
      <c r="N766" s="115"/>
      <c r="O766" s="115"/>
      <c r="P766" s="115"/>
    </row>
    <row r="767" spans="10:16" ht="12.5" x14ac:dyDescent="0.25">
      <c r="J767" s="115"/>
      <c r="K767" s="115"/>
      <c r="L767" s="115"/>
      <c r="M767" s="115"/>
      <c r="N767" s="115"/>
      <c r="O767" s="115"/>
      <c r="P767" s="115"/>
    </row>
    <row r="768" spans="10:16" ht="12.5" x14ac:dyDescent="0.25">
      <c r="J768" s="115"/>
      <c r="K768" s="115"/>
      <c r="L768" s="115"/>
      <c r="M768" s="115"/>
      <c r="N768" s="115"/>
      <c r="O768" s="115"/>
      <c r="P768" s="115"/>
    </row>
    <row r="769" spans="10:16" ht="12.5" x14ac:dyDescent="0.25">
      <c r="J769" s="115"/>
      <c r="K769" s="115"/>
      <c r="L769" s="115"/>
      <c r="M769" s="115"/>
      <c r="N769" s="115"/>
      <c r="O769" s="115"/>
      <c r="P769" s="115"/>
    </row>
    <row r="770" spans="10:16" ht="12.5" x14ac:dyDescent="0.25">
      <c r="J770" s="115"/>
      <c r="K770" s="115"/>
      <c r="L770" s="115"/>
      <c r="M770" s="115"/>
      <c r="N770" s="115"/>
      <c r="O770" s="115"/>
      <c r="P770" s="115"/>
    </row>
    <row r="771" spans="10:16" ht="12.5" x14ac:dyDescent="0.25">
      <c r="J771" s="115"/>
      <c r="K771" s="115"/>
      <c r="L771" s="115"/>
      <c r="M771" s="115"/>
      <c r="N771" s="115"/>
      <c r="O771" s="115"/>
      <c r="P771" s="115"/>
    </row>
    <row r="772" spans="10:16" ht="12.5" x14ac:dyDescent="0.25">
      <c r="J772" s="115"/>
      <c r="K772" s="115"/>
      <c r="L772" s="115"/>
      <c r="M772" s="115"/>
      <c r="N772" s="115"/>
      <c r="O772" s="115"/>
      <c r="P772" s="115"/>
    </row>
    <row r="773" spans="10:16" ht="12.5" x14ac:dyDescent="0.25">
      <c r="J773" s="115"/>
      <c r="K773" s="115"/>
      <c r="L773" s="115"/>
      <c r="M773" s="115"/>
      <c r="N773" s="115"/>
      <c r="O773" s="115"/>
      <c r="P773" s="115"/>
    </row>
    <row r="774" spans="10:16" ht="12.5" x14ac:dyDescent="0.25">
      <c r="J774" s="115"/>
      <c r="K774" s="115"/>
      <c r="L774" s="115"/>
      <c r="M774" s="115"/>
      <c r="N774" s="115"/>
      <c r="O774" s="115"/>
      <c r="P774" s="115"/>
    </row>
    <row r="775" spans="10:16" ht="12.5" x14ac:dyDescent="0.25">
      <c r="J775" s="115"/>
      <c r="K775" s="115"/>
      <c r="L775" s="115"/>
      <c r="M775" s="115"/>
      <c r="N775" s="115"/>
      <c r="O775" s="115"/>
      <c r="P775" s="115"/>
    </row>
    <row r="776" spans="10:16" ht="12.5" x14ac:dyDescent="0.25">
      <c r="J776" s="115"/>
      <c r="K776" s="115"/>
      <c r="L776" s="115"/>
      <c r="M776" s="115"/>
      <c r="N776" s="115"/>
      <c r="O776" s="115"/>
      <c r="P776" s="115"/>
    </row>
    <row r="777" spans="10:16" ht="12.5" x14ac:dyDescent="0.25">
      <c r="J777" s="115"/>
      <c r="K777" s="115"/>
      <c r="L777" s="115"/>
      <c r="M777" s="115"/>
      <c r="N777" s="115"/>
      <c r="O777" s="115"/>
      <c r="P777" s="115"/>
    </row>
    <row r="778" spans="10:16" ht="12.5" x14ac:dyDescent="0.25">
      <c r="J778" s="115"/>
      <c r="K778" s="115"/>
      <c r="L778" s="115"/>
      <c r="M778" s="115"/>
      <c r="N778" s="115"/>
      <c r="O778" s="115"/>
      <c r="P778" s="115"/>
    </row>
    <row r="779" spans="10:16" ht="12.5" x14ac:dyDescent="0.25">
      <c r="J779" s="115"/>
      <c r="K779" s="115"/>
      <c r="L779" s="115"/>
      <c r="M779" s="115"/>
      <c r="N779" s="115"/>
      <c r="O779" s="115"/>
      <c r="P779" s="115"/>
    </row>
    <row r="780" spans="10:16" ht="12.5" x14ac:dyDescent="0.25">
      <c r="J780" s="115"/>
      <c r="K780" s="115"/>
      <c r="L780" s="115"/>
      <c r="M780" s="115"/>
      <c r="N780" s="115"/>
      <c r="O780" s="115"/>
      <c r="P780" s="115"/>
    </row>
    <row r="781" spans="10:16" ht="12.5" x14ac:dyDescent="0.25">
      <c r="J781" s="115"/>
      <c r="K781" s="115"/>
      <c r="L781" s="115"/>
      <c r="M781" s="115"/>
      <c r="N781" s="115"/>
      <c r="O781" s="115"/>
      <c r="P781" s="115"/>
    </row>
    <row r="782" spans="10:16" ht="12.5" x14ac:dyDescent="0.25">
      <c r="J782" s="115"/>
      <c r="K782" s="115"/>
      <c r="L782" s="115"/>
      <c r="M782" s="115"/>
      <c r="N782" s="115"/>
      <c r="O782" s="115"/>
      <c r="P782" s="115"/>
    </row>
    <row r="783" spans="10:16" ht="12.5" x14ac:dyDescent="0.25">
      <c r="J783" s="115"/>
      <c r="K783" s="115"/>
      <c r="L783" s="115"/>
      <c r="M783" s="115"/>
      <c r="N783" s="115"/>
      <c r="O783" s="115"/>
      <c r="P783" s="115"/>
    </row>
    <row r="784" spans="10:16" ht="12.5" x14ac:dyDescent="0.25">
      <c r="J784" s="115"/>
      <c r="K784" s="115"/>
      <c r="L784" s="115"/>
      <c r="M784" s="115"/>
      <c r="N784" s="115"/>
      <c r="O784" s="115"/>
      <c r="P784" s="115"/>
    </row>
    <row r="785" spans="10:16" ht="12.5" x14ac:dyDescent="0.25">
      <c r="J785" s="115"/>
      <c r="K785" s="115"/>
      <c r="L785" s="115"/>
      <c r="M785" s="115"/>
      <c r="N785" s="115"/>
      <c r="O785" s="115"/>
      <c r="P785" s="115"/>
    </row>
    <row r="786" spans="10:16" ht="12.5" x14ac:dyDescent="0.25">
      <c r="J786" s="115"/>
      <c r="K786" s="115"/>
      <c r="L786" s="115"/>
      <c r="M786" s="115"/>
      <c r="N786" s="115"/>
      <c r="O786" s="115"/>
      <c r="P786" s="115"/>
    </row>
    <row r="787" spans="10:16" ht="12.5" x14ac:dyDescent="0.25">
      <c r="J787" s="115"/>
      <c r="K787" s="115"/>
      <c r="L787" s="115"/>
      <c r="M787" s="115"/>
      <c r="N787" s="115"/>
      <c r="O787" s="115"/>
      <c r="P787" s="115"/>
    </row>
    <row r="788" spans="10:16" ht="12.5" x14ac:dyDescent="0.25">
      <c r="J788" s="115"/>
      <c r="K788" s="115"/>
      <c r="L788" s="115"/>
      <c r="M788" s="115"/>
      <c r="N788" s="115"/>
      <c r="O788" s="115"/>
      <c r="P788" s="115"/>
    </row>
    <row r="789" spans="10:16" ht="12.5" x14ac:dyDescent="0.25">
      <c r="J789" s="115"/>
      <c r="K789" s="115"/>
      <c r="L789" s="115"/>
      <c r="M789" s="115"/>
      <c r="N789" s="115"/>
      <c r="O789" s="115"/>
      <c r="P789" s="115"/>
    </row>
    <row r="790" spans="10:16" ht="12.5" x14ac:dyDescent="0.25">
      <c r="J790" s="115"/>
      <c r="K790" s="115"/>
      <c r="L790" s="115"/>
      <c r="M790" s="115"/>
      <c r="N790" s="115"/>
      <c r="O790" s="115"/>
      <c r="P790" s="115"/>
    </row>
    <row r="791" spans="10:16" ht="12.5" x14ac:dyDescent="0.25">
      <c r="J791" s="115"/>
      <c r="K791" s="115"/>
      <c r="L791" s="115"/>
      <c r="M791" s="115"/>
      <c r="N791" s="115"/>
      <c r="O791" s="115"/>
      <c r="P791" s="115"/>
    </row>
    <row r="792" spans="10:16" ht="12.5" x14ac:dyDescent="0.25">
      <c r="J792" s="115"/>
      <c r="K792" s="115"/>
      <c r="L792" s="115"/>
      <c r="M792" s="115"/>
      <c r="N792" s="115"/>
      <c r="O792" s="115"/>
      <c r="P792" s="115"/>
    </row>
    <row r="793" spans="10:16" ht="12.5" x14ac:dyDescent="0.25">
      <c r="J793" s="115"/>
      <c r="K793" s="115"/>
      <c r="L793" s="115"/>
      <c r="M793" s="115"/>
      <c r="N793" s="115"/>
      <c r="O793" s="115"/>
      <c r="P793" s="115"/>
    </row>
    <row r="794" spans="10:16" ht="12.5" x14ac:dyDescent="0.25">
      <c r="J794" s="115"/>
      <c r="K794" s="115"/>
      <c r="L794" s="115"/>
      <c r="M794" s="115"/>
      <c r="N794" s="115"/>
      <c r="O794" s="115"/>
      <c r="P794" s="115"/>
    </row>
    <row r="795" spans="10:16" ht="12.5" x14ac:dyDescent="0.25">
      <c r="J795" s="115"/>
      <c r="K795" s="115"/>
      <c r="L795" s="115"/>
      <c r="M795" s="115"/>
      <c r="N795" s="115"/>
      <c r="O795" s="115"/>
      <c r="P795" s="115"/>
    </row>
    <row r="796" spans="10:16" ht="12.5" x14ac:dyDescent="0.25">
      <c r="J796" s="115"/>
      <c r="K796" s="115"/>
      <c r="L796" s="115"/>
      <c r="M796" s="115"/>
      <c r="N796" s="115"/>
      <c r="O796" s="115"/>
      <c r="P796" s="115"/>
    </row>
    <row r="797" spans="10:16" ht="12.5" x14ac:dyDescent="0.25">
      <c r="J797" s="115"/>
      <c r="K797" s="115"/>
      <c r="L797" s="115"/>
      <c r="M797" s="115"/>
      <c r="N797" s="115"/>
      <c r="O797" s="115"/>
      <c r="P797" s="115"/>
    </row>
    <row r="798" spans="10:16" ht="12.5" x14ac:dyDescent="0.25">
      <c r="J798" s="115"/>
      <c r="K798" s="115"/>
      <c r="L798" s="115"/>
      <c r="M798" s="115"/>
      <c r="N798" s="115"/>
      <c r="O798" s="115"/>
      <c r="P798" s="115"/>
    </row>
    <row r="799" spans="10:16" ht="12.5" x14ac:dyDescent="0.25">
      <c r="J799" s="115"/>
      <c r="K799" s="115"/>
      <c r="L799" s="115"/>
      <c r="M799" s="115"/>
      <c r="N799" s="115"/>
      <c r="O799" s="115"/>
      <c r="P799" s="115"/>
    </row>
    <row r="800" spans="10:16" ht="12.5" x14ac:dyDescent="0.25">
      <c r="J800" s="115"/>
      <c r="K800" s="115"/>
      <c r="L800" s="115"/>
      <c r="M800" s="115"/>
      <c r="N800" s="115"/>
      <c r="O800" s="115"/>
      <c r="P800" s="115"/>
    </row>
    <row r="801" spans="10:16" ht="12.5" x14ac:dyDescent="0.25">
      <c r="J801" s="115"/>
      <c r="K801" s="115"/>
      <c r="L801" s="115"/>
      <c r="M801" s="115"/>
      <c r="N801" s="115"/>
      <c r="O801" s="115"/>
      <c r="P801" s="115"/>
    </row>
    <row r="802" spans="10:16" ht="12.5" x14ac:dyDescent="0.25">
      <c r="J802" s="115"/>
      <c r="K802" s="115"/>
      <c r="L802" s="115"/>
      <c r="M802" s="115"/>
      <c r="N802" s="115"/>
      <c r="O802" s="115"/>
      <c r="P802" s="115"/>
    </row>
    <row r="803" spans="10:16" ht="12.5" x14ac:dyDescent="0.25">
      <c r="J803" s="115"/>
      <c r="K803" s="115"/>
      <c r="L803" s="115"/>
      <c r="M803" s="115"/>
      <c r="N803" s="115"/>
      <c r="O803" s="115"/>
      <c r="P803" s="115"/>
    </row>
    <row r="804" spans="10:16" ht="12.5" x14ac:dyDescent="0.25">
      <c r="J804" s="115"/>
      <c r="K804" s="115"/>
      <c r="L804" s="115"/>
      <c r="M804" s="115"/>
      <c r="N804" s="115"/>
      <c r="O804" s="115"/>
      <c r="P804" s="115"/>
    </row>
    <row r="805" spans="10:16" ht="12.5" x14ac:dyDescent="0.25">
      <c r="J805" s="115"/>
      <c r="K805" s="115"/>
      <c r="L805" s="115"/>
      <c r="M805" s="115"/>
      <c r="N805" s="115"/>
      <c r="O805" s="115"/>
      <c r="P805" s="115"/>
    </row>
    <row r="806" spans="10:16" ht="12.5" x14ac:dyDescent="0.25">
      <c r="J806" s="115"/>
      <c r="K806" s="115"/>
      <c r="L806" s="115"/>
      <c r="M806" s="115"/>
      <c r="N806" s="115"/>
      <c r="O806" s="115"/>
      <c r="P806" s="115"/>
    </row>
    <row r="807" spans="10:16" ht="12.5" x14ac:dyDescent="0.25">
      <c r="J807" s="115"/>
      <c r="K807" s="115"/>
      <c r="L807" s="115"/>
      <c r="M807" s="115"/>
      <c r="N807" s="115"/>
      <c r="O807" s="115"/>
      <c r="P807" s="115"/>
    </row>
    <row r="808" spans="10:16" ht="12.5" x14ac:dyDescent="0.25">
      <c r="J808" s="115"/>
      <c r="K808" s="115"/>
      <c r="L808" s="115"/>
      <c r="M808" s="115"/>
      <c r="N808" s="115"/>
      <c r="O808" s="115"/>
      <c r="P808" s="115"/>
    </row>
    <row r="809" spans="10:16" ht="12.5" x14ac:dyDescent="0.25">
      <c r="J809" s="115"/>
      <c r="K809" s="115"/>
      <c r="L809" s="115"/>
      <c r="M809" s="115"/>
      <c r="N809" s="115"/>
      <c r="O809" s="115"/>
      <c r="P809" s="115"/>
    </row>
    <row r="810" spans="10:16" ht="12.5" x14ac:dyDescent="0.25">
      <c r="J810" s="115"/>
      <c r="K810" s="115"/>
      <c r="L810" s="115"/>
      <c r="M810" s="115"/>
      <c r="N810" s="115"/>
      <c r="O810" s="115"/>
      <c r="P810" s="115"/>
    </row>
    <row r="811" spans="10:16" ht="12.5" x14ac:dyDescent="0.25">
      <c r="J811" s="115"/>
      <c r="K811" s="115"/>
      <c r="L811" s="115"/>
      <c r="M811" s="115"/>
      <c r="N811" s="115"/>
      <c r="O811" s="115"/>
      <c r="P811" s="115"/>
    </row>
    <row r="812" spans="10:16" ht="12.5" x14ac:dyDescent="0.25">
      <c r="J812" s="115"/>
      <c r="K812" s="115"/>
      <c r="L812" s="115"/>
      <c r="M812" s="115"/>
      <c r="N812" s="115"/>
      <c r="O812" s="115"/>
      <c r="P812" s="115"/>
    </row>
    <row r="813" spans="10:16" ht="12.5" x14ac:dyDescent="0.25">
      <c r="J813" s="115"/>
      <c r="K813" s="115"/>
      <c r="L813" s="115"/>
      <c r="M813" s="115"/>
      <c r="N813" s="115"/>
      <c r="O813" s="115"/>
      <c r="P813" s="115"/>
    </row>
    <row r="814" spans="10:16" ht="12.5" x14ac:dyDescent="0.25">
      <c r="J814" s="115"/>
      <c r="K814" s="115"/>
      <c r="L814" s="115"/>
      <c r="M814" s="115"/>
      <c r="N814" s="115"/>
      <c r="O814" s="115"/>
      <c r="P814" s="115"/>
    </row>
    <row r="815" spans="10:16" ht="12.5" x14ac:dyDescent="0.25">
      <c r="J815" s="115"/>
      <c r="K815" s="115"/>
      <c r="L815" s="115"/>
      <c r="M815" s="115"/>
      <c r="N815" s="115"/>
      <c r="O815" s="115"/>
      <c r="P815" s="115"/>
    </row>
    <row r="816" spans="10:16" ht="12.5" x14ac:dyDescent="0.25">
      <c r="J816" s="115"/>
      <c r="K816" s="115"/>
      <c r="L816" s="115"/>
      <c r="M816" s="115"/>
      <c r="N816" s="115"/>
      <c r="O816" s="115"/>
      <c r="P816" s="115"/>
    </row>
    <row r="817" spans="10:16" ht="12.5" x14ac:dyDescent="0.25">
      <c r="J817" s="115"/>
      <c r="K817" s="115"/>
      <c r="L817" s="115"/>
      <c r="M817" s="115"/>
      <c r="N817" s="115"/>
      <c r="O817" s="115"/>
      <c r="P817" s="115"/>
    </row>
    <row r="818" spans="10:16" ht="12.5" x14ac:dyDescent="0.25">
      <c r="J818" s="115"/>
      <c r="K818" s="115"/>
      <c r="L818" s="115"/>
      <c r="M818" s="115"/>
      <c r="N818" s="115"/>
      <c r="O818" s="115"/>
      <c r="P818" s="115"/>
    </row>
    <row r="819" spans="10:16" ht="12.5" x14ac:dyDescent="0.25">
      <c r="J819" s="115"/>
      <c r="K819" s="115"/>
      <c r="L819" s="115"/>
      <c r="M819" s="115"/>
      <c r="N819" s="115"/>
      <c r="O819" s="115"/>
      <c r="P819" s="115"/>
    </row>
    <row r="820" spans="10:16" ht="12.5" x14ac:dyDescent="0.25">
      <c r="J820" s="115"/>
      <c r="K820" s="115"/>
      <c r="L820" s="115"/>
      <c r="M820" s="115"/>
      <c r="N820" s="115"/>
      <c r="O820" s="115"/>
      <c r="P820" s="115"/>
    </row>
    <row r="821" spans="10:16" ht="12.5" x14ac:dyDescent="0.25">
      <c r="J821" s="115"/>
      <c r="K821" s="115"/>
      <c r="L821" s="115"/>
      <c r="M821" s="115"/>
      <c r="N821" s="115"/>
      <c r="O821" s="115"/>
      <c r="P821" s="115"/>
    </row>
    <row r="822" spans="10:16" ht="12.5" x14ac:dyDescent="0.25">
      <c r="J822" s="115"/>
      <c r="K822" s="115"/>
      <c r="L822" s="115"/>
      <c r="M822" s="115"/>
      <c r="N822" s="115"/>
      <c r="O822" s="115"/>
      <c r="P822" s="115"/>
    </row>
    <row r="823" spans="10:16" ht="12.5" x14ac:dyDescent="0.25">
      <c r="J823" s="115"/>
      <c r="K823" s="115"/>
      <c r="L823" s="115"/>
      <c r="M823" s="115"/>
      <c r="N823" s="115"/>
      <c r="O823" s="115"/>
      <c r="P823" s="115"/>
    </row>
    <row r="824" spans="10:16" ht="12.5" x14ac:dyDescent="0.25">
      <c r="J824" s="115"/>
      <c r="K824" s="115"/>
      <c r="L824" s="115"/>
      <c r="M824" s="115"/>
      <c r="N824" s="115"/>
      <c r="O824" s="115"/>
      <c r="P824" s="115"/>
    </row>
    <row r="825" spans="10:16" ht="12.5" x14ac:dyDescent="0.25">
      <c r="J825" s="115"/>
      <c r="K825" s="115"/>
      <c r="L825" s="115"/>
      <c r="M825" s="115"/>
      <c r="N825" s="115"/>
      <c r="O825" s="115"/>
      <c r="P825" s="115"/>
    </row>
    <row r="826" spans="10:16" ht="12.5" x14ac:dyDescent="0.25">
      <c r="J826" s="115"/>
      <c r="K826" s="115"/>
      <c r="L826" s="115"/>
      <c r="M826" s="115"/>
      <c r="N826" s="115"/>
      <c r="O826" s="115"/>
      <c r="P826" s="115"/>
    </row>
    <row r="827" spans="10:16" ht="12.5" x14ac:dyDescent="0.25">
      <c r="J827" s="115"/>
      <c r="K827" s="115"/>
      <c r="L827" s="115"/>
      <c r="M827" s="115"/>
      <c r="N827" s="115"/>
      <c r="O827" s="115"/>
      <c r="P827" s="115"/>
    </row>
    <row r="828" spans="10:16" ht="12.5" x14ac:dyDescent="0.25">
      <c r="J828" s="115"/>
      <c r="K828" s="115"/>
      <c r="L828" s="115"/>
      <c r="M828" s="115"/>
      <c r="N828" s="115"/>
      <c r="O828" s="115"/>
      <c r="P828" s="115"/>
    </row>
    <row r="829" spans="10:16" ht="12.5" x14ac:dyDescent="0.25">
      <c r="J829" s="115"/>
      <c r="K829" s="115"/>
      <c r="L829" s="115"/>
      <c r="M829" s="115"/>
      <c r="N829" s="115"/>
      <c r="O829" s="115"/>
      <c r="P829" s="115"/>
    </row>
    <row r="830" spans="10:16" ht="12.5" x14ac:dyDescent="0.25">
      <c r="J830" s="115"/>
      <c r="K830" s="115"/>
      <c r="L830" s="115"/>
      <c r="M830" s="115"/>
      <c r="N830" s="115"/>
      <c r="O830" s="115"/>
      <c r="P830" s="115"/>
    </row>
    <row r="831" spans="10:16" ht="12.5" x14ac:dyDescent="0.25">
      <c r="J831" s="115"/>
      <c r="K831" s="115"/>
      <c r="L831" s="115"/>
      <c r="M831" s="115"/>
      <c r="N831" s="115"/>
      <c r="O831" s="115"/>
      <c r="P831" s="115"/>
    </row>
    <row r="832" spans="10:16" ht="12.5" x14ac:dyDescent="0.25">
      <c r="J832" s="115"/>
      <c r="K832" s="115"/>
      <c r="L832" s="115"/>
      <c r="M832" s="115"/>
      <c r="N832" s="115"/>
      <c r="O832" s="115"/>
      <c r="P832" s="115"/>
    </row>
    <row r="833" spans="10:16" ht="12.5" x14ac:dyDescent="0.25">
      <c r="J833" s="115"/>
      <c r="K833" s="115"/>
      <c r="L833" s="115"/>
      <c r="M833" s="115"/>
      <c r="N833" s="115"/>
      <c r="O833" s="115"/>
      <c r="P833" s="115"/>
    </row>
    <row r="834" spans="10:16" ht="12.5" x14ac:dyDescent="0.25">
      <c r="J834" s="115"/>
      <c r="K834" s="115"/>
      <c r="L834" s="115"/>
      <c r="M834" s="115"/>
      <c r="N834" s="115"/>
      <c r="O834" s="115"/>
      <c r="P834" s="115"/>
    </row>
    <row r="835" spans="10:16" ht="12.5" x14ac:dyDescent="0.25">
      <c r="J835" s="115"/>
      <c r="K835" s="115"/>
      <c r="L835" s="115"/>
      <c r="M835" s="115"/>
      <c r="N835" s="115"/>
      <c r="O835" s="115"/>
      <c r="P835" s="115"/>
    </row>
    <row r="836" spans="10:16" ht="12.5" x14ac:dyDescent="0.25">
      <c r="J836" s="115"/>
      <c r="K836" s="115"/>
      <c r="L836" s="115"/>
      <c r="M836" s="115"/>
      <c r="N836" s="115"/>
      <c r="O836" s="115"/>
      <c r="P836" s="115"/>
    </row>
    <row r="837" spans="10:16" ht="12.5" x14ac:dyDescent="0.25">
      <c r="J837" s="115"/>
      <c r="K837" s="115"/>
      <c r="L837" s="115"/>
      <c r="M837" s="115"/>
      <c r="N837" s="115"/>
      <c r="O837" s="115"/>
      <c r="P837" s="115"/>
    </row>
    <row r="838" spans="10:16" ht="12.5" x14ac:dyDescent="0.25">
      <c r="J838" s="115"/>
      <c r="K838" s="115"/>
      <c r="L838" s="115"/>
      <c r="M838" s="115"/>
      <c r="N838" s="115"/>
      <c r="O838" s="115"/>
      <c r="P838" s="115"/>
    </row>
    <row r="839" spans="10:16" ht="12.5" x14ac:dyDescent="0.25">
      <c r="J839" s="115"/>
      <c r="K839" s="115"/>
      <c r="L839" s="115"/>
      <c r="M839" s="115"/>
      <c r="N839" s="115"/>
      <c r="O839" s="115"/>
      <c r="P839" s="115"/>
    </row>
    <row r="840" spans="10:16" ht="12.5" x14ac:dyDescent="0.25">
      <c r="J840" s="115"/>
      <c r="K840" s="115"/>
      <c r="L840" s="115"/>
      <c r="M840" s="115"/>
      <c r="N840" s="115"/>
      <c r="O840" s="115"/>
      <c r="P840" s="115"/>
    </row>
    <row r="841" spans="10:16" ht="12.5" x14ac:dyDescent="0.25">
      <c r="J841" s="115"/>
      <c r="K841" s="115"/>
      <c r="L841" s="115"/>
      <c r="M841" s="115"/>
      <c r="N841" s="115"/>
      <c r="O841" s="115"/>
      <c r="P841" s="115"/>
    </row>
    <row r="842" spans="10:16" ht="12.5" x14ac:dyDescent="0.25">
      <c r="J842" s="115"/>
      <c r="K842" s="115"/>
      <c r="L842" s="115"/>
      <c r="M842" s="115"/>
      <c r="N842" s="115"/>
      <c r="O842" s="115"/>
      <c r="P842" s="115"/>
    </row>
    <row r="843" spans="10:16" ht="12.5" x14ac:dyDescent="0.25">
      <c r="J843" s="115"/>
      <c r="K843" s="115"/>
      <c r="L843" s="115"/>
      <c r="M843" s="115"/>
      <c r="N843" s="115"/>
      <c r="O843" s="115"/>
      <c r="P843" s="115"/>
    </row>
    <row r="844" spans="10:16" ht="12.5" x14ac:dyDescent="0.25">
      <c r="J844" s="115"/>
      <c r="K844" s="115"/>
      <c r="L844" s="115"/>
      <c r="M844" s="115"/>
      <c r="N844" s="115"/>
      <c r="O844" s="115"/>
      <c r="P844" s="115"/>
    </row>
    <row r="845" spans="10:16" ht="12.5" x14ac:dyDescent="0.25">
      <c r="J845" s="115"/>
      <c r="K845" s="115"/>
      <c r="L845" s="115"/>
      <c r="M845" s="115"/>
      <c r="N845" s="115"/>
      <c r="O845" s="115"/>
      <c r="P845" s="115"/>
    </row>
    <row r="846" spans="10:16" ht="12.5" x14ac:dyDescent="0.25">
      <c r="J846" s="115"/>
      <c r="K846" s="115"/>
      <c r="L846" s="115"/>
      <c r="M846" s="115"/>
      <c r="N846" s="115"/>
      <c r="O846" s="115"/>
      <c r="P846" s="115"/>
    </row>
    <row r="847" spans="10:16" ht="12.5" x14ac:dyDescent="0.25">
      <c r="J847" s="115"/>
      <c r="K847" s="115"/>
      <c r="L847" s="115"/>
      <c r="M847" s="115"/>
      <c r="N847" s="115"/>
      <c r="O847" s="115"/>
      <c r="P847" s="115"/>
    </row>
    <row r="848" spans="10:16" ht="12.5" x14ac:dyDescent="0.25">
      <c r="J848" s="115"/>
      <c r="K848" s="115"/>
      <c r="L848" s="115"/>
      <c r="M848" s="115"/>
      <c r="N848" s="115"/>
      <c r="O848" s="115"/>
      <c r="P848" s="115"/>
    </row>
    <row r="849" spans="10:16" ht="12.5" x14ac:dyDescent="0.25">
      <c r="J849" s="115"/>
      <c r="K849" s="115"/>
      <c r="L849" s="115"/>
      <c r="M849" s="115"/>
      <c r="N849" s="115"/>
      <c r="O849" s="115"/>
      <c r="P849" s="115"/>
    </row>
    <row r="850" spans="10:16" ht="12.5" x14ac:dyDescent="0.25">
      <c r="J850" s="115"/>
      <c r="K850" s="115"/>
      <c r="L850" s="115"/>
      <c r="M850" s="115"/>
      <c r="N850" s="115"/>
      <c r="O850" s="115"/>
      <c r="P850" s="115"/>
    </row>
    <row r="851" spans="10:16" ht="12.5" x14ac:dyDescent="0.25">
      <c r="J851" s="115"/>
      <c r="K851" s="115"/>
      <c r="L851" s="115"/>
      <c r="M851" s="115"/>
      <c r="N851" s="115"/>
      <c r="O851" s="115"/>
      <c r="P851" s="115"/>
    </row>
    <row r="852" spans="10:16" ht="12.5" x14ac:dyDescent="0.25">
      <c r="J852" s="115"/>
      <c r="K852" s="115"/>
      <c r="L852" s="115"/>
      <c r="M852" s="115"/>
      <c r="N852" s="115"/>
      <c r="O852" s="115"/>
      <c r="P852" s="115"/>
    </row>
    <row r="853" spans="10:16" ht="12.5" x14ac:dyDescent="0.25">
      <c r="J853" s="115"/>
      <c r="K853" s="115"/>
      <c r="L853" s="115"/>
      <c r="M853" s="115"/>
      <c r="N853" s="115"/>
      <c r="O853" s="115"/>
      <c r="P853" s="115"/>
    </row>
    <row r="854" spans="10:16" ht="12.5" x14ac:dyDescent="0.25">
      <c r="J854" s="115"/>
      <c r="K854" s="115"/>
      <c r="L854" s="115"/>
      <c r="M854" s="115"/>
      <c r="N854" s="115"/>
      <c r="O854" s="115"/>
      <c r="P854" s="115"/>
    </row>
    <row r="855" spans="10:16" ht="12.5" x14ac:dyDescent="0.25">
      <c r="J855" s="115"/>
      <c r="K855" s="115"/>
      <c r="L855" s="115"/>
      <c r="M855" s="115"/>
      <c r="N855" s="115"/>
      <c r="O855" s="115"/>
      <c r="P855" s="115"/>
    </row>
    <row r="856" spans="10:16" ht="12.5" x14ac:dyDescent="0.25">
      <c r="J856" s="115"/>
      <c r="K856" s="115"/>
      <c r="L856" s="115"/>
      <c r="M856" s="115"/>
      <c r="N856" s="115"/>
      <c r="O856" s="115"/>
      <c r="P856" s="115"/>
    </row>
    <row r="857" spans="10:16" ht="12.5" x14ac:dyDescent="0.25">
      <c r="J857" s="115"/>
      <c r="K857" s="115"/>
      <c r="L857" s="115"/>
      <c r="M857" s="115"/>
      <c r="N857" s="115"/>
      <c r="O857" s="115"/>
      <c r="P857" s="115"/>
    </row>
    <row r="858" spans="10:16" ht="12.5" x14ac:dyDescent="0.25">
      <c r="J858" s="115"/>
      <c r="K858" s="115"/>
      <c r="L858" s="115"/>
      <c r="M858" s="115"/>
      <c r="N858" s="115"/>
      <c r="O858" s="115"/>
      <c r="P858" s="115"/>
    </row>
    <row r="859" spans="10:16" ht="12.5" x14ac:dyDescent="0.25">
      <c r="J859" s="115"/>
      <c r="K859" s="115"/>
      <c r="L859" s="115"/>
      <c r="M859" s="115"/>
      <c r="N859" s="115"/>
      <c r="O859" s="115"/>
      <c r="P859" s="115"/>
    </row>
    <row r="860" spans="10:16" ht="12.5" x14ac:dyDescent="0.25">
      <c r="J860" s="115"/>
      <c r="K860" s="115"/>
      <c r="L860" s="115"/>
      <c r="M860" s="115"/>
      <c r="N860" s="115"/>
      <c r="O860" s="115"/>
      <c r="P860" s="115"/>
    </row>
    <row r="861" spans="10:16" ht="12.5" x14ac:dyDescent="0.25">
      <c r="J861" s="115"/>
      <c r="K861" s="115"/>
      <c r="L861" s="115"/>
      <c r="M861" s="115"/>
      <c r="N861" s="115"/>
      <c r="O861" s="115"/>
      <c r="P861" s="115"/>
    </row>
    <row r="862" spans="10:16" ht="12.5" x14ac:dyDescent="0.25">
      <c r="J862" s="115"/>
      <c r="K862" s="115"/>
      <c r="L862" s="115"/>
      <c r="M862" s="115"/>
      <c r="N862" s="115"/>
      <c r="O862" s="115"/>
      <c r="P862" s="115"/>
    </row>
    <row r="863" spans="10:16" ht="12.5" x14ac:dyDescent="0.25">
      <c r="J863" s="115"/>
      <c r="K863" s="115"/>
      <c r="L863" s="115"/>
      <c r="M863" s="115"/>
      <c r="N863" s="115"/>
      <c r="O863" s="115"/>
      <c r="P863" s="115"/>
    </row>
    <row r="864" spans="10:16" ht="12.5" x14ac:dyDescent="0.25">
      <c r="J864" s="115"/>
      <c r="K864" s="115"/>
      <c r="L864" s="115"/>
      <c r="M864" s="115"/>
      <c r="N864" s="115"/>
      <c r="O864" s="115"/>
      <c r="P864" s="115"/>
    </row>
    <row r="865" spans="10:16" ht="12.5" x14ac:dyDescent="0.25">
      <c r="J865" s="115"/>
      <c r="K865" s="115"/>
      <c r="L865" s="115"/>
      <c r="M865" s="115"/>
      <c r="N865" s="115"/>
      <c r="O865" s="115"/>
      <c r="P865" s="115"/>
    </row>
    <row r="866" spans="10:16" ht="12.5" x14ac:dyDescent="0.25">
      <c r="J866" s="115"/>
      <c r="K866" s="115"/>
      <c r="L866" s="115"/>
      <c r="M866" s="115"/>
      <c r="N866" s="115"/>
      <c r="O866" s="115"/>
      <c r="P866" s="115"/>
    </row>
    <row r="867" spans="10:16" ht="12.5" x14ac:dyDescent="0.25">
      <c r="J867" s="115"/>
      <c r="K867" s="115"/>
      <c r="L867" s="115"/>
      <c r="M867" s="115"/>
      <c r="N867" s="115"/>
      <c r="O867" s="115"/>
      <c r="P867" s="115"/>
    </row>
    <row r="868" spans="10:16" ht="12.5" x14ac:dyDescent="0.25">
      <c r="J868" s="115"/>
      <c r="K868" s="115"/>
      <c r="L868" s="115"/>
      <c r="M868" s="115"/>
      <c r="N868" s="115"/>
      <c r="O868" s="115"/>
      <c r="P868" s="115"/>
    </row>
    <row r="869" spans="10:16" ht="12.5" x14ac:dyDescent="0.25">
      <c r="J869" s="115"/>
      <c r="K869" s="115"/>
      <c r="L869" s="115"/>
      <c r="M869" s="115"/>
      <c r="N869" s="115"/>
      <c r="O869" s="115"/>
      <c r="P869" s="115"/>
    </row>
    <row r="870" spans="10:16" ht="12.5" x14ac:dyDescent="0.25">
      <c r="J870" s="115"/>
      <c r="K870" s="115"/>
      <c r="L870" s="115"/>
      <c r="M870" s="115"/>
      <c r="N870" s="115"/>
      <c r="O870" s="115"/>
      <c r="P870" s="115"/>
    </row>
    <row r="871" spans="10:16" ht="12.5" x14ac:dyDescent="0.25">
      <c r="J871" s="115"/>
      <c r="K871" s="115"/>
      <c r="L871" s="115"/>
      <c r="M871" s="115"/>
      <c r="N871" s="115"/>
      <c r="O871" s="115"/>
      <c r="P871" s="115"/>
    </row>
    <row r="872" spans="10:16" ht="12.5" x14ac:dyDescent="0.25">
      <c r="J872" s="115"/>
      <c r="K872" s="115"/>
      <c r="L872" s="115"/>
      <c r="M872" s="115"/>
      <c r="N872" s="115"/>
      <c r="O872" s="115"/>
      <c r="P872" s="115"/>
    </row>
    <row r="873" spans="10:16" ht="12.5" x14ac:dyDescent="0.25">
      <c r="J873" s="115"/>
      <c r="K873" s="115"/>
      <c r="L873" s="115"/>
      <c r="M873" s="115"/>
      <c r="N873" s="115"/>
      <c r="O873" s="115"/>
      <c r="P873" s="115"/>
    </row>
    <row r="874" spans="10:16" ht="12.5" x14ac:dyDescent="0.25">
      <c r="J874" s="115"/>
      <c r="K874" s="115"/>
      <c r="L874" s="115"/>
      <c r="M874" s="115"/>
      <c r="N874" s="115"/>
      <c r="O874" s="115"/>
      <c r="P874" s="115"/>
    </row>
    <row r="875" spans="10:16" ht="12.5" x14ac:dyDescent="0.25">
      <c r="J875" s="115"/>
      <c r="K875" s="115"/>
      <c r="L875" s="115"/>
      <c r="M875" s="115"/>
      <c r="N875" s="115"/>
      <c r="O875" s="115"/>
      <c r="P875" s="115"/>
    </row>
    <row r="876" spans="10:16" ht="12.5" x14ac:dyDescent="0.25">
      <c r="J876" s="115"/>
      <c r="K876" s="115"/>
      <c r="L876" s="115"/>
      <c r="M876" s="115"/>
      <c r="N876" s="115"/>
      <c r="O876" s="115"/>
      <c r="P876" s="115"/>
    </row>
    <row r="877" spans="10:16" ht="12.5" x14ac:dyDescent="0.25">
      <c r="J877" s="115"/>
      <c r="K877" s="115"/>
      <c r="L877" s="115"/>
      <c r="M877" s="115"/>
      <c r="N877" s="115"/>
      <c r="O877" s="115"/>
      <c r="P877" s="115"/>
    </row>
    <row r="878" spans="10:16" ht="12.5" x14ac:dyDescent="0.25">
      <c r="J878" s="115"/>
      <c r="K878" s="115"/>
      <c r="L878" s="115"/>
      <c r="M878" s="115"/>
      <c r="N878" s="115"/>
      <c r="O878" s="115"/>
      <c r="P878" s="115"/>
    </row>
    <row r="879" spans="10:16" ht="12.5" x14ac:dyDescent="0.25">
      <c r="J879" s="115"/>
      <c r="K879" s="115"/>
      <c r="L879" s="115"/>
      <c r="M879" s="115"/>
      <c r="N879" s="115"/>
      <c r="O879" s="115"/>
      <c r="P879" s="115"/>
    </row>
    <row r="880" spans="10:16" ht="12.5" x14ac:dyDescent="0.25">
      <c r="J880" s="115"/>
      <c r="K880" s="115"/>
      <c r="L880" s="115"/>
      <c r="M880" s="115"/>
      <c r="N880" s="115"/>
      <c r="O880" s="115"/>
      <c r="P880" s="115"/>
    </row>
    <row r="881" spans="10:16" ht="12.5" x14ac:dyDescent="0.25">
      <c r="J881" s="115"/>
      <c r="K881" s="115"/>
      <c r="L881" s="115"/>
      <c r="M881" s="115"/>
      <c r="N881" s="115"/>
      <c r="O881" s="115"/>
      <c r="P881" s="115"/>
    </row>
    <row r="882" spans="10:16" ht="12.5" x14ac:dyDescent="0.25">
      <c r="J882" s="115"/>
      <c r="K882" s="115"/>
      <c r="L882" s="115"/>
      <c r="M882" s="115"/>
      <c r="N882" s="115"/>
      <c r="O882" s="115"/>
      <c r="P882" s="115"/>
    </row>
    <row r="883" spans="10:16" ht="12.5" x14ac:dyDescent="0.25">
      <c r="J883" s="115"/>
      <c r="K883" s="115"/>
      <c r="L883" s="115"/>
      <c r="M883" s="115"/>
      <c r="N883" s="115"/>
      <c r="O883" s="115"/>
      <c r="P883" s="115"/>
    </row>
    <row r="884" spans="10:16" ht="12.5" x14ac:dyDescent="0.25">
      <c r="J884" s="115"/>
      <c r="K884" s="115"/>
      <c r="L884" s="115"/>
      <c r="M884" s="115"/>
      <c r="N884" s="115"/>
      <c r="O884" s="115"/>
      <c r="P884" s="115"/>
    </row>
    <row r="885" spans="10:16" ht="12.5" x14ac:dyDescent="0.25">
      <c r="J885" s="115"/>
      <c r="K885" s="115"/>
      <c r="L885" s="115"/>
      <c r="M885" s="115"/>
      <c r="N885" s="115"/>
      <c r="O885" s="115"/>
      <c r="P885" s="115"/>
    </row>
    <row r="886" spans="10:16" ht="12.5" x14ac:dyDescent="0.25">
      <c r="J886" s="115"/>
      <c r="K886" s="115"/>
      <c r="L886" s="115"/>
      <c r="M886" s="115"/>
      <c r="N886" s="115"/>
      <c r="O886" s="115"/>
      <c r="P886" s="115"/>
    </row>
    <row r="887" spans="10:16" ht="12.5" x14ac:dyDescent="0.25">
      <c r="J887" s="115"/>
      <c r="K887" s="115"/>
      <c r="L887" s="115"/>
      <c r="M887" s="115"/>
      <c r="N887" s="115"/>
      <c r="O887" s="115"/>
      <c r="P887" s="115"/>
    </row>
    <row r="888" spans="10:16" ht="12.5" x14ac:dyDescent="0.25">
      <c r="J888" s="115"/>
      <c r="K888" s="115"/>
      <c r="L888" s="115"/>
      <c r="M888" s="115"/>
      <c r="N888" s="115"/>
      <c r="O888" s="115"/>
      <c r="P888" s="115"/>
    </row>
    <row r="889" spans="10:16" ht="12.5" x14ac:dyDescent="0.25">
      <c r="J889" s="115"/>
      <c r="K889" s="115"/>
      <c r="L889" s="115"/>
      <c r="M889" s="115"/>
      <c r="N889" s="115"/>
      <c r="O889" s="115"/>
      <c r="P889" s="115"/>
    </row>
    <row r="890" spans="10:16" ht="12.5" x14ac:dyDescent="0.25">
      <c r="J890" s="115"/>
      <c r="K890" s="115"/>
      <c r="L890" s="115"/>
      <c r="M890" s="115"/>
      <c r="N890" s="115"/>
      <c r="O890" s="115"/>
      <c r="P890" s="115"/>
    </row>
    <row r="891" spans="10:16" ht="12.5" x14ac:dyDescent="0.25">
      <c r="J891" s="115"/>
      <c r="K891" s="115"/>
      <c r="L891" s="115"/>
      <c r="M891" s="115"/>
      <c r="N891" s="115"/>
      <c r="O891" s="115"/>
      <c r="P891" s="115"/>
    </row>
    <row r="892" spans="10:16" ht="12.5" x14ac:dyDescent="0.25">
      <c r="J892" s="115"/>
      <c r="K892" s="115"/>
      <c r="L892" s="115"/>
      <c r="M892" s="115"/>
      <c r="N892" s="115"/>
      <c r="O892" s="115"/>
      <c r="P892" s="115"/>
    </row>
    <row r="893" spans="10:16" ht="12.5" x14ac:dyDescent="0.25">
      <c r="J893" s="115"/>
      <c r="K893" s="115"/>
      <c r="L893" s="115"/>
      <c r="M893" s="115"/>
      <c r="N893" s="115"/>
      <c r="O893" s="115"/>
      <c r="P893" s="115"/>
    </row>
    <row r="894" spans="10:16" ht="12.5" x14ac:dyDescent="0.25">
      <c r="J894" s="115"/>
      <c r="K894" s="115"/>
      <c r="L894" s="115"/>
      <c r="M894" s="115"/>
      <c r="N894" s="115"/>
      <c r="O894" s="115"/>
      <c r="P894" s="115"/>
    </row>
    <row r="895" spans="10:16" ht="12.5" x14ac:dyDescent="0.25">
      <c r="J895" s="115"/>
      <c r="K895" s="115"/>
      <c r="L895" s="115"/>
      <c r="M895" s="115"/>
      <c r="N895" s="115"/>
      <c r="O895" s="115"/>
      <c r="P895" s="115"/>
    </row>
    <row r="896" spans="10:16" ht="12.5" x14ac:dyDescent="0.25">
      <c r="J896" s="115"/>
      <c r="K896" s="115"/>
      <c r="L896" s="115"/>
      <c r="M896" s="115"/>
      <c r="N896" s="115"/>
      <c r="O896" s="115"/>
      <c r="P896" s="115"/>
    </row>
    <row r="897" spans="10:16" ht="12.5" x14ac:dyDescent="0.25">
      <c r="J897" s="115"/>
      <c r="K897" s="115"/>
      <c r="L897" s="115"/>
      <c r="M897" s="115"/>
      <c r="N897" s="115"/>
      <c r="O897" s="115"/>
      <c r="P897" s="115"/>
    </row>
    <row r="898" spans="10:16" ht="12.5" x14ac:dyDescent="0.25">
      <c r="J898" s="115"/>
      <c r="K898" s="115"/>
      <c r="L898" s="115"/>
      <c r="M898" s="115"/>
      <c r="N898" s="115"/>
      <c r="O898" s="115"/>
      <c r="P898" s="115"/>
    </row>
    <row r="899" spans="10:16" ht="12.5" x14ac:dyDescent="0.25">
      <c r="J899" s="115"/>
      <c r="K899" s="115"/>
      <c r="L899" s="115"/>
      <c r="M899" s="115"/>
      <c r="N899" s="115"/>
      <c r="O899" s="115"/>
      <c r="P899" s="115"/>
    </row>
    <row r="900" spans="10:16" ht="12.5" x14ac:dyDescent="0.25">
      <c r="J900" s="115"/>
      <c r="K900" s="115"/>
      <c r="L900" s="115"/>
      <c r="M900" s="115"/>
      <c r="N900" s="115"/>
      <c r="O900" s="115"/>
      <c r="P900" s="115"/>
    </row>
    <row r="901" spans="10:16" ht="12.5" x14ac:dyDescent="0.25">
      <c r="J901" s="115"/>
      <c r="K901" s="115"/>
      <c r="L901" s="115"/>
      <c r="M901" s="115"/>
      <c r="N901" s="115"/>
      <c r="O901" s="115"/>
      <c r="P901" s="115"/>
    </row>
    <row r="902" spans="10:16" ht="12.5" x14ac:dyDescent="0.25">
      <c r="J902" s="115"/>
      <c r="K902" s="115"/>
      <c r="L902" s="115"/>
      <c r="M902" s="115"/>
      <c r="N902" s="115"/>
      <c r="O902" s="115"/>
      <c r="P902" s="115"/>
    </row>
    <row r="903" spans="10:16" ht="12.5" x14ac:dyDescent="0.25">
      <c r="J903" s="115"/>
      <c r="K903" s="115"/>
      <c r="L903" s="115"/>
      <c r="M903" s="115"/>
      <c r="N903" s="115"/>
      <c r="O903" s="115"/>
      <c r="P903" s="115"/>
    </row>
    <row r="904" spans="10:16" ht="12.5" x14ac:dyDescent="0.25">
      <c r="J904" s="115"/>
      <c r="K904" s="115"/>
      <c r="L904" s="115"/>
      <c r="M904" s="115"/>
      <c r="N904" s="115"/>
      <c r="O904" s="115"/>
      <c r="P904" s="115"/>
    </row>
    <row r="905" spans="10:16" ht="12.5" x14ac:dyDescent="0.25">
      <c r="J905" s="115"/>
      <c r="K905" s="115"/>
      <c r="L905" s="115"/>
      <c r="M905" s="115"/>
      <c r="N905" s="115"/>
      <c r="O905" s="115"/>
      <c r="P905" s="115"/>
    </row>
    <row r="906" spans="10:16" ht="12.5" x14ac:dyDescent="0.25">
      <c r="J906" s="115"/>
      <c r="K906" s="115"/>
      <c r="L906" s="115"/>
      <c r="M906" s="115"/>
      <c r="N906" s="115"/>
      <c r="O906" s="115"/>
      <c r="P906" s="115"/>
    </row>
    <row r="907" spans="10:16" ht="12.5" x14ac:dyDescent="0.25">
      <c r="J907" s="115"/>
      <c r="K907" s="115"/>
      <c r="L907" s="115"/>
      <c r="M907" s="115"/>
      <c r="N907" s="115"/>
      <c r="O907" s="115"/>
      <c r="P907" s="115"/>
    </row>
    <row r="908" spans="10:16" ht="12.5" x14ac:dyDescent="0.25">
      <c r="J908" s="115"/>
      <c r="K908" s="115"/>
      <c r="L908" s="115"/>
      <c r="M908" s="115"/>
      <c r="N908" s="115"/>
      <c r="O908" s="115"/>
      <c r="P908" s="115"/>
    </row>
    <row r="909" spans="10:16" ht="12.5" x14ac:dyDescent="0.25">
      <c r="J909" s="115"/>
      <c r="K909" s="115"/>
      <c r="L909" s="115"/>
      <c r="M909" s="115"/>
      <c r="N909" s="115"/>
      <c r="O909" s="115"/>
      <c r="P909" s="115"/>
    </row>
    <row r="910" spans="10:16" ht="12.5" x14ac:dyDescent="0.25">
      <c r="J910" s="115"/>
      <c r="K910" s="115"/>
      <c r="L910" s="115"/>
      <c r="M910" s="115"/>
      <c r="N910" s="115"/>
      <c r="O910" s="115"/>
      <c r="P910" s="115"/>
    </row>
    <row r="911" spans="10:16" ht="12.5" x14ac:dyDescent="0.25">
      <c r="J911" s="115"/>
      <c r="K911" s="115"/>
      <c r="L911" s="115"/>
      <c r="M911" s="115"/>
      <c r="N911" s="115"/>
      <c r="O911" s="115"/>
      <c r="P911" s="115"/>
    </row>
    <row r="912" spans="10:16" ht="12.5" x14ac:dyDescent="0.25">
      <c r="J912" s="115"/>
      <c r="K912" s="115"/>
      <c r="L912" s="115"/>
      <c r="M912" s="115"/>
      <c r="N912" s="115"/>
      <c r="O912" s="115"/>
      <c r="P912" s="115"/>
    </row>
    <row r="913" spans="10:16" ht="12.5" x14ac:dyDescent="0.25">
      <c r="J913" s="115"/>
      <c r="K913" s="115"/>
      <c r="L913" s="115"/>
      <c r="M913" s="115"/>
      <c r="N913" s="115"/>
      <c r="O913" s="115"/>
      <c r="P913" s="115"/>
    </row>
    <row r="914" spans="10:16" ht="12.5" x14ac:dyDescent="0.25">
      <c r="J914" s="115"/>
      <c r="K914" s="115"/>
      <c r="L914" s="115"/>
      <c r="M914" s="115"/>
      <c r="N914" s="115"/>
      <c r="O914" s="115"/>
      <c r="P914" s="115"/>
    </row>
    <row r="915" spans="10:16" ht="12.5" x14ac:dyDescent="0.25">
      <c r="J915" s="115"/>
      <c r="K915" s="115"/>
      <c r="L915" s="115"/>
      <c r="M915" s="115"/>
      <c r="N915" s="115"/>
      <c r="O915" s="115"/>
      <c r="P915" s="115"/>
    </row>
    <row r="916" spans="10:16" ht="12.5" x14ac:dyDescent="0.25">
      <c r="J916" s="115"/>
      <c r="K916" s="115"/>
      <c r="L916" s="115"/>
      <c r="M916" s="115"/>
      <c r="N916" s="115"/>
      <c r="O916" s="115"/>
      <c r="P916" s="115"/>
    </row>
    <row r="917" spans="10:16" ht="12.5" x14ac:dyDescent="0.25">
      <c r="J917" s="115"/>
      <c r="K917" s="115"/>
      <c r="L917" s="115"/>
      <c r="M917" s="115"/>
      <c r="N917" s="115"/>
      <c r="O917" s="115"/>
      <c r="P917" s="115"/>
    </row>
    <row r="918" spans="10:16" ht="12.5" x14ac:dyDescent="0.25">
      <c r="J918" s="115"/>
      <c r="K918" s="115"/>
      <c r="L918" s="115"/>
      <c r="M918" s="115"/>
      <c r="N918" s="115"/>
      <c r="O918" s="115"/>
      <c r="P918" s="115"/>
    </row>
    <row r="919" spans="10:16" ht="12.5" x14ac:dyDescent="0.25">
      <c r="J919" s="115"/>
      <c r="K919" s="115"/>
      <c r="L919" s="115"/>
      <c r="M919" s="115"/>
      <c r="N919" s="115"/>
      <c r="O919" s="115"/>
      <c r="P919" s="115"/>
    </row>
    <row r="920" spans="10:16" ht="12.5" x14ac:dyDescent="0.25">
      <c r="J920" s="115"/>
      <c r="K920" s="115"/>
      <c r="L920" s="115"/>
      <c r="M920" s="115"/>
      <c r="N920" s="115"/>
      <c r="O920" s="115"/>
      <c r="P920" s="115"/>
    </row>
    <row r="921" spans="10:16" ht="12.5" x14ac:dyDescent="0.25">
      <c r="J921" s="115"/>
      <c r="K921" s="115"/>
      <c r="L921" s="115"/>
      <c r="M921" s="115"/>
      <c r="N921" s="115"/>
      <c r="O921" s="115"/>
      <c r="P921" s="115"/>
    </row>
    <row r="922" spans="10:16" ht="12.5" x14ac:dyDescent="0.25">
      <c r="J922" s="115"/>
      <c r="K922" s="115"/>
      <c r="L922" s="115"/>
      <c r="M922" s="115"/>
      <c r="N922" s="115"/>
      <c r="O922" s="115"/>
      <c r="P922" s="115"/>
    </row>
    <row r="923" spans="10:16" ht="12.5" x14ac:dyDescent="0.25">
      <c r="J923" s="115"/>
      <c r="K923" s="115"/>
      <c r="L923" s="115"/>
      <c r="M923" s="115"/>
      <c r="N923" s="115"/>
      <c r="O923" s="115"/>
      <c r="P923" s="115"/>
    </row>
    <row r="924" spans="10:16" ht="12.5" x14ac:dyDescent="0.25">
      <c r="J924" s="115"/>
      <c r="K924" s="115"/>
      <c r="L924" s="115"/>
      <c r="M924" s="115"/>
      <c r="N924" s="115"/>
      <c r="O924" s="115"/>
      <c r="P924" s="115"/>
    </row>
    <row r="925" spans="10:16" ht="12.5" x14ac:dyDescent="0.25">
      <c r="J925" s="115"/>
      <c r="K925" s="115"/>
      <c r="L925" s="115"/>
      <c r="M925" s="115"/>
      <c r="N925" s="115"/>
      <c r="O925" s="115"/>
      <c r="P925" s="115"/>
    </row>
    <row r="926" spans="10:16" ht="12.5" x14ac:dyDescent="0.25">
      <c r="J926" s="115"/>
      <c r="K926" s="115"/>
      <c r="L926" s="115"/>
      <c r="M926" s="115"/>
      <c r="N926" s="115"/>
      <c r="O926" s="115"/>
      <c r="P926" s="115"/>
    </row>
    <row r="927" spans="10:16" ht="12.5" x14ac:dyDescent="0.25">
      <c r="J927" s="115"/>
      <c r="K927" s="115"/>
      <c r="L927" s="115"/>
      <c r="M927" s="115"/>
      <c r="N927" s="115"/>
      <c r="O927" s="115"/>
      <c r="P927" s="115"/>
    </row>
    <row r="928" spans="10:16" ht="12.5" x14ac:dyDescent="0.25">
      <c r="J928" s="115"/>
      <c r="K928" s="115"/>
      <c r="L928" s="115"/>
      <c r="M928" s="115"/>
      <c r="N928" s="115"/>
      <c r="O928" s="115"/>
      <c r="P928" s="115"/>
    </row>
    <row r="929" spans="10:16" ht="12.5" x14ac:dyDescent="0.25">
      <c r="J929" s="115"/>
      <c r="K929" s="115"/>
      <c r="L929" s="115"/>
      <c r="M929" s="115"/>
      <c r="N929" s="115"/>
      <c r="O929" s="115"/>
      <c r="P929" s="115"/>
    </row>
    <row r="930" spans="10:16" ht="12.5" x14ac:dyDescent="0.25">
      <c r="J930" s="115"/>
      <c r="K930" s="115"/>
      <c r="L930" s="115"/>
      <c r="M930" s="115"/>
      <c r="N930" s="115"/>
      <c r="O930" s="115"/>
      <c r="P930" s="115"/>
    </row>
    <row r="931" spans="10:16" ht="12.5" x14ac:dyDescent="0.25">
      <c r="J931" s="115"/>
      <c r="K931" s="115"/>
      <c r="L931" s="115"/>
      <c r="M931" s="115"/>
      <c r="N931" s="115"/>
      <c r="O931" s="115"/>
      <c r="P931" s="115"/>
    </row>
    <row r="932" spans="10:16" ht="12.5" x14ac:dyDescent="0.25">
      <c r="J932" s="115"/>
      <c r="K932" s="115"/>
      <c r="L932" s="115"/>
      <c r="M932" s="115"/>
      <c r="N932" s="115"/>
      <c r="O932" s="115"/>
      <c r="P932" s="115"/>
    </row>
    <row r="933" spans="10:16" ht="12.5" x14ac:dyDescent="0.25">
      <c r="J933" s="115"/>
      <c r="K933" s="115"/>
      <c r="L933" s="115"/>
      <c r="M933" s="115"/>
      <c r="N933" s="115"/>
      <c r="O933" s="115"/>
      <c r="P933" s="115"/>
    </row>
    <row r="934" spans="10:16" ht="12.5" x14ac:dyDescent="0.25">
      <c r="J934" s="115"/>
      <c r="K934" s="115"/>
      <c r="L934" s="115"/>
      <c r="M934" s="115"/>
      <c r="N934" s="115"/>
      <c r="O934" s="115"/>
      <c r="P934" s="115"/>
    </row>
    <row r="935" spans="10:16" ht="12.5" x14ac:dyDescent="0.25">
      <c r="J935" s="115"/>
      <c r="K935" s="115"/>
      <c r="L935" s="115"/>
      <c r="M935" s="115"/>
      <c r="N935" s="115"/>
      <c r="O935" s="115"/>
      <c r="P935" s="115"/>
    </row>
    <row r="936" spans="10:16" ht="12.5" x14ac:dyDescent="0.25">
      <c r="J936" s="115"/>
      <c r="K936" s="115"/>
      <c r="L936" s="115"/>
      <c r="M936" s="115"/>
      <c r="N936" s="115"/>
      <c r="O936" s="115"/>
      <c r="P936" s="115"/>
    </row>
    <row r="937" spans="10:16" ht="12.5" x14ac:dyDescent="0.25">
      <c r="J937" s="115"/>
      <c r="K937" s="115"/>
      <c r="L937" s="115"/>
      <c r="M937" s="115"/>
      <c r="N937" s="115"/>
      <c r="O937" s="115"/>
      <c r="P937" s="115"/>
    </row>
    <row r="938" spans="10:16" ht="12.5" x14ac:dyDescent="0.25">
      <c r="J938" s="115"/>
      <c r="K938" s="115"/>
      <c r="L938" s="115"/>
      <c r="M938" s="115"/>
      <c r="N938" s="115"/>
      <c r="O938" s="115"/>
      <c r="P938" s="115"/>
    </row>
    <row r="939" spans="10:16" ht="12.5" x14ac:dyDescent="0.25">
      <c r="J939" s="115"/>
      <c r="K939" s="115"/>
      <c r="L939" s="115"/>
      <c r="M939" s="115"/>
      <c r="N939" s="115"/>
      <c r="O939" s="115"/>
      <c r="P939" s="115"/>
    </row>
    <row r="940" spans="10:16" ht="12.5" x14ac:dyDescent="0.25">
      <c r="J940" s="115"/>
      <c r="K940" s="115"/>
      <c r="L940" s="115"/>
      <c r="M940" s="115"/>
      <c r="N940" s="115"/>
      <c r="O940" s="115"/>
      <c r="P940" s="115"/>
    </row>
    <row r="941" spans="10:16" ht="12.5" x14ac:dyDescent="0.25">
      <c r="J941" s="115"/>
      <c r="K941" s="115"/>
      <c r="L941" s="115"/>
      <c r="M941" s="115"/>
      <c r="N941" s="115"/>
      <c r="O941" s="115"/>
      <c r="P941" s="115"/>
    </row>
    <row r="942" spans="10:16" ht="12.5" x14ac:dyDescent="0.25">
      <c r="J942" s="115"/>
      <c r="K942" s="115"/>
      <c r="L942" s="115"/>
      <c r="M942" s="115"/>
      <c r="N942" s="115"/>
      <c r="O942" s="115"/>
      <c r="P942" s="115"/>
    </row>
    <row r="943" spans="10:16" ht="12.5" x14ac:dyDescent="0.25">
      <c r="J943" s="115"/>
      <c r="K943" s="115"/>
      <c r="L943" s="115"/>
      <c r="M943" s="115"/>
      <c r="N943" s="115"/>
      <c r="O943" s="115"/>
      <c r="P943" s="115"/>
    </row>
    <row r="944" spans="10:16" ht="12.5" x14ac:dyDescent="0.25">
      <c r="J944" s="115"/>
      <c r="K944" s="115"/>
      <c r="L944" s="115"/>
      <c r="M944" s="115"/>
      <c r="N944" s="115"/>
      <c r="O944" s="115"/>
      <c r="P944" s="115"/>
    </row>
    <row r="945" spans="10:16" ht="12.5" x14ac:dyDescent="0.25">
      <c r="J945" s="115"/>
      <c r="K945" s="115"/>
      <c r="L945" s="115"/>
      <c r="M945" s="115"/>
      <c r="N945" s="115"/>
      <c r="O945" s="115"/>
      <c r="P945" s="115"/>
    </row>
    <row r="946" spans="10:16" ht="12.5" x14ac:dyDescent="0.25">
      <c r="J946" s="115"/>
      <c r="K946" s="115"/>
      <c r="L946" s="115"/>
      <c r="M946" s="115"/>
      <c r="N946" s="115"/>
      <c r="O946" s="115"/>
      <c r="P946" s="115"/>
    </row>
    <row r="947" spans="10:16" ht="12.5" x14ac:dyDescent="0.25">
      <c r="J947" s="115"/>
      <c r="K947" s="115"/>
      <c r="L947" s="115"/>
      <c r="M947" s="115"/>
      <c r="N947" s="115"/>
      <c r="O947" s="115"/>
      <c r="P947" s="115"/>
    </row>
    <row r="948" spans="10:16" ht="12.5" x14ac:dyDescent="0.25">
      <c r="J948" s="115"/>
      <c r="K948" s="115"/>
      <c r="L948" s="115"/>
      <c r="M948" s="115"/>
      <c r="N948" s="115"/>
      <c r="O948" s="115"/>
      <c r="P948" s="115"/>
    </row>
    <row r="949" spans="10:16" ht="12.5" x14ac:dyDescent="0.25">
      <c r="J949" s="115"/>
      <c r="K949" s="115"/>
      <c r="L949" s="115"/>
      <c r="M949" s="115"/>
      <c r="N949" s="115"/>
      <c r="O949" s="115"/>
      <c r="P949" s="115"/>
    </row>
    <row r="950" spans="10:16" ht="12.5" x14ac:dyDescent="0.25">
      <c r="J950" s="115"/>
      <c r="K950" s="115"/>
      <c r="L950" s="115"/>
      <c r="M950" s="115"/>
      <c r="N950" s="115"/>
      <c r="O950" s="115"/>
      <c r="P950" s="115"/>
    </row>
    <row r="951" spans="10:16" ht="12.5" x14ac:dyDescent="0.25">
      <c r="J951" s="115"/>
      <c r="K951" s="115"/>
      <c r="L951" s="115"/>
      <c r="M951" s="115"/>
      <c r="N951" s="115"/>
      <c r="O951" s="115"/>
      <c r="P951" s="115"/>
    </row>
    <row r="952" spans="10:16" ht="12.5" x14ac:dyDescent="0.25">
      <c r="J952" s="115"/>
      <c r="K952" s="115"/>
      <c r="L952" s="115"/>
      <c r="M952" s="115"/>
      <c r="N952" s="115"/>
      <c r="O952" s="115"/>
      <c r="P952" s="115"/>
    </row>
    <row r="953" spans="10:16" ht="12.5" x14ac:dyDescent="0.25">
      <c r="J953" s="115"/>
      <c r="K953" s="115"/>
      <c r="L953" s="115"/>
      <c r="M953" s="115"/>
      <c r="N953" s="115"/>
      <c r="O953" s="115"/>
      <c r="P953" s="115"/>
    </row>
    <row r="954" spans="10:16" ht="12.5" x14ac:dyDescent="0.25">
      <c r="J954" s="115"/>
      <c r="K954" s="115"/>
      <c r="L954" s="115"/>
      <c r="M954" s="115"/>
      <c r="N954" s="115"/>
      <c r="O954" s="115"/>
      <c r="P954" s="115"/>
    </row>
    <row r="955" spans="10:16" ht="12.5" x14ac:dyDescent="0.25">
      <c r="J955" s="115"/>
      <c r="K955" s="115"/>
      <c r="L955" s="115"/>
      <c r="M955" s="115"/>
      <c r="N955" s="115"/>
      <c r="O955" s="115"/>
      <c r="P955" s="115"/>
    </row>
    <row r="956" spans="10:16" ht="12.5" x14ac:dyDescent="0.25">
      <c r="J956" s="115"/>
      <c r="K956" s="115"/>
      <c r="L956" s="115"/>
      <c r="M956" s="115"/>
      <c r="N956" s="115"/>
      <c r="O956" s="115"/>
      <c r="P956" s="115"/>
    </row>
    <row r="957" spans="10:16" ht="12.5" x14ac:dyDescent="0.25">
      <c r="J957" s="115"/>
      <c r="K957" s="115"/>
      <c r="L957" s="115"/>
      <c r="M957" s="115"/>
      <c r="N957" s="115"/>
      <c r="O957" s="115"/>
      <c r="P957" s="115"/>
    </row>
    <row r="958" spans="10:16" ht="12.5" x14ac:dyDescent="0.25">
      <c r="J958" s="115"/>
      <c r="K958" s="115"/>
      <c r="L958" s="115"/>
      <c r="M958" s="115"/>
      <c r="N958" s="115"/>
      <c r="O958" s="115"/>
      <c r="P958" s="115"/>
    </row>
    <row r="959" spans="10:16" ht="12.5" x14ac:dyDescent="0.25">
      <c r="J959" s="115"/>
      <c r="K959" s="115"/>
      <c r="L959" s="115"/>
      <c r="M959" s="115"/>
      <c r="N959" s="115"/>
      <c r="O959" s="115"/>
      <c r="P959" s="115"/>
    </row>
    <row r="960" spans="10:16" ht="12.5" x14ac:dyDescent="0.25">
      <c r="J960" s="115"/>
      <c r="K960" s="115"/>
      <c r="L960" s="115"/>
      <c r="M960" s="115"/>
      <c r="N960" s="115"/>
      <c r="O960" s="115"/>
      <c r="P960" s="115"/>
    </row>
    <row r="961" spans="10:16" ht="12.5" x14ac:dyDescent="0.25">
      <c r="J961" s="115"/>
      <c r="K961" s="115"/>
      <c r="L961" s="115"/>
      <c r="M961" s="115"/>
      <c r="N961" s="115"/>
      <c r="O961" s="115"/>
      <c r="P961" s="115"/>
    </row>
    <row r="962" spans="10:16" ht="12.5" x14ac:dyDescent="0.25">
      <c r="J962" s="115"/>
      <c r="K962" s="115"/>
      <c r="L962" s="115"/>
      <c r="M962" s="115"/>
      <c r="N962" s="115"/>
      <c r="O962" s="115"/>
      <c r="P962" s="115"/>
    </row>
    <row r="963" spans="10:16" ht="12.5" x14ac:dyDescent="0.25">
      <c r="J963" s="115"/>
      <c r="K963" s="115"/>
      <c r="L963" s="115"/>
      <c r="M963" s="115"/>
      <c r="N963" s="115"/>
      <c r="O963" s="115"/>
      <c r="P963" s="115"/>
    </row>
    <row r="964" spans="10:16" ht="12.5" x14ac:dyDescent="0.25">
      <c r="J964" s="115"/>
      <c r="K964" s="115"/>
      <c r="L964" s="115"/>
      <c r="M964" s="115"/>
      <c r="N964" s="115"/>
      <c r="O964" s="115"/>
      <c r="P964" s="115"/>
    </row>
    <row r="965" spans="10:16" ht="12.5" x14ac:dyDescent="0.25">
      <c r="J965" s="115"/>
      <c r="K965" s="115"/>
      <c r="L965" s="115"/>
      <c r="M965" s="115"/>
      <c r="N965" s="115"/>
      <c r="O965" s="115"/>
      <c r="P965" s="115"/>
    </row>
    <row r="966" spans="10:16" ht="12.5" x14ac:dyDescent="0.25">
      <c r="J966" s="115"/>
      <c r="K966" s="115"/>
      <c r="L966" s="115"/>
      <c r="M966" s="115"/>
      <c r="N966" s="115"/>
      <c r="O966" s="115"/>
      <c r="P966" s="115"/>
    </row>
    <row r="967" spans="10:16" ht="12.5" x14ac:dyDescent="0.25">
      <c r="J967" s="115"/>
      <c r="K967" s="115"/>
      <c r="L967" s="115"/>
      <c r="M967" s="115"/>
      <c r="N967" s="115"/>
      <c r="O967" s="115"/>
      <c r="P967" s="115"/>
    </row>
    <row r="968" spans="10:16" ht="12.5" x14ac:dyDescent="0.25">
      <c r="J968" s="115"/>
      <c r="K968" s="115"/>
      <c r="L968" s="115"/>
      <c r="M968" s="115"/>
      <c r="N968" s="115"/>
      <c r="O968" s="115"/>
      <c r="P968" s="115"/>
    </row>
    <row r="969" spans="10:16" ht="12.5" x14ac:dyDescent="0.25">
      <c r="J969" s="115"/>
      <c r="K969" s="115"/>
      <c r="L969" s="115"/>
      <c r="M969" s="115"/>
      <c r="N969" s="115"/>
      <c r="O969" s="115"/>
      <c r="P969" s="115"/>
    </row>
    <row r="970" spans="10:16" ht="12.5" x14ac:dyDescent="0.25">
      <c r="J970" s="115"/>
      <c r="K970" s="115"/>
      <c r="L970" s="115"/>
      <c r="M970" s="115"/>
      <c r="N970" s="115"/>
      <c r="O970" s="115"/>
      <c r="P970" s="115"/>
    </row>
    <row r="971" spans="10:16" ht="12.5" x14ac:dyDescent="0.25">
      <c r="J971" s="115"/>
      <c r="K971" s="115"/>
      <c r="L971" s="115"/>
      <c r="M971" s="115"/>
      <c r="N971" s="115"/>
      <c r="O971" s="115"/>
      <c r="P971" s="115"/>
    </row>
    <row r="972" spans="10:16" ht="12.5" x14ac:dyDescent="0.25">
      <c r="J972" s="115"/>
      <c r="K972" s="115"/>
      <c r="L972" s="115"/>
      <c r="M972" s="115"/>
      <c r="N972" s="115"/>
      <c r="O972" s="115"/>
      <c r="P972" s="115"/>
    </row>
    <row r="973" spans="10:16" ht="12.5" x14ac:dyDescent="0.25">
      <c r="J973" s="115"/>
      <c r="K973" s="115"/>
      <c r="L973" s="115"/>
      <c r="M973" s="115"/>
      <c r="N973" s="115"/>
      <c r="O973" s="115"/>
      <c r="P973" s="115"/>
    </row>
    <row r="974" spans="10:16" ht="12.5" x14ac:dyDescent="0.25">
      <c r="J974" s="115"/>
      <c r="K974" s="115"/>
      <c r="L974" s="115"/>
      <c r="M974" s="115"/>
      <c r="N974" s="115"/>
      <c r="O974" s="115"/>
      <c r="P974" s="115"/>
    </row>
    <row r="975" spans="10:16" ht="12.5" x14ac:dyDescent="0.25">
      <c r="J975" s="115"/>
      <c r="K975" s="115"/>
      <c r="L975" s="115"/>
      <c r="M975" s="115"/>
      <c r="N975" s="115"/>
      <c r="O975" s="115"/>
      <c r="P975" s="115"/>
    </row>
    <row r="976" spans="10:16" ht="12.5" x14ac:dyDescent="0.25">
      <c r="J976" s="115"/>
      <c r="K976" s="115"/>
      <c r="L976" s="115"/>
      <c r="M976" s="115"/>
      <c r="N976" s="115"/>
      <c r="O976" s="115"/>
      <c r="P976" s="115"/>
    </row>
    <row r="977" spans="10:16" ht="12.5" x14ac:dyDescent="0.25">
      <c r="J977" s="115"/>
      <c r="K977" s="115"/>
      <c r="L977" s="115"/>
      <c r="M977" s="115"/>
      <c r="N977" s="115"/>
      <c r="O977" s="115"/>
      <c r="P977" s="115"/>
    </row>
    <row r="978" spans="10:16" ht="12.5" x14ac:dyDescent="0.25">
      <c r="J978" s="115"/>
      <c r="K978" s="115"/>
      <c r="L978" s="115"/>
      <c r="M978" s="115"/>
      <c r="N978" s="115"/>
      <c r="O978" s="115"/>
      <c r="P978" s="115"/>
    </row>
    <row r="979" spans="10:16" ht="12.5" x14ac:dyDescent="0.25">
      <c r="J979" s="115"/>
      <c r="K979" s="115"/>
      <c r="L979" s="115"/>
      <c r="M979" s="115"/>
      <c r="N979" s="115"/>
      <c r="O979" s="115"/>
      <c r="P979" s="115"/>
    </row>
    <row r="980" spans="10:16" ht="12.5" x14ac:dyDescent="0.25">
      <c r="J980" s="115"/>
      <c r="K980" s="115"/>
      <c r="L980" s="115"/>
      <c r="M980" s="115"/>
      <c r="N980" s="115"/>
      <c r="O980" s="115"/>
      <c r="P980" s="115"/>
    </row>
    <row r="981" spans="10:16" ht="12.5" x14ac:dyDescent="0.25">
      <c r="J981" s="115"/>
      <c r="K981" s="115"/>
      <c r="L981" s="115"/>
      <c r="M981" s="115"/>
      <c r="N981" s="115"/>
      <c r="O981" s="115"/>
      <c r="P981" s="115"/>
    </row>
    <row r="982" spans="10:16" ht="12.5" x14ac:dyDescent="0.25">
      <c r="J982" s="115"/>
      <c r="K982" s="115"/>
      <c r="L982" s="115"/>
      <c r="M982" s="115"/>
      <c r="N982" s="115"/>
      <c r="O982" s="115"/>
      <c r="P982" s="115"/>
    </row>
    <row r="983" spans="10:16" ht="12.5" x14ac:dyDescent="0.25">
      <c r="J983" s="115"/>
      <c r="K983" s="115"/>
      <c r="L983" s="115"/>
      <c r="M983" s="115"/>
      <c r="N983" s="115"/>
      <c r="O983" s="115"/>
      <c r="P983" s="115"/>
    </row>
    <row r="984" spans="10:16" ht="12.5" x14ac:dyDescent="0.25">
      <c r="J984" s="115"/>
      <c r="K984" s="115"/>
      <c r="L984" s="115"/>
      <c r="M984" s="115"/>
      <c r="N984" s="115"/>
      <c r="O984" s="115"/>
      <c r="P984" s="115"/>
    </row>
    <row r="985" spans="10:16" ht="12.5" x14ac:dyDescent="0.25">
      <c r="J985" s="115"/>
      <c r="K985" s="115"/>
      <c r="L985" s="115"/>
      <c r="M985" s="115"/>
      <c r="N985" s="115"/>
      <c r="O985" s="115"/>
      <c r="P985" s="115"/>
    </row>
    <row r="986" spans="10:16" ht="12.5" x14ac:dyDescent="0.25">
      <c r="J986" s="115"/>
      <c r="K986" s="115"/>
      <c r="L986" s="115"/>
      <c r="M986" s="115"/>
      <c r="N986" s="115"/>
      <c r="O986" s="115"/>
      <c r="P986" s="115"/>
    </row>
    <row r="987" spans="10:16" ht="12.5" x14ac:dyDescent="0.25">
      <c r="J987" s="115"/>
      <c r="K987" s="115"/>
      <c r="L987" s="115"/>
      <c r="M987" s="115"/>
      <c r="N987" s="115"/>
      <c r="O987" s="115"/>
      <c r="P987" s="115"/>
    </row>
    <row r="988" spans="10:16" ht="12.5" x14ac:dyDescent="0.25">
      <c r="J988" s="115"/>
      <c r="K988" s="115"/>
      <c r="L988" s="115"/>
      <c r="M988" s="115"/>
      <c r="N988" s="115"/>
      <c r="O988" s="115"/>
      <c r="P988" s="115"/>
    </row>
    <row r="989" spans="10:16" ht="12.5" x14ac:dyDescent="0.25">
      <c r="J989" s="115"/>
      <c r="K989" s="115"/>
      <c r="L989" s="115"/>
      <c r="M989" s="115"/>
      <c r="N989" s="115"/>
      <c r="O989" s="115"/>
      <c r="P989" s="115"/>
    </row>
    <row r="990" spans="10:16" ht="12.5" x14ac:dyDescent="0.25">
      <c r="J990" s="115"/>
      <c r="K990" s="115"/>
      <c r="L990" s="115"/>
      <c r="M990" s="115"/>
      <c r="N990" s="115"/>
      <c r="O990" s="115"/>
      <c r="P990" s="115"/>
    </row>
    <row r="991" spans="10:16" ht="12.5" x14ac:dyDescent="0.25">
      <c r="J991" s="115"/>
      <c r="K991" s="115"/>
      <c r="L991" s="115"/>
      <c r="M991" s="115"/>
      <c r="N991" s="115"/>
      <c r="O991" s="115"/>
      <c r="P991" s="115"/>
    </row>
    <row r="992" spans="10:16" ht="12.5" x14ac:dyDescent="0.25">
      <c r="J992" s="115"/>
      <c r="K992" s="115"/>
      <c r="L992" s="115"/>
      <c r="M992" s="115"/>
      <c r="N992" s="115"/>
      <c r="O992" s="115"/>
      <c r="P992" s="115"/>
    </row>
    <row r="993" spans="10:16" ht="12.5" x14ac:dyDescent="0.25">
      <c r="J993" s="115"/>
      <c r="K993" s="115"/>
      <c r="L993" s="115"/>
      <c r="M993" s="115"/>
      <c r="N993" s="115"/>
      <c r="O993" s="115"/>
      <c r="P993" s="115"/>
    </row>
    <row r="994" spans="10:16" ht="12.5" x14ac:dyDescent="0.25">
      <c r="J994" s="115"/>
      <c r="K994" s="115"/>
      <c r="L994" s="115"/>
      <c r="M994" s="115"/>
      <c r="N994" s="115"/>
      <c r="O994" s="115"/>
      <c r="P994" s="115"/>
    </row>
    <row r="995" spans="10:16" ht="12.5" x14ac:dyDescent="0.25">
      <c r="J995" s="115"/>
      <c r="K995" s="115"/>
      <c r="L995" s="115"/>
      <c r="M995" s="115"/>
      <c r="N995" s="115"/>
      <c r="O995" s="115"/>
      <c r="P995" s="115"/>
    </row>
    <row r="996" spans="10:16" ht="12.5" x14ac:dyDescent="0.25">
      <c r="J996" s="115"/>
      <c r="K996" s="115"/>
      <c r="L996" s="115"/>
      <c r="M996" s="115"/>
      <c r="N996" s="115"/>
      <c r="O996" s="115"/>
      <c r="P996" s="115"/>
    </row>
    <row r="997" spans="10:16" ht="12.5" x14ac:dyDescent="0.25">
      <c r="J997" s="115"/>
      <c r="K997" s="115"/>
      <c r="L997" s="115"/>
      <c r="M997" s="115"/>
      <c r="N997" s="115"/>
      <c r="O997" s="115"/>
      <c r="P997" s="115"/>
    </row>
    <row r="998" spans="10:16" ht="12.5" x14ac:dyDescent="0.25">
      <c r="J998" s="115"/>
      <c r="K998" s="115"/>
      <c r="L998" s="115"/>
      <c r="M998" s="115"/>
      <c r="N998" s="115"/>
      <c r="O998" s="115"/>
      <c r="P998" s="115"/>
    </row>
    <row r="999" spans="10:16" ht="12.5" x14ac:dyDescent="0.25">
      <c r="J999" s="115"/>
      <c r="K999" s="115"/>
      <c r="L999" s="115"/>
      <c r="M999" s="115"/>
      <c r="N999" s="115"/>
      <c r="O999" s="115"/>
      <c r="P999" s="115"/>
    </row>
    <row r="1000" spans="10:16" ht="12.5" x14ac:dyDescent="0.25">
      <c r="J1000" s="115"/>
      <c r="K1000" s="115"/>
      <c r="L1000" s="115"/>
      <c r="M1000" s="115"/>
      <c r="N1000" s="115"/>
      <c r="O1000" s="115"/>
      <c r="P1000" s="115"/>
    </row>
    <row r="1001" spans="10:16" ht="12.5" x14ac:dyDescent="0.25">
      <c r="J1001" s="115"/>
      <c r="K1001" s="115"/>
      <c r="L1001" s="115"/>
      <c r="M1001" s="115"/>
      <c r="N1001" s="115"/>
      <c r="O1001" s="115"/>
      <c r="P1001" s="115"/>
    </row>
    <row r="1002" spans="10:16" ht="12.5" x14ac:dyDescent="0.25">
      <c r="J1002" s="115"/>
      <c r="K1002" s="115"/>
      <c r="L1002" s="115"/>
      <c r="M1002" s="115"/>
      <c r="N1002" s="115"/>
      <c r="O1002" s="115"/>
      <c r="P1002" s="115"/>
    </row>
    <row r="1003" spans="10:16" ht="12.5" x14ac:dyDescent="0.25">
      <c r="J1003" s="115"/>
      <c r="K1003" s="115"/>
      <c r="L1003" s="115"/>
      <c r="M1003" s="115"/>
      <c r="N1003" s="115"/>
      <c r="O1003" s="115"/>
      <c r="P1003" s="115"/>
    </row>
    <row r="1004" spans="10:16" ht="12.5" x14ac:dyDescent="0.25">
      <c r="J1004" s="115"/>
      <c r="K1004" s="115"/>
      <c r="L1004" s="115"/>
      <c r="M1004" s="115"/>
      <c r="N1004" s="115"/>
      <c r="O1004" s="115"/>
      <c r="P1004" s="115"/>
    </row>
    <row r="1005" spans="10:16" ht="12.5" x14ac:dyDescent="0.25">
      <c r="J1005" s="115"/>
      <c r="K1005" s="115"/>
      <c r="L1005" s="115"/>
      <c r="M1005" s="115"/>
      <c r="N1005" s="115"/>
      <c r="O1005" s="115"/>
      <c r="P1005" s="115"/>
    </row>
    <row r="1006" spans="10:16" ht="12.5" x14ac:dyDescent="0.25">
      <c r="J1006" s="115"/>
      <c r="K1006" s="115"/>
      <c r="L1006" s="115"/>
      <c r="M1006" s="115"/>
      <c r="N1006" s="115"/>
      <c r="O1006" s="115"/>
      <c r="P1006" s="115"/>
    </row>
    <row r="1007" spans="10:16" ht="12.5" x14ac:dyDescent="0.25">
      <c r="J1007" s="115"/>
      <c r="K1007" s="115"/>
      <c r="L1007" s="115"/>
      <c r="M1007" s="115"/>
      <c r="N1007" s="115"/>
      <c r="O1007" s="115"/>
      <c r="P1007" s="115"/>
    </row>
    <row r="1008" spans="10:16" ht="12.5" x14ac:dyDescent="0.25">
      <c r="J1008" s="115"/>
      <c r="K1008" s="115"/>
      <c r="L1008" s="115"/>
      <c r="M1008" s="115"/>
      <c r="N1008" s="115"/>
      <c r="O1008" s="115"/>
      <c r="P1008" s="115"/>
    </row>
    <row r="1009" spans="10:16" ht="12.5" x14ac:dyDescent="0.25">
      <c r="J1009" s="115"/>
      <c r="K1009" s="115"/>
      <c r="L1009" s="115"/>
      <c r="M1009" s="115"/>
      <c r="N1009" s="115"/>
      <c r="O1009" s="115"/>
      <c r="P1009" s="115"/>
    </row>
    <row r="1010" spans="10:16" ht="12.5" x14ac:dyDescent="0.25">
      <c r="J1010" s="115"/>
      <c r="K1010" s="115"/>
      <c r="L1010" s="115"/>
      <c r="M1010" s="115"/>
      <c r="N1010" s="115"/>
      <c r="O1010" s="115"/>
      <c r="P1010" s="115"/>
    </row>
    <row r="1011" spans="10:16" ht="12.5" x14ac:dyDescent="0.25">
      <c r="J1011" s="115"/>
      <c r="K1011" s="115"/>
      <c r="L1011" s="115"/>
      <c r="M1011" s="115"/>
      <c r="N1011" s="115"/>
      <c r="O1011" s="115"/>
      <c r="P1011" s="115"/>
    </row>
    <row r="1012" spans="10:16" ht="12.5" x14ac:dyDescent="0.25">
      <c r="J1012" s="115"/>
      <c r="K1012" s="115"/>
      <c r="L1012" s="115"/>
      <c r="M1012" s="115"/>
      <c r="N1012" s="115"/>
      <c r="O1012" s="115"/>
      <c r="P1012" s="115"/>
    </row>
    <row r="1013" spans="10:16" ht="12.5" x14ac:dyDescent="0.25">
      <c r="J1013" s="115"/>
      <c r="K1013" s="115"/>
      <c r="L1013" s="115"/>
      <c r="M1013" s="115"/>
      <c r="N1013" s="115"/>
      <c r="O1013" s="115"/>
      <c r="P1013" s="115"/>
    </row>
    <row r="1014" spans="10:16" ht="12.5" x14ac:dyDescent="0.25">
      <c r="J1014" s="115"/>
      <c r="K1014" s="115"/>
      <c r="L1014" s="115"/>
      <c r="M1014" s="115"/>
      <c r="N1014" s="115"/>
      <c r="O1014" s="115"/>
      <c r="P1014" s="115"/>
    </row>
    <row r="1015" spans="10:16" ht="12.5" x14ac:dyDescent="0.25">
      <c r="J1015" s="115"/>
      <c r="K1015" s="115"/>
      <c r="L1015" s="115"/>
      <c r="M1015" s="115"/>
      <c r="N1015" s="115"/>
      <c r="O1015" s="115"/>
      <c r="P1015" s="115"/>
    </row>
    <row r="1016" spans="10:16" ht="12.5" x14ac:dyDescent="0.25">
      <c r="J1016" s="115"/>
      <c r="K1016" s="115"/>
      <c r="L1016" s="115"/>
      <c r="M1016" s="115"/>
      <c r="N1016" s="115"/>
      <c r="O1016" s="115"/>
      <c r="P1016" s="115"/>
    </row>
    <row r="1017" spans="10:16" ht="12.5" x14ac:dyDescent="0.25">
      <c r="J1017" s="115"/>
      <c r="K1017" s="115"/>
      <c r="L1017" s="115"/>
      <c r="M1017" s="115"/>
      <c r="N1017" s="115"/>
      <c r="O1017" s="115"/>
      <c r="P1017" s="115"/>
    </row>
    <row r="1018" spans="10:16" ht="12.5" x14ac:dyDescent="0.25">
      <c r="J1018" s="115"/>
      <c r="K1018" s="115"/>
      <c r="L1018" s="115"/>
      <c r="M1018" s="115"/>
      <c r="N1018" s="115"/>
      <c r="O1018" s="115"/>
      <c r="P1018" s="115"/>
    </row>
    <row r="1019" spans="10:16" ht="12.5" x14ac:dyDescent="0.25">
      <c r="J1019" s="115"/>
      <c r="K1019" s="115"/>
      <c r="L1019" s="115"/>
      <c r="M1019" s="115"/>
      <c r="N1019" s="115"/>
      <c r="O1019" s="115"/>
      <c r="P1019" s="115"/>
    </row>
    <row r="1020" spans="10:16" ht="12.5" x14ac:dyDescent="0.25">
      <c r="J1020" s="115"/>
      <c r="K1020" s="115"/>
      <c r="L1020" s="115"/>
      <c r="M1020" s="115"/>
      <c r="N1020" s="115"/>
      <c r="O1020" s="115"/>
      <c r="P1020" s="115"/>
    </row>
    <row r="1021" spans="10:16" ht="12.5" x14ac:dyDescent="0.25">
      <c r="J1021" s="115"/>
      <c r="K1021" s="115"/>
      <c r="L1021" s="115"/>
      <c r="M1021" s="115"/>
      <c r="N1021" s="115"/>
      <c r="O1021" s="115"/>
      <c r="P1021" s="115"/>
    </row>
    <row r="1022" spans="10:16" ht="12.5" x14ac:dyDescent="0.25">
      <c r="J1022" s="115"/>
      <c r="K1022" s="115"/>
      <c r="L1022" s="115"/>
      <c r="M1022" s="115"/>
      <c r="N1022" s="115"/>
      <c r="O1022" s="115"/>
      <c r="P1022" s="115"/>
    </row>
    <row r="1023" spans="10:16" ht="12.5" x14ac:dyDescent="0.25">
      <c r="J1023" s="115"/>
      <c r="K1023" s="115"/>
      <c r="L1023" s="115"/>
      <c r="M1023" s="115"/>
      <c r="N1023" s="115"/>
      <c r="O1023" s="115"/>
      <c r="P1023" s="115"/>
    </row>
    <row r="1024" spans="10:16" ht="12.5" x14ac:dyDescent="0.25">
      <c r="J1024" s="115"/>
      <c r="K1024" s="115"/>
      <c r="L1024" s="115"/>
      <c r="M1024" s="115"/>
      <c r="N1024" s="115"/>
      <c r="O1024" s="115"/>
      <c r="P1024" s="115"/>
    </row>
    <row r="1025" spans="10:16" ht="12.5" x14ac:dyDescent="0.25">
      <c r="J1025" s="115"/>
      <c r="K1025" s="115"/>
      <c r="L1025" s="115"/>
      <c r="M1025" s="115"/>
      <c r="N1025" s="115"/>
      <c r="O1025" s="115"/>
      <c r="P1025" s="115"/>
    </row>
    <row r="1026" spans="10:16" ht="12.5" x14ac:dyDescent="0.25">
      <c r="J1026" s="115"/>
      <c r="K1026" s="115"/>
      <c r="L1026" s="115"/>
      <c r="M1026" s="115"/>
      <c r="N1026" s="115"/>
      <c r="O1026" s="115"/>
      <c r="P1026" s="115"/>
    </row>
    <row r="1027" spans="10:16" ht="12.5" x14ac:dyDescent="0.25">
      <c r="J1027" s="115"/>
      <c r="K1027" s="115"/>
      <c r="L1027" s="115"/>
      <c r="M1027" s="115"/>
      <c r="N1027" s="115"/>
      <c r="O1027" s="115"/>
      <c r="P1027" s="115"/>
    </row>
    <row r="1028" spans="10:16" ht="12.5" x14ac:dyDescent="0.25">
      <c r="J1028" s="115"/>
      <c r="K1028" s="115"/>
      <c r="L1028" s="115"/>
      <c r="M1028" s="115"/>
      <c r="N1028" s="115"/>
      <c r="O1028" s="115"/>
      <c r="P1028" s="115"/>
    </row>
    <row r="1029" spans="10:16" ht="12.5" x14ac:dyDescent="0.25">
      <c r="J1029" s="115"/>
      <c r="K1029" s="115"/>
      <c r="L1029" s="115"/>
      <c r="M1029" s="115"/>
      <c r="N1029" s="115"/>
      <c r="O1029" s="115"/>
      <c r="P1029" s="115"/>
    </row>
    <row r="1030" spans="10:16" ht="12.5" x14ac:dyDescent="0.25">
      <c r="J1030" s="115"/>
      <c r="K1030" s="115"/>
      <c r="L1030" s="115"/>
      <c r="M1030" s="115"/>
      <c r="N1030" s="115"/>
      <c r="O1030" s="115"/>
      <c r="P1030" s="115"/>
    </row>
    <row r="1031" spans="10:16" ht="12.5" x14ac:dyDescent="0.25">
      <c r="J1031" s="115"/>
      <c r="K1031" s="115"/>
      <c r="L1031" s="115"/>
      <c r="M1031" s="115"/>
      <c r="N1031" s="115"/>
      <c r="O1031" s="115"/>
      <c r="P1031" s="115"/>
    </row>
    <row r="1032" spans="10:16" ht="12.5" x14ac:dyDescent="0.25">
      <c r="J1032" s="115"/>
      <c r="K1032" s="115"/>
      <c r="L1032" s="115"/>
      <c r="M1032" s="115"/>
      <c r="N1032" s="115"/>
      <c r="O1032" s="115"/>
      <c r="P1032" s="115"/>
    </row>
    <row r="1033" spans="10:16" ht="12.5" x14ac:dyDescent="0.25">
      <c r="J1033" s="115"/>
      <c r="K1033" s="115"/>
      <c r="L1033" s="115"/>
      <c r="M1033" s="115"/>
      <c r="N1033" s="115"/>
      <c r="O1033" s="115"/>
      <c r="P1033" s="115"/>
    </row>
    <row r="1034" spans="10:16" ht="12.5" x14ac:dyDescent="0.25">
      <c r="J1034" s="115"/>
      <c r="K1034" s="115"/>
      <c r="L1034" s="115"/>
      <c r="M1034" s="115"/>
      <c r="N1034" s="115"/>
      <c r="O1034" s="115"/>
      <c r="P1034" s="115"/>
    </row>
    <row r="1035" spans="10:16" ht="12.5" x14ac:dyDescent="0.25">
      <c r="J1035" s="115"/>
      <c r="K1035" s="115"/>
      <c r="L1035" s="115"/>
      <c r="M1035" s="115"/>
      <c r="N1035" s="115"/>
      <c r="O1035" s="115"/>
      <c r="P1035" s="115"/>
    </row>
    <row r="1036" spans="10:16" ht="12.5" x14ac:dyDescent="0.25">
      <c r="J1036" s="115"/>
      <c r="K1036" s="115"/>
      <c r="L1036" s="115"/>
      <c r="M1036" s="115"/>
      <c r="N1036" s="115"/>
      <c r="O1036" s="115"/>
      <c r="P1036" s="115"/>
    </row>
    <row r="1037" spans="10:16" ht="12.5" x14ac:dyDescent="0.25">
      <c r="J1037" s="115"/>
      <c r="K1037" s="115"/>
      <c r="L1037" s="115"/>
      <c r="M1037" s="115"/>
      <c r="N1037" s="115"/>
      <c r="O1037" s="115"/>
      <c r="P1037" s="115"/>
    </row>
    <row r="1038" spans="10:16" ht="12.5" x14ac:dyDescent="0.25">
      <c r="J1038" s="115"/>
      <c r="K1038" s="115"/>
      <c r="L1038" s="115"/>
      <c r="M1038" s="115"/>
      <c r="N1038" s="115"/>
      <c r="O1038" s="115"/>
      <c r="P1038" s="115"/>
    </row>
    <row r="1039" spans="10:16" ht="12.5" x14ac:dyDescent="0.25">
      <c r="J1039" s="115"/>
      <c r="K1039" s="115"/>
      <c r="L1039" s="115"/>
      <c r="M1039" s="115"/>
      <c r="N1039" s="115"/>
      <c r="O1039" s="115"/>
      <c r="P1039" s="115"/>
    </row>
    <row r="1040" spans="10:16" ht="12.5" x14ac:dyDescent="0.25">
      <c r="J1040" s="115"/>
      <c r="K1040" s="115"/>
      <c r="L1040" s="115"/>
      <c r="M1040" s="115"/>
      <c r="N1040" s="115"/>
      <c r="O1040" s="115"/>
      <c r="P1040" s="115"/>
    </row>
    <row r="1041" spans="10:16" ht="12.5" x14ac:dyDescent="0.25">
      <c r="J1041" s="115"/>
      <c r="K1041" s="115"/>
      <c r="L1041" s="115"/>
      <c r="M1041" s="115"/>
      <c r="N1041" s="115"/>
      <c r="O1041" s="115"/>
      <c r="P1041" s="115"/>
    </row>
    <row r="1042" spans="10:16" ht="12.5" x14ac:dyDescent="0.25">
      <c r="J1042" s="115"/>
      <c r="K1042" s="115"/>
      <c r="L1042" s="115"/>
      <c r="M1042" s="115"/>
      <c r="N1042" s="115"/>
      <c r="O1042" s="115"/>
      <c r="P1042" s="115"/>
    </row>
    <row r="1043" spans="10:16" ht="12.5" x14ac:dyDescent="0.25">
      <c r="J1043" s="115"/>
      <c r="K1043" s="115"/>
      <c r="L1043" s="115"/>
      <c r="M1043" s="115"/>
      <c r="N1043" s="115"/>
      <c r="O1043" s="115"/>
      <c r="P1043" s="115"/>
    </row>
    <row r="1044" spans="10:16" ht="12.5" x14ac:dyDescent="0.25">
      <c r="J1044" s="115"/>
      <c r="K1044" s="115"/>
      <c r="L1044" s="115"/>
      <c r="M1044" s="115"/>
      <c r="N1044" s="115"/>
      <c r="O1044" s="115"/>
      <c r="P1044" s="115"/>
    </row>
  </sheetData>
  <mergeCells count="419">
    <mergeCell ref="D114:I114"/>
    <mergeCell ref="K114:L114"/>
    <mergeCell ref="K117:L117"/>
    <mergeCell ref="K118:L118"/>
    <mergeCell ref="K119:L119"/>
    <mergeCell ref="M119:N119"/>
    <mergeCell ref="O119:P119"/>
    <mergeCell ref="Q119:V119"/>
    <mergeCell ref="D120:N120"/>
    <mergeCell ref="O120:P120"/>
    <mergeCell ref="M114:N114"/>
    <mergeCell ref="O114:P114"/>
    <mergeCell ref="Q114:V114"/>
    <mergeCell ref="K115:L115"/>
    <mergeCell ref="M115:N115"/>
    <mergeCell ref="O115:P115"/>
    <mergeCell ref="Q115:V115"/>
    <mergeCell ref="K112:L112"/>
    <mergeCell ref="M112:N112"/>
    <mergeCell ref="K113:L113"/>
    <mergeCell ref="M113:N113"/>
    <mergeCell ref="O113:P113"/>
    <mergeCell ref="K109:L109"/>
    <mergeCell ref="M109:N109"/>
    <mergeCell ref="O109:P109"/>
    <mergeCell ref="Q109:V109"/>
    <mergeCell ref="D110:I110"/>
    <mergeCell ref="O112:P112"/>
    <mergeCell ref="Q112:V112"/>
    <mergeCell ref="Q113:V113"/>
    <mergeCell ref="O110:P110"/>
    <mergeCell ref="Q110:V110"/>
    <mergeCell ref="K111:L111"/>
    <mergeCell ref="M111:N111"/>
    <mergeCell ref="O111:P111"/>
    <mergeCell ref="Q111:V111"/>
    <mergeCell ref="D112:I112"/>
    <mergeCell ref="O117:P117"/>
    <mergeCell ref="Q117:V117"/>
    <mergeCell ref="M118:N118"/>
    <mergeCell ref="O118:P118"/>
    <mergeCell ref="D116:I116"/>
    <mergeCell ref="K116:L116"/>
    <mergeCell ref="M116:N116"/>
    <mergeCell ref="O116:P116"/>
    <mergeCell ref="Q116:V116"/>
    <mergeCell ref="M117:N117"/>
    <mergeCell ref="D118:I118"/>
    <mergeCell ref="Q118:V118"/>
    <mergeCell ref="O108:P108"/>
    <mergeCell ref="Q108:V108"/>
    <mergeCell ref="K106:L106"/>
    <mergeCell ref="M106:N106"/>
    <mergeCell ref="K107:L107"/>
    <mergeCell ref="M107:N107"/>
    <mergeCell ref="O107:P107"/>
    <mergeCell ref="Q107:V107"/>
    <mergeCell ref="D108:I108"/>
    <mergeCell ref="K108:L108"/>
    <mergeCell ref="M108:N108"/>
    <mergeCell ref="O106:P106"/>
    <mergeCell ref="Q106:V106"/>
    <mergeCell ref="K104:L104"/>
    <mergeCell ref="M104:N104"/>
    <mergeCell ref="K105:L105"/>
    <mergeCell ref="M105:N105"/>
    <mergeCell ref="O105:P105"/>
    <mergeCell ref="Q105:V105"/>
    <mergeCell ref="D106:I106"/>
    <mergeCell ref="K100:L100"/>
    <mergeCell ref="M100:N100"/>
    <mergeCell ref="K101:L101"/>
    <mergeCell ref="M101:N101"/>
    <mergeCell ref="O101:P101"/>
    <mergeCell ref="Q101:V101"/>
    <mergeCell ref="D102:I102"/>
    <mergeCell ref="O104:P104"/>
    <mergeCell ref="Q104:V104"/>
    <mergeCell ref="K102:L102"/>
    <mergeCell ref="M102:N102"/>
    <mergeCell ref="K103:L103"/>
    <mergeCell ref="M103:N103"/>
    <mergeCell ref="O103:P103"/>
    <mergeCell ref="Q103:V103"/>
    <mergeCell ref="D104:I104"/>
    <mergeCell ref="D90:I90"/>
    <mergeCell ref="K90:L90"/>
    <mergeCell ref="K110:L110"/>
    <mergeCell ref="M110:N110"/>
    <mergeCell ref="O98:P98"/>
    <mergeCell ref="Q98:V98"/>
    <mergeCell ref="K96:L96"/>
    <mergeCell ref="M96:N96"/>
    <mergeCell ref="K97:L97"/>
    <mergeCell ref="M97:N97"/>
    <mergeCell ref="O97:P97"/>
    <mergeCell ref="Q97:V97"/>
    <mergeCell ref="D98:I98"/>
    <mergeCell ref="O100:P100"/>
    <mergeCell ref="Q100:V100"/>
    <mergeCell ref="K98:L98"/>
    <mergeCell ref="M98:N98"/>
    <mergeCell ref="K99:L99"/>
    <mergeCell ref="M99:N99"/>
    <mergeCell ref="O99:P99"/>
    <mergeCell ref="Q99:V99"/>
    <mergeCell ref="D100:I100"/>
    <mergeCell ref="O102:P102"/>
    <mergeCell ref="Q102:V102"/>
    <mergeCell ref="M90:N90"/>
    <mergeCell ref="O90:P90"/>
    <mergeCell ref="Q90:V90"/>
    <mergeCell ref="K91:L91"/>
    <mergeCell ref="M91:N91"/>
    <mergeCell ref="O91:P91"/>
    <mergeCell ref="Q91:V91"/>
    <mergeCell ref="K88:L88"/>
    <mergeCell ref="M88:N88"/>
    <mergeCell ref="K89:L89"/>
    <mergeCell ref="M89:N89"/>
    <mergeCell ref="O89:P89"/>
    <mergeCell ref="K85:L85"/>
    <mergeCell ref="M85:N85"/>
    <mergeCell ref="O85:P85"/>
    <mergeCell ref="Q85:V85"/>
    <mergeCell ref="D86:I86"/>
    <mergeCell ref="O88:P88"/>
    <mergeCell ref="Q88:V88"/>
    <mergeCell ref="Q89:V89"/>
    <mergeCell ref="O86:P86"/>
    <mergeCell ref="Q86:V86"/>
    <mergeCell ref="K87:L87"/>
    <mergeCell ref="M87:N87"/>
    <mergeCell ref="O87:P87"/>
    <mergeCell ref="Q87:V87"/>
    <mergeCell ref="D88:I88"/>
    <mergeCell ref="O96:P96"/>
    <mergeCell ref="Q96:V96"/>
    <mergeCell ref="K93:L93"/>
    <mergeCell ref="K94:L94"/>
    <mergeCell ref="K95:L95"/>
    <mergeCell ref="M95:N95"/>
    <mergeCell ref="O95:P95"/>
    <mergeCell ref="Q95:V95"/>
    <mergeCell ref="D96:I96"/>
    <mergeCell ref="O93:P93"/>
    <mergeCell ref="Q93:V93"/>
    <mergeCell ref="M94:N94"/>
    <mergeCell ref="O94:P94"/>
    <mergeCell ref="D92:I92"/>
    <mergeCell ref="K92:L92"/>
    <mergeCell ref="M92:N92"/>
    <mergeCell ref="O92:P92"/>
    <mergeCell ref="Q92:V92"/>
    <mergeCell ref="M93:N93"/>
    <mergeCell ref="D94:I94"/>
    <mergeCell ref="Q94:V94"/>
    <mergeCell ref="O84:P84"/>
    <mergeCell ref="Q84:V84"/>
    <mergeCell ref="K82:L82"/>
    <mergeCell ref="M82:N82"/>
    <mergeCell ref="K83:L83"/>
    <mergeCell ref="M83:N83"/>
    <mergeCell ref="O83:P83"/>
    <mergeCell ref="Q83:V83"/>
    <mergeCell ref="D84:I84"/>
    <mergeCell ref="K84:L84"/>
    <mergeCell ref="M84:N84"/>
    <mergeCell ref="O82:P82"/>
    <mergeCell ref="Q82:V82"/>
    <mergeCell ref="K80:L80"/>
    <mergeCell ref="M80:N80"/>
    <mergeCell ref="K81:L81"/>
    <mergeCell ref="M81:N81"/>
    <mergeCell ref="O81:P81"/>
    <mergeCell ref="Q81:V81"/>
    <mergeCell ref="D82:I82"/>
    <mergeCell ref="O80:P80"/>
    <mergeCell ref="Q80:V80"/>
    <mergeCell ref="K78:L78"/>
    <mergeCell ref="M78:N78"/>
    <mergeCell ref="K79:L79"/>
    <mergeCell ref="M79:N79"/>
    <mergeCell ref="O79:P79"/>
    <mergeCell ref="Q79:V79"/>
    <mergeCell ref="D80:I80"/>
    <mergeCell ref="O78:P78"/>
    <mergeCell ref="Q78:V78"/>
    <mergeCell ref="K76:L76"/>
    <mergeCell ref="M76:N76"/>
    <mergeCell ref="K77:L77"/>
    <mergeCell ref="M77:N77"/>
    <mergeCell ref="O77:P77"/>
    <mergeCell ref="Q77:V77"/>
    <mergeCell ref="D78:I78"/>
    <mergeCell ref="O64:P64"/>
    <mergeCell ref="Q64:V64"/>
    <mergeCell ref="Q65:V65"/>
    <mergeCell ref="M66:N66"/>
    <mergeCell ref="O66:P66"/>
    <mergeCell ref="Q66:V66"/>
    <mergeCell ref="K86:L86"/>
    <mergeCell ref="M86:N86"/>
    <mergeCell ref="D62:I62"/>
    <mergeCell ref="D63:I63"/>
    <mergeCell ref="K63:L63"/>
    <mergeCell ref="M63:N63"/>
    <mergeCell ref="O63:P63"/>
    <mergeCell ref="Q63:V63"/>
    <mergeCell ref="D64:I64"/>
    <mergeCell ref="K64:L64"/>
    <mergeCell ref="M64:N64"/>
    <mergeCell ref="K65:L65"/>
    <mergeCell ref="M65:N65"/>
    <mergeCell ref="O65:P65"/>
    <mergeCell ref="D66:I66"/>
    <mergeCell ref="K66:L66"/>
    <mergeCell ref="K71:L71"/>
    <mergeCell ref="D72:I72"/>
    <mergeCell ref="M62:N62"/>
    <mergeCell ref="O62:P62"/>
    <mergeCell ref="D61:I61"/>
    <mergeCell ref="K61:L61"/>
    <mergeCell ref="M61:N61"/>
    <mergeCell ref="O61:P61"/>
    <mergeCell ref="Q61:V61"/>
    <mergeCell ref="K62:L62"/>
    <mergeCell ref="Q62:V62"/>
    <mergeCell ref="O60:P60"/>
    <mergeCell ref="Q60:V60"/>
    <mergeCell ref="D58:I58"/>
    <mergeCell ref="D59:I59"/>
    <mergeCell ref="K59:L59"/>
    <mergeCell ref="M59:N59"/>
    <mergeCell ref="O59:P59"/>
    <mergeCell ref="Q59:V59"/>
    <mergeCell ref="D60:I60"/>
    <mergeCell ref="D74:I74"/>
    <mergeCell ref="K74:L74"/>
    <mergeCell ref="Q74:V74"/>
    <mergeCell ref="O76:P76"/>
    <mergeCell ref="Q76:V76"/>
    <mergeCell ref="M74:N74"/>
    <mergeCell ref="O74:P74"/>
    <mergeCell ref="K75:L75"/>
    <mergeCell ref="M75:N75"/>
    <mergeCell ref="O75:P75"/>
    <mergeCell ref="Q75:V75"/>
    <mergeCell ref="D76:I76"/>
    <mergeCell ref="K69:L69"/>
    <mergeCell ref="M69:N69"/>
    <mergeCell ref="O69:P69"/>
    <mergeCell ref="Q69:V69"/>
    <mergeCell ref="D70:I70"/>
    <mergeCell ref="K70:L70"/>
    <mergeCell ref="K73:L73"/>
    <mergeCell ref="M73:N73"/>
    <mergeCell ref="O73:P73"/>
    <mergeCell ref="Q73:V73"/>
    <mergeCell ref="K72:L72"/>
    <mergeCell ref="M72:N72"/>
    <mergeCell ref="O72:P72"/>
    <mergeCell ref="M70:N70"/>
    <mergeCell ref="O70:P70"/>
    <mergeCell ref="Q70:V70"/>
    <mergeCell ref="M71:N71"/>
    <mergeCell ref="O71:P71"/>
    <mergeCell ref="Q71:V71"/>
    <mergeCell ref="Q72:V72"/>
    <mergeCell ref="K67:L67"/>
    <mergeCell ref="M67:N67"/>
    <mergeCell ref="O67:P67"/>
    <mergeCell ref="Q67:V67"/>
    <mergeCell ref="D68:I68"/>
    <mergeCell ref="K68:L68"/>
    <mergeCell ref="M68:N68"/>
    <mergeCell ref="O68:P68"/>
    <mergeCell ref="Q68:V68"/>
    <mergeCell ref="Z39:AA39"/>
    <mergeCell ref="Z40:AA40"/>
    <mergeCell ref="T37:U37"/>
    <mergeCell ref="X37:Y37"/>
    <mergeCell ref="X38:Y38"/>
    <mergeCell ref="Z38:AA38"/>
    <mergeCell ref="T39:U39"/>
    <mergeCell ref="X39:Y40"/>
    <mergeCell ref="T40:V40"/>
    <mergeCell ref="F37:G37"/>
    <mergeCell ref="D50:F50"/>
    <mergeCell ref="D51:F51"/>
    <mergeCell ref="D52:G52"/>
    <mergeCell ref="D53:G53"/>
    <mergeCell ref="D42:H43"/>
    <mergeCell ref="D44:F44"/>
    <mergeCell ref="D45:F45"/>
    <mergeCell ref="D46:F46"/>
    <mergeCell ref="D47:F47"/>
    <mergeCell ref="D48:F48"/>
    <mergeCell ref="D49:F49"/>
    <mergeCell ref="Z14:AA14"/>
    <mergeCell ref="D12:H13"/>
    <mergeCell ref="J12:P13"/>
    <mergeCell ref="X12:AA12"/>
    <mergeCell ref="X13:Y13"/>
    <mergeCell ref="Z13:AA13"/>
    <mergeCell ref="D14:G14"/>
    <mergeCell ref="J14:K14"/>
    <mergeCell ref="X27:Y27"/>
    <mergeCell ref="T23:U23"/>
    <mergeCell ref="T24:U24"/>
    <mergeCell ref="T25:U25"/>
    <mergeCell ref="T26:U26"/>
    <mergeCell ref="X26:AA26"/>
    <mergeCell ref="T27:U27"/>
    <mergeCell ref="R22:S22"/>
    <mergeCell ref="R23:S23"/>
    <mergeCell ref="R24:S24"/>
    <mergeCell ref="R25:S25"/>
    <mergeCell ref="R26:S26"/>
    <mergeCell ref="R27:S27"/>
    <mergeCell ref="D25:F25"/>
    <mergeCell ref="D26:F26"/>
    <mergeCell ref="D27:F27"/>
    <mergeCell ref="D2:E2"/>
    <mergeCell ref="G2:L2"/>
    <mergeCell ref="D3:E3"/>
    <mergeCell ref="N3:Q5"/>
    <mergeCell ref="H4:I4"/>
    <mergeCell ref="J4:K4"/>
    <mergeCell ref="H5:I5"/>
    <mergeCell ref="R12:V13"/>
    <mergeCell ref="R14:S14"/>
    <mergeCell ref="T14:U14"/>
    <mergeCell ref="K60:L60"/>
    <mergeCell ref="M60:N60"/>
    <mergeCell ref="J5:K5"/>
    <mergeCell ref="S5:X5"/>
    <mergeCell ref="U8:V8"/>
    <mergeCell ref="W8:X8"/>
    <mergeCell ref="N6:Q6"/>
    <mergeCell ref="N7:P7"/>
    <mergeCell ref="S7:T7"/>
    <mergeCell ref="U7:V7"/>
    <mergeCell ref="W7:X7"/>
    <mergeCell ref="N8:P8"/>
    <mergeCell ref="S8:T8"/>
    <mergeCell ref="X14:Y14"/>
    <mergeCell ref="X28:Y28"/>
    <mergeCell ref="T28:U28"/>
    <mergeCell ref="R31:S31"/>
    <mergeCell ref="R33:S33"/>
    <mergeCell ref="R29:S29"/>
    <mergeCell ref="X34:AA34"/>
    <mergeCell ref="X35:Y35"/>
    <mergeCell ref="Z35:AA35"/>
    <mergeCell ref="T29:U29"/>
    <mergeCell ref="X29:Y29"/>
    <mergeCell ref="D23:H24"/>
    <mergeCell ref="T33:U33"/>
    <mergeCell ref="T34:U34"/>
    <mergeCell ref="R35:S35"/>
    <mergeCell ref="T35:U35"/>
    <mergeCell ref="T36:U36"/>
    <mergeCell ref="X36:AA36"/>
    <mergeCell ref="R37:S37"/>
    <mergeCell ref="Z37:AA37"/>
    <mergeCell ref="T30:U30"/>
    <mergeCell ref="X30:Y30"/>
    <mergeCell ref="T31:U31"/>
    <mergeCell ref="T32:U32"/>
    <mergeCell ref="X32:AA33"/>
    <mergeCell ref="D28:F28"/>
    <mergeCell ref="D29:F29"/>
    <mergeCell ref="D30:F30"/>
    <mergeCell ref="D31:F31"/>
    <mergeCell ref="D32:F32"/>
    <mergeCell ref="D33:F33"/>
    <mergeCell ref="D34:F34"/>
    <mergeCell ref="D35:F35"/>
    <mergeCell ref="D36:E37"/>
    <mergeCell ref="F36:G36"/>
    <mergeCell ref="R21:S21"/>
    <mergeCell ref="T21:U21"/>
    <mergeCell ref="T22:U22"/>
    <mergeCell ref="D16:G16"/>
    <mergeCell ref="D17:G17"/>
    <mergeCell ref="D18:G18"/>
    <mergeCell ref="D19:G19"/>
    <mergeCell ref="D20:G20"/>
    <mergeCell ref="D21:G21"/>
    <mergeCell ref="R17:S17"/>
    <mergeCell ref="T17:U17"/>
    <mergeCell ref="Z17:AA17"/>
    <mergeCell ref="R18:S18"/>
    <mergeCell ref="T18:U18"/>
    <mergeCell ref="R19:S19"/>
    <mergeCell ref="T19:U19"/>
    <mergeCell ref="R20:S20"/>
    <mergeCell ref="T20:U20"/>
    <mergeCell ref="D15:G15"/>
    <mergeCell ref="R15:S15"/>
    <mergeCell ref="T15:U15"/>
    <mergeCell ref="Z15:AA15"/>
    <mergeCell ref="R16:S16"/>
    <mergeCell ref="T16:U16"/>
    <mergeCell ref="Z16:AA16"/>
    <mergeCell ref="X15:Y15"/>
    <mergeCell ref="X16:Y16"/>
    <mergeCell ref="D39:F40"/>
    <mergeCell ref="G39:H40"/>
    <mergeCell ref="R39:S39"/>
    <mergeCell ref="R40:S40"/>
    <mergeCell ref="J42:R42"/>
    <mergeCell ref="T42:V42"/>
    <mergeCell ref="D56:V57"/>
    <mergeCell ref="K58:L58"/>
    <mergeCell ref="Q58:V58"/>
    <mergeCell ref="M58:N58"/>
    <mergeCell ref="O58:P58"/>
  </mergeCells>
  <conditionalFormatting sqref="Z39:AA40">
    <cfRule type="cellIs" dxfId="43" priority="1" operator="greaterThanOrEqual">
      <formula>0</formula>
    </cfRule>
    <cfRule type="cellIs" dxfId="42" priority="3" operator="lessThan">
      <formula>0</formula>
    </cfRule>
    <cfRule type="containsText" dxfId="41" priority="4" operator="containsText" text="falta">
      <formula>NOT(ISERROR(SEARCH(("falta"),(Z39))))</formula>
    </cfRule>
  </conditionalFormatting>
  <conditionalFormatting sqref="Z40:AA40">
    <cfRule type="containsText" dxfId="40" priority="2" operator="containsText" text="sobra">
      <formula>NOT(ISERROR(SEARCH(("sobra"),(Z40))))</formula>
    </cfRule>
  </conditionalFormatting>
  <dataValidations count="3">
    <dataValidation type="list" allowBlank="1" showErrorMessage="1" sqref="G45:G51" xr:uid="{00000000-0002-0000-0300-000000000000}">
      <formula1>"Ahorro,Inversión"</formula1>
    </dataValidation>
    <dataValidation type="list" allowBlank="1" showErrorMessage="1" sqref="K59:K119" xr:uid="{00000000-0002-0000-0300-000001000000}">
      <formula1>"Transporte,Alimentación,Restaurantes,Delivery,Bares,Ropa,Belleza,Gasolina,Hogar,Tarjeta de crédito,Ocio,Pequeñas compras,Tasas/Impuestos,Viajes/vacaciones,Tecnología,Reparaciones,Salud,Higiene,Cursos/Formación/Trabajo,Mascotas,Familia,Otros,Préstamos"</formula1>
    </dataValidation>
    <dataValidation type="list" allowBlank="1" showErrorMessage="1" sqref="N15:N39 M59:M119" xr:uid="{00000000-0002-0000-0300-000002000000}">
      <formula1>"Transferencia,Tarjeta de débito,Efectivo,Tarjeta de crédito"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D1044"/>
  <sheetViews>
    <sheetView workbookViewId="0"/>
  </sheetViews>
  <sheetFormatPr baseColWidth="10" defaultColWidth="12.6328125" defaultRowHeight="15.75" customHeight="1" x14ac:dyDescent="0.25"/>
  <cols>
    <col min="7" max="7" width="13.7265625" customWidth="1"/>
    <col min="14" max="14" width="17.6328125" customWidth="1"/>
  </cols>
  <sheetData>
    <row r="1" spans="1:30" ht="15.7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8"/>
      <c r="O1" s="28"/>
      <c r="P1" s="28"/>
      <c r="Q1" s="28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x14ac:dyDescent="0.3">
      <c r="A2" s="2"/>
      <c r="B2" s="2"/>
      <c r="C2" s="2"/>
      <c r="D2" s="254" t="s">
        <v>45</v>
      </c>
      <c r="E2" s="200"/>
      <c r="F2" s="11"/>
      <c r="G2" s="244" t="s">
        <v>46</v>
      </c>
      <c r="H2" s="245"/>
      <c r="I2" s="245"/>
      <c r="J2" s="245"/>
      <c r="K2" s="245"/>
      <c r="L2" s="246"/>
      <c r="M2" s="29"/>
      <c r="N2" s="11"/>
      <c r="O2" s="11"/>
      <c r="P2" s="11"/>
      <c r="Q2" s="11"/>
      <c r="R2" s="11"/>
      <c r="S2" s="11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5.75" customHeight="1" x14ac:dyDescent="0.4">
      <c r="A3" s="2"/>
      <c r="B3" s="2"/>
      <c r="C3" s="2"/>
      <c r="D3" s="255">
        <f>CTAS!F3</f>
        <v>0</v>
      </c>
      <c r="E3" s="236"/>
      <c r="F3" s="2"/>
      <c r="G3" s="2"/>
      <c r="H3" s="2"/>
      <c r="I3" s="2"/>
      <c r="J3" s="2"/>
      <c r="K3" s="2"/>
      <c r="L3" s="2"/>
      <c r="M3" s="11"/>
      <c r="N3" s="256" t="s">
        <v>2</v>
      </c>
      <c r="O3" s="209"/>
      <c r="P3" s="209"/>
      <c r="Q3" s="129"/>
      <c r="R3" s="30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3">
      <c r="A4" s="2"/>
      <c r="B4" s="2"/>
      <c r="C4" s="2"/>
      <c r="D4" s="28"/>
      <c r="E4" s="28"/>
      <c r="F4" s="2"/>
      <c r="G4" s="28"/>
      <c r="H4" s="259" t="s">
        <v>15</v>
      </c>
      <c r="I4" s="224"/>
      <c r="J4" s="260" t="s">
        <v>47</v>
      </c>
      <c r="K4" s="119"/>
      <c r="L4" s="31" t="s">
        <v>14</v>
      </c>
      <c r="M4" s="32"/>
      <c r="N4" s="257"/>
      <c r="O4" s="197"/>
      <c r="P4" s="197"/>
      <c r="Q4" s="258"/>
      <c r="R4" s="30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x14ac:dyDescent="0.3">
      <c r="A5" s="2"/>
      <c r="B5" s="2"/>
      <c r="C5" s="2"/>
      <c r="D5" s="2"/>
      <c r="E5" s="2"/>
      <c r="F5" s="2"/>
      <c r="G5" s="33" t="s">
        <v>48</v>
      </c>
      <c r="H5" s="261">
        <f>H37</f>
        <v>0</v>
      </c>
      <c r="I5" s="219"/>
      <c r="J5" s="243">
        <f>G39</f>
        <v>0</v>
      </c>
      <c r="K5" s="201"/>
      <c r="L5" s="34">
        <f>H5+J5</f>
        <v>0</v>
      </c>
      <c r="M5" s="32"/>
      <c r="N5" s="257"/>
      <c r="O5" s="197"/>
      <c r="P5" s="197"/>
      <c r="Q5" s="258"/>
      <c r="R5" s="29"/>
      <c r="S5" s="244" t="s">
        <v>49</v>
      </c>
      <c r="T5" s="245"/>
      <c r="U5" s="245"/>
      <c r="V5" s="245"/>
      <c r="W5" s="245"/>
      <c r="X5" s="246"/>
      <c r="Y5" s="30"/>
      <c r="Z5" s="2"/>
      <c r="AA5" s="2"/>
      <c r="AB5" s="2"/>
      <c r="AC5" s="2"/>
      <c r="AD5" s="2"/>
    </row>
    <row r="6" spans="1:30" ht="15.75" customHeight="1" x14ac:dyDescent="0.25">
      <c r="A6" s="2"/>
      <c r="B6" s="2"/>
      <c r="C6" s="2"/>
      <c r="D6" s="35"/>
      <c r="E6" s="35"/>
      <c r="F6" s="2"/>
      <c r="G6" s="35"/>
      <c r="H6" s="2"/>
      <c r="I6" s="36"/>
      <c r="J6" s="37"/>
      <c r="K6" s="37"/>
      <c r="L6" s="37"/>
      <c r="M6" s="38"/>
      <c r="N6" s="248">
        <v>2026</v>
      </c>
      <c r="O6" s="218"/>
      <c r="P6" s="218"/>
      <c r="Q6" s="249"/>
      <c r="R6" s="30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x14ac:dyDescent="0.3">
      <c r="A7" s="2"/>
      <c r="B7" s="2"/>
      <c r="C7" s="2"/>
      <c r="D7" s="2"/>
      <c r="E7" s="2"/>
      <c r="F7" s="2"/>
      <c r="G7" s="2"/>
      <c r="H7" s="39" t="s">
        <v>50</v>
      </c>
      <c r="I7" s="39" t="s">
        <v>51</v>
      </c>
      <c r="J7" s="7" t="s">
        <v>19</v>
      </c>
      <c r="K7" s="7" t="s">
        <v>52</v>
      </c>
      <c r="L7" s="7" t="s">
        <v>14</v>
      </c>
      <c r="M7" s="40"/>
      <c r="N7" s="250" t="s">
        <v>53</v>
      </c>
      <c r="O7" s="224"/>
      <c r="P7" s="227"/>
      <c r="Q7" s="41">
        <v>46082</v>
      </c>
      <c r="R7" s="30"/>
      <c r="S7" s="251" t="s">
        <v>54</v>
      </c>
      <c r="T7" s="219"/>
      <c r="U7" s="252" t="s">
        <v>55</v>
      </c>
      <c r="V7" s="219"/>
      <c r="W7" s="253" t="s">
        <v>56</v>
      </c>
      <c r="X7" s="219"/>
      <c r="Y7" s="2"/>
      <c r="Z7" s="2"/>
      <c r="AA7" s="2"/>
      <c r="AB7" s="2"/>
      <c r="AC7" s="2"/>
      <c r="AD7" s="2"/>
    </row>
    <row r="8" spans="1:30" x14ac:dyDescent="0.3">
      <c r="A8" s="2"/>
      <c r="B8" s="2"/>
      <c r="C8" s="2"/>
      <c r="D8" s="2"/>
      <c r="E8" s="2"/>
      <c r="F8" s="2"/>
      <c r="G8" s="42" t="s">
        <v>55</v>
      </c>
      <c r="H8" s="43">
        <f>M40</f>
        <v>0</v>
      </c>
      <c r="I8" s="44">
        <f>O120</f>
        <v>0</v>
      </c>
      <c r="J8" s="45">
        <f>H52</f>
        <v>0</v>
      </c>
      <c r="K8" s="45">
        <f>H53</f>
        <v>0</v>
      </c>
      <c r="L8" s="46">
        <f>SUM(H8:K8)</f>
        <v>0</v>
      </c>
      <c r="M8" s="40"/>
      <c r="N8" s="250" t="s">
        <v>57</v>
      </c>
      <c r="O8" s="224"/>
      <c r="P8" s="227"/>
      <c r="Q8" s="41">
        <v>46112</v>
      </c>
      <c r="R8" s="30"/>
      <c r="S8" s="247">
        <f>L5</f>
        <v>0</v>
      </c>
      <c r="T8" s="142"/>
      <c r="U8" s="247">
        <f>L8</f>
        <v>0</v>
      </c>
      <c r="V8" s="142"/>
      <c r="W8" s="247">
        <f>S8-U8</f>
        <v>0</v>
      </c>
      <c r="X8" s="142"/>
      <c r="Y8" s="2"/>
      <c r="Z8" s="2"/>
      <c r="AA8" s="2"/>
      <c r="AB8" s="2"/>
      <c r="AC8" s="2"/>
      <c r="AD8" s="2"/>
    </row>
    <row r="9" spans="1:30" ht="15.75" customHeight="1" x14ac:dyDescent="0.25">
      <c r="A9" s="2"/>
      <c r="B9" s="2"/>
      <c r="C9" s="2"/>
      <c r="D9" s="47"/>
      <c r="E9" s="47"/>
      <c r="F9" s="2"/>
      <c r="G9" s="2"/>
      <c r="H9" s="35"/>
      <c r="I9" s="35"/>
      <c r="J9" s="48"/>
      <c r="K9" s="48"/>
      <c r="L9" s="48"/>
      <c r="M9" s="49"/>
      <c r="N9" s="49"/>
      <c r="O9" s="49"/>
      <c r="P9" s="49"/>
      <c r="Q9" s="49"/>
      <c r="R9" s="49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15.75" customHeight="1" x14ac:dyDescent="0.25">
      <c r="A10" s="2"/>
      <c r="B10" s="2"/>
      <c r="C10" s="2"/>
      <c r="D10" s="35"/>
      <c r="E10" s="35"/>
      <c r="F10" s="2"/>
      <c r="G10" s="2"/>
      <c r="H10" s="2"/>
      <c r="I10" s="2"/>
      <c r="J10" s="49"/>
      <c r="K10" s="49"/>
      <c r="L10" s="49"/>
      <c r="M10" s="49"/>
      <c r="N10" s="49"/>
      <c r="O10" s="49"/>
      <c r="P10" s="49"/>
      <c r="Q10" s="49"/>
      <c r="R10" s="49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15.75" customHeight="1" x14ac:dyDescent="0.25">
      <c r="A11" s="2"/>
      <c r="B11" s="2"/>
      <c r="C11" s="2"/>
      <c r="D11" s="28"/>
      <c r="E11" s="28"/>
      <c r="F11" s="28"/>
      <c r="G11" s="28"/>
      <c r="H11" s="28"/>
      <c r="I11" s="2"/>
      <c r="J11" s="50"/>
      <c r="K11" s="50"/>
      <c r="L11" s="50"/>
      <c r="M11" s="50"/>
      <c r="N11" s="50"/>
      <c r="O11" s="50"/>
      <c r="P11" s="50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15.75" customHeight="1" x14ac:dyDescent="0.35">
      <c r="A12" s="2"/>
      <c r="B12" s="2"/>
      <c r="C12" s="11"/>
      <c r="D12" s="215" t="s">
        <v>58</v>
      </c>
      <c r="E12" s="209"/>
      <c r="F12" s="209"/>
      <c r="G12" s="209"/>
      <c r="H12" s="129"/>
      <c r="I12" s="29"/>
      <c r="J12" s="216" t="s">
        <v>16</v>
      </c>
      <c r="K12" s="209"/>
      <c r="L12" s="209"/>
      <c r="M12" s="209"/>
      <c r="N12" s="209"/>
      <c r="O12" s="209"/>
      <c r="P12" s="129"/>
      <c r="Q12" s="30"/>
      <c r="R12" s="208" t="s">
        <v>17</v>
      </c>
      <c r="S12" s="209"/>
      <c r="T12" s="209"/>
      <c r="U12" s="209"/>
      <c r="V12" s="129"/>
      <c r="X12" s="217" t="s">
        <v>18</v>
      </c>
      <c r="Y12" s="218"/>
      <c r="Z12" s="218"/>
      <c r="AA12" s="219"/>
      <c r="AB12" s="2"/>
      <c r="AC12" s="2"/>
      <c r="AD12" s="2"/>
    </row>
    <row r="13" spans="1:30" ht="15.75" customHeight="1" x14ac:dyDescent="0.25">
      <c r="A13" s="2"/>
      <c r="B13" s="2"/>
      <c r="C13" s="11"/>
      <c r="D13" s="130"/>
      <c r="E13" s="200"/>
      <c r="F13" s="200"/>
      <c r="G13" s="200"/>
      <c r="H13" s="131"/>
      <c r="I13" s="29"/>
      <c r="J13" s="130"/>
      <c r="K13" s="200"/>
      <c r="L13" s="200"/>
      <c r="M13" s="200"/>
      <c r="N13" s="200"/>
      <c r="O13" s="200"/>
      <c r="P13" s="131"/>
      <c r="Q13" s="30"/>
      <c r="R13" s="130"/>
      <c r="S13" s="200"/>
      <c r="T13" s="200"/>
      <c r="U13" s="200"/>
      <c r="V13" s="131"/>
      <c r="W13" s="2"/>
      <c r="X13" s="220" t="s">
        <v>59</v>
      </c>
      <c r="Y13" s="221"/>
      <c r="Z13" s="222">
        <f>M40</f>
        <v>0</v>
      </c>
      <c r="AA13" s="198"/>
      <c r="AB13" s="2"/>
      <c r="AC13" s="2"/>
      <c r="AD13" s="2"/>
    </row>
    <row r="14" spans="1:30" ht="15.75" customHeight="1" x14ac:dyDescent="0.25">
      <c r="A14" s="2"/>
      <c r="B14" s="2"/>
      <c r="C14" s="11"/>
      <c r="D14" s="223" t="s">
        <v>62</v>
      </c>
      <c r="E14" s="224"/>
      <c r="F14" s="224"/>
      <c r="G14" s="225"/>
      <c r="H14" s="51" t="s">
        <v>61</v>
      </c>
      <c r="I14" s="29"/>
      <c r="J14" s="266" t="s">
        <v>62</v>
      </c>
      <c r="K14" s="119"/>
      <c r="L14" s="52" t="s">
        <v>63</v>
      </c>
      <c r="M14" s="52" t="s">
        <v>64</v>
      </c>
      <c r="N14" s="52" t="s">
        <v>65</v>
      </c>
      <c r="O14" s="52" t="s">
        <v>104</v>
      </c>
      <c r="P14" s="52" t="s">
        <v>67</v>
      </c>
      <c r="Q14" s="29"/>
      <c r="R14" s="210" t="s">
        <v>68</v>
      </c>
      <c r="S14" s="119"/>
      <c r="T14" s="210" t="s">
        <v>69</v>
      </c>
      <c r="U14" s="119"/>
      <c r="V14" s="53" t="s">
        <v>70</v>
      </c>
      <c r="W14" s="29"/>
      <c r="X14" s="262" t="s">
        <v>71</v>
      </c>
      <c r="Y14" s="263"/>
      <c r="Z14" s="264">
        <f>O120</f>
        <v>0</v>
      </c>
      <c r="AA14" s="265"/>
      <c r="AB14" s="30"/>
      <c r="AC14" s="2"/>
      <c r="AD14" s="2"/>
    </row>
    <row r="15" spans="1:30" ht="15.75" customHeight="1" x14ac:dyDescent="0.25">
      <c r="A15" s="2"/>
      <c r="B15" s="2"/>
      <c r="C15" s="11"/>
      <c r="D15" s="226"/>
      <c r="E15" s="224"/>
      <c r="F15" s="224"/>
      <c r="G15" s="227"/>
      <c r="H15" s="54">
        <v>0</v>
      </c>
      <c r="I15" s="29"/>
      <c r="J15" s="117"/>
      <c r="K15" s="4"/>
      <c r="L15" s="4"/>
      <c r="M15" s="4"/>
      <c r="N15" s="4"/>
      <c r="O15" s="4"/>
      <c r="P15" s="56">
        <v>0</v>
      </c>
      <c r="Q15" s="29"/>
      <c r="R15" s="231" t="s">
        <v>22</v>
      </c>
      <c r="S15" s="232"/>
      <c r="T15" s="233">
        <f t="shared" ref="T15:T37" si="0">SUMIF($K$59:$L$119,R15,$O$59:$P$119)</f>
        <v>0</v>
      </c>
      <c r="U15" s="232"/>
      <c r="V15" s="57" t="e">
        <f t="shared" ref="V15:V37" si="1">T15*1/$T$40</f>
        <v>#DIV/0!</v>
      </c>
      <c r="W15" s="30"/>
      <c r="X15" s="211" t="s">
        <v>73</v>
      </c>
      <c r="Y15" s="212"/>
      <c r="Z15" s="213">
        <f t="shared" ref="Z15:Z16" si="2">H52</f>
        <v>0</v>
      </c>
      <c r="AA15" s="214"/>
      <c r="AB15" s="2"/>
      <c r="AC15" s="2"/>
      <c r="AD15" s="2"/>
    </row>
    <row r="16" spans="1:30" ht="15.75" customHeight="1" x14ac:dyDescent="0.25">
      <c r="A16" s="2"/>
      <c r="B16" s="2"/>
      <c r="C16" s="2"/>
      <c r="D16" s="240"/>
      <c r="E16" s="224"/>
      <c r="F16" s="224"/>
      <c r="G16" s="241"/>
      <c r="H16" s="58">
        <v>0</v>
      </c>
      <c r="I16" s="11"/>
      <c r="J16" s="66"/>
      <c r="K16" s="59"/>
      <c r="L16" s="59"/>
      <c r="M16" s="59"/>
      <c r="N16" s="59"/>
      <c r="O16" s="59"/>
      <c r="P16" s="61">
        <v>0</v>
      </c>
      <c r="Q16" s="29"/>
      <c r="R16" s="234" t="s">
        <v>23</v>
      </c>
      <c r="S16" s="142"/>
      <c r="T16" s="235">
        <f t="shared" si="0"/>
        <v>0</v>
      </c>
      <c r="U16" s="236"/>
      <c r="V16" s="62" t="e">
        <f t="shared" si="1"/>
        <v>#DIV/0!</v>
      </c>
      <c r="W16" s="30"/>
      <c r="X16" s="237" t="s">
        <v>74</v>
      </c>
      <c r="Y16" s="238"/>
      <c r="Z16" s="228">
        <f t="shared" si="2"/>
        <v>0</v>
      </c>
      <c r="AA16" s="198"/>
      <c r="AB16" s="2"/>
      <c r="AC16" s="2"/>
      <c r="AD16" s="2"/>
    </row>
    <row r="17" spans="1:30" x14ac:dyDescent="0.3">
      <c r="A17" s="2"/>
      <c r="B17" s="2"/>
      <c r="C17" s="2"/>
      <c r="D17" s="226"/>
      <c r="E17" s="224"/>
      <c r="F17" s="224"/>
      <c r="G17" s="227"/>
      <c r="H17" s="54">
        <v>0</v>
      </c>
      <c r="I17" s="11"/>
      <c r="J17" s="63"/>
      <c r="K17" s="3"/>
      <c r="L17" s="3"/>
      <c r="M17" s="3"/>
      <c r="N17" s="3"/>
      <c r="O17" s="3"/>
      <c r="P17" s="64">
        <v>0</v>
      </c>
      <c r="Q17" s="29"/>
      <c r="R17" s="231" t="s">
        <v>24</v>
      </c>
      <c r="S17" s="232"/>
      <c r="T17" s="233">
        <f t="shared" si="0"/>
        <v>0</v>
      </c>
      <c r="U17" s="232"/>
      <c r="V17" s="57" t="e">
        <f t="shared" si="1"/>
        <v>#DIV/0!</v>
      </c>
      <c r="W17" s="30"/>
      <c r="X17" s="65" t="s">
        <v>14</v>
      </c>
      <c r="Y17" s="65"/>
      <c r="Z17" s="229">
        <f>SUM(Z13:Z16)</f>
        <v>0</v>
      </c>
      <c r="AA17" s="230"/>
      <c r="AB17" s="2"/>
      <c r="AC17" s="2"/>
      <c r="AD17" s="2"/>
    </row>
    <row r="18" spans="1:30" ht="15.75" customHeight="1" x14ac:dyDescent="0.25">
      <c r="A18" s="2"/>
      <c r="B18" s="2"/>
      <c r="C18" s="2"/>
      <c r="D18" s="240"/>
      <c r="E18" s="224"/>
      <c r="F18" s="224"/>
      <c r="G18" s="241"/>
      <c r="H18" s="58">
        <v>0</v>
      </c>
      <c r="I18" s="11"/>
      <c r="J18" s="66"/>
      <c r="K18" s="59"/>
      <c r="L18" s="59"/>
      <c r="M18" s="59"/>
      <c r="N18" s="59"/>
      <c r="O18" s="59"/>
      <c r="P18" s="61">
        <v>0</v>
      </c>
      <c r="Q18" s="29"/>
      <c r="R18" s="239" t="s">
        <v>25</v>
      </c>
      <c r="S18" s="236"/>
      <c r="T18" s="235">
        <f t="shared" si="0"/>
        <v>0</v>
      </c>
      <c r="U18" s="236"/>
      <c r="V18" s="62" t="e">
        <f t="shared" si="1"/>
        <v>#DIV/0!</v>
      </c>
      <c r="W18" s="30"/>
      <c r="X18" s="2"/>
      <c r="Y18" s="2"/>
      <c r="Z18" s="2"/>
      <c r="AA18" s="2"/>
      <c r="AB18" s="2"/>
      <c r="AC18" s="2"/>
      <c r="AD18" s="2"/>
    </row>
    <row r="19" spans="1:30" ht="15.75" customHeight="1" x14ac:dyDescent="0.25">
      <c r="A19" s="2"/>
      <c r="B19" s="2"/>
      <c r="C19" s="2"/>
      <c r="D19" s="226"/>
      <c r="E19" s="224"/>
      <c r="F19" s="224"/>
      <c r="G19" s="227"/>
      <c r="H19" s="54">
        <v>0</v>
      </c>
      <c r="I19" s="11"/>
      <c r="J19" s="63"/>
      <c r="K19" s="3"/>
      <c r="L19" s="3"/>
      <c r="M19" s="3"/>
      <c r="N19" s="3"/>
      <c r="O19" s="3"/>
      <c r="P19" s="64">
        <v>0</v>
      </c>
      <c r="Q19" s="29"/>
      <c r="R19" s="231" t="s">
        <v>26</v>
      </c>
      <c r="S19" s="232"/>
      <c r="T19" s="233">
        <f t="shared" si="0"/>
        <v>0</v>
      </c>
      <c r="U19" s="232"/>
      <c r="V19" s="57" t="e">
        <f t="shared" si="1"/>
        <v>#DIV/0!</v>
      </c>
      <c r="W19" s="30"/>
      <c r="X19" s="2"/>
      <c r="Y19" s="2"/>
      <c r="Z19" s="2"/>
      <c r="AA19" s="2"/>
      <c r="AB19" s="2"/>
      <c r="AC19" s="2"/>
      <c r="AD19" s="2"/>
    </row>
    <row r="20" spans="1:30" ht="15.75" customHeight="1" x14ac:dyDescent="0.25">
      <c r="A20" s="2"/>
      <c r="B20" s="2"/>
      <c r="C20" s="2"/>
      <c r="D20" s="240"/>
      <c r="E20" s="224"/>
      <c r="F20" s="224"/>
      <c r="G20" s="241"/>
      <c r="H20" s="58">
        <v>0</v>
      </c>
      <c r="I20" s="11"/>
      <c r="J20" s="66"/>
      <c r="K20" s="59"/>
      <c r="L20" s="59"/>
      <c r="M20" s="59"/>
      <c r="N20" s="59"/>
      <c r="O20" s="59"/>
      <c r="P20" s="61">
        <v>0</v>
      </c>
      <c r="Q20" s="29"/>
      <c r="R20" s="239" t="s">
        <v>27</v>
      </c>
      <c r="S20" s="236"/>
      <c r="T20" s="235">
        <f t="shared" si="0"/>
        <v>0</v>
      </c>
      <c r="U20" s="236"/>
      <c r="V20" s="62" t="e">
        <f t="shared" si="1"/>
        <v>#DIV/0!</v>
      </c>
      <c r="W20" s="30"/>
      <c r="X20" s="2"/>
      <c r="Y20" s="2"/>
      <c r="Z20" s="2"/>
      <c r="AA20" s="2"/>
      <c r="AB20" s="2"/>
      <c r="AC20" s="2"/>
      <c r="AD20" s="2"/>
    </row>
    <row r="21" spans="1:30" ht="15.75" customHeight="1" x14ac:dyDescent="0.25">
      <c r="A21" s="2"/>
      <c r="B21" s="2"/>
      <c r="C21" s="2"/>
      <c r="D21" s="226"/>
      <c r="E21" s="224"/>
      <c r="F21" s="224"/>
      <c r="G21" s="227"/>
      <c r="H21" s="54">
        <v>0</v>
      </c>
      <c r="I21" s="11"/>
      <c r="J21" s="63"/>
      <c r="K21" s="3"/>
      <c r="L21" s="3"/>
      <c r="M21" s="3"/>
      <c r="N21" s="3"/>
      <c r="O21" s="3"/>
      <c r="P21" s="64">
        <v>0</v>
      </c>
      <c r="Q21" s="29"/>
      <c r="R21" s="231" t="s">
        <v>28</v>
      </c>
      <c r="S21" s="232"/>
      <c r="T21" s="233">
        <f t="shared" si="0"/>
        <v>0</v>
      </c>
      <c r="U21" s="232"/>
      <c r="V21" s="57" t="e">
        <f t="shared" si="1"/>
        <v>#DIV/0!</v>
      </c>
      <c r="W21" s="30"/>
      <c r="X21" s="2"/>
      <c r="Y21" s="2"/>
      <c r="Z21" s="2"/>
      <c r="AA21" s="2"/>
      <c r="AB21" s="2"/>
      <c r="AC21" s="2"/>
      <c r="AD21" s="2"/>
    </row>
    <row r="22" spans="1:30" ht="15.75" customHeight="1" x14ac:dyDescent="0.25">
      <c r="A22" s="2"/>
      <c r="B22" s="2"/>
      <c r="C22" s="2"/>
      <c r="D22" s="28"/>
      <c r="E22" s="28"/>
      <c r="F22" s="28"/>
      <c r="G22" s="28"/>
      <c r="H22" s="28"/>
      <c r="I22" s="11"/>
      <c r="J22" s="66"/>
      <c r="K22" s="59"/>
      <c r="L22" s="59"/>
      <c r="M22" s="59"/>
      <c r="N22" s="59"/>
      <c r="O22" s="59"/>
      <c r="P22" s="61">
        <v>0</v>
      </c>
      <c r="Q22" s="29"/>
      <c r="R22" s="239" t="s">
        <v>29</v>
      </c>
      <c r="S22" s="236"/>
      <c r="T22" s="235">
        <f t="shared" si="0"/>
        <v>0</v>
      </c>
      <c r="U22" s="236"/>
      <c r="V22" s="62" t="e">
        <f t="shared" si="1"/>
        <v>#DIV/0!</v>
      </c>
      <c r="W22" s="30"/>
      <c r="X22" s="2"/>
      <c r="Y22" s="2"/>
      <c r="Z22" s="2"/>
      <c r="AA22" s="2"/>
      <c r="AB22" s="2"/>
      <c r="AC22" s="2"/>
      <c r="AD22" s="2"/>
    </row>
    <row r="23" spans="1:30" ht="15.75" customHeight="1" x14ac:dyDescent="0.25">
      <c r="A23" s="2"/>
      <c r="B23" s="2"/>
      <c r="C23" s="11"/>
      <c r="D23" s="242" t="s">
        <v>15</v>
      </c>
      <c r="E23" s="209"/>
      <c r="F23" s="209"/>
      <c r="G23" s="209"/>
      <c r="H23" s="129"/>
      <c r="I23" s="29"/>
      <c r="J23" s="63"/>
      <c r="K23" s="3"/>
      <c r="L23" s="3"/>
      <c r="M23" s="3"/>
      <c r="N23" s="3"/>
      <c r="O23" s="3"/>
      <c r="P23" s="64">
        <v>0</v>
      </c>
      <c r="Q23" s="29"/>
      <c r="R23" s="231" t="s">
        <v>30</v>
      </c>
      <c r="S23" s="232"/>
      <c r="T23" s="233">
        <f t="shared" si="0"/>
        <v>0</v>
      </c>
      <c r="U23" s="232"/>
      <c r="V23" s="57" t="e">
        <f t="shared" si="1"/>
        <v>#DIV/0!</v>
      </c>
      <c r="W23" s="30"/>
      <c r="X23" s="2"/>
      <c r="Y23" s="2"/>
      <c r="Z23" s="2"/>
      <c r="AA23" s="2"/>
      <c r="AB23" s="2"/>
      <c r="AC23" s="2"/>
      <c r="AD23" s="2"/>
    </row>
    <row r="24" spans="1:30" ht="15.75" customHeight="1" x14ac:dyDescent="0.25">
      <c r="A24" s="2"/>
      <c r="B24" s="2"/>
      <c r="C24" s="11"/>
      <c r="D24" s="130"/>
      <c r="E24" s="200"/>
      <c r="F24" s="200"/>
      <c r="G24" s="200"/>
      <c r="H24" s="131"/>
      <c r="I24" s="29"/>
      <c r="J24" s="66"/>
      <c r="K24" s="59"/>
      <c r="L24" s="59"/>
      <c r="M24" s="59"/>
      <c r="N24" s="59"/>
      <c r="O24" s="59"/>
      <c r="P24" s="61">
        <v>0</v>
      </c>
      <c r="Q24" s="29"/>
      <c r="R24" s="239" t="s">
        <v>31</v>
      </c>
      <c r="S24" s="236"/>
      <c r="T24" s="235">
        <f t="shared" si="0"/>
        <v>0</v>
      </c>
      <c r="U24" s="236"/>
      <c r="V24" s="62" t="e">
        <f t="shared" si="1"/>
        <v>#DIV/0!</v>
      </c>
      <c r="W24" s="30"/>
      <c r="X24" s="67"/>
      <c r="Y24" s="67"/>
      <c r="Z24" s="67"/>
      <c r="AA24" s="67"/>
      <c r="AB24" s="2"/>
      <c r="AC24" s="2"/>
      <c r="AD24" s="2"/>
    </row>
    <row r="25" spans="1:30" ht="15.75" customHeight="1" x14ac:dyDescent="0.25">
      <c r="A25" s="2"/>
      <c r="B25" s="2"/>
      <c r="C25" s="11"/>
      <c r="D25" s="275" t="s">
        <v>62</v>
      </c>
      <c r="E25" s="224"/>
      <c r="F25" s="119"/>
      <c r="G25" s="68" t="s">
        <v>75</v>
      </c>
      <c r="H25" s="69" t="s">
        <v>76</v>
      </c>
      <c r="I25" s="29"/>
      <c r="J25" s="63"/>
      <c r="K25" s="3"/>
      <c r="L25" s="3"/>
      <c r="M25" s="3"/>
      <c r="N25" s="3"/>
      <c r="O25" s="3"/>
      <c r="P25" s="64">
        <v>0</v>
      </c>
      <c r="Q25" s="29"/>
      <c r="R25" s="231" t="s">
        <v>32</v>
      </c>
      <c r="S25" s="232"/>
      <c r="T25" s="233">
        <f t="shared" si="0"/>
        <v>0</v>
      </c>
      <c r="U25" s="232"/>
      <c r="V25" s="57" t="e">
        <f t="shared" si="1"/>
        <v>#DIV/0!</v>
      </c>
      <c r="W25" s="2"/>
      <c r="X25" s="2"/>
      <c r="Y25" s="2"/>
      <c r="Z25" s="2"/>
      <c r="AA25" s="2"/>
      <c r="AB25" s="2"/>
      <c r="AC25" s="2"/>
      <c r="AD25" s="2"/>
    </row>
    <row r="26" spans="1:30" ht="15.75" customHeight="1" x14ac:dyDescent="0.25">
      <c r="A26" s="2"/>
      <c r="B26" s="2"/>
      <c r="C26" s="11"/>
      <c r="D26" s="276"/>
      <c r="E26" s="277"/>
      <c r="F26" s="142"/>
      <c r="G26" s="70"/>
      <c r="H26" s="71"/>
      <c r="I26" s="29"/>
      <c r="J26" s="66"/>
      <c r="K26" s="59"/>
      <c r="L26" s="59"/>
      <c r="M26" s="59"/>
      <c r="N26" s="59"/>
      <c r="O26" s="59"/>
      <c r="P26" s="61">
        <v>0</v>
      </c>
      <c r="Q26" s="29"/>
      <c r="R26" s="239" t="s">
        <v>33</v>
      </c>
      <c r="S26" s="236"/>
      <c r="T26" s="235">
        <f t="shared" si="0"/>
        <v>0</v>
      </c>
      <c r="U26" s="236"/>
      <c r="V26" s="62" t="e">
        <f t="shared" si="1"/>
        <v>#DIV/0!</v>
      </c>
      <c r="W26" s="29"/>
      <c r="X26" s="278" t="s">
        <v>77</v>
      </c>
      <c r="Y26" s="224"/>
      <c r="Z26" s="224"/>
      <c r="AA26" s="119"/>
      <c r="AB26" s="30"/>
      <c r="AC26" s="2"/>
      <c r="AD26" s="2"/>
    </row>
    <row r="27" spans="1:30" x14ac:dyDescent="0.3">
      <c r="A27" s="2"/>
      <c r="B27" s="2"/>
      <c r="C27" s="11"/>
      <c r="D27" s="279"/>
      <c r="E27" s="245"/>
      <c r="F27" s="280"/>
      <c r="G27" s="72"/>
      <c r="H27" s="73"/>
      <c r="I27" s="29"/>
      <c r="J27" s="63"/>
      <c r="K27" s="3"/>
      <c r="L27" s="3"/>
      <c r="M27" s="3"/>
      <c r="N27" s="3"/>
      <c r="O27" s="3"/>
      <c r="P27" s="64">
        <v>0</v>
      </c>
      <c r="Q27" s="29"/>
      <c r="R27" s="231" t="s">
        <v>34</v>
      </c>
      <c r="S27" s="232"/>
      <c r="T27" s="233">
        <f t="shared" si="0"/>
        <v>0</v>
      </c>
      <c r="U27" s="232"/>
      <c r="V27" s="57" t="e">
        <f t="shared" si="1"/>
        <v>#DIV/0!</v>
      </c>
      <c r="W27" s="29"/>
      <c r="X27" s="270" t="s">
        <v>78</v>
      </c>
      <c r="Y27" s="119"/>
      <c r="Z27" s="74">
        <f>SUMIF(M59:N119,"Tarjeta de débito",O59:P119)+SUMIF(N15:N39,"Tarjeta de débito",M15:M39)</f>
        <v>0</v>
      </c>
      <c r="AA27" s="75" t="e">
        <f t="shared" ref="AA27:AA30" si="3">Z27*1/$U$8</f>
        <v>#DIV/0!</v>
      </c>
      <c r="AB27" s="30"/>
      <c r="AC27" s="2"/>
      <c r="AD27" s="2"/>
    </row>
    <row r="28" spans="1:30" x14ac:dyDescent="0.3">
      <c r="A28" s="2"/>
      <c r="B28" s="2"/>
      <c r="C28" s="11"/>
      <c r="D28" s="286"/>
      <c r="E28" s="245"/>
      <c r="F28" s="236"/>
      <c r="G28" s="76"/>
      <c r="H28" s="77"/>
      <c r="I28" s="29"/>
      <c r="J28" s="66"/>
      <c r="K28" s="59"/>
      <c r="L28" s="59"/>
      <c r="M28" s="59"/>
      <c r="N28" s="59"/>
      <c r="O28" s="59"/>
      <c r="P28" s="61">
        <v>0</v>
      </c>
      <c r="Q28" s="29"/>
      <c r="R28" s="78" t="s">
        <v>35</v>
      </c>
      <c r="S28" s="79"/>
      <c r="T28" s="235">
        <f t="shared" si="0"/>
        <v>0</v>
      </c>
      <c r="U28" s="236"/>
      <c r="V28" s="62" t="e">
        <f t="shared" si="1"/>
        <v>#DIV/0!</v>
      </c>
      <c r="W28" s="29"/>
      <c r="X28" s="281" t="s">
        <v>31</v>
      </c>
      <c r="Y28" s="119"/>
      <c r="Z28" s="80">
        <f>SUMIF(M59:N119,"Tarjeta de crédito",O59:P119)+SUMIF(N15:N39,"Tarjeta de crédito",M15:M39)</f>
        <v>0</v>
      </c>
      <c r="AA28" s="75" t="e">
        <f t="shared" si="3"/>
        <v>#DIV/0!</v>
      </c>
      <c r="AB28" s="30"/>
      <c r="AC28" s="2"/>
      <c r="AD28" s="2"/>
    </row>
    <row r="29" spans="1:30" x14ac:dyDescent="0.3">
      <c r="A29" s="2"/>
      <c r="B29" s="2"/>
      <c r="C29" s="11"/>
      <c r="D29" s="279"/>
      <c r="E29" s="245"/>
      <c r="F29" s="280"/>
      <c r="G29" s="72"/>
      <c r="H29" s="73"/>
      <c r="I29" s="29"/>
      <c r="J29" s="63"/>
      <c r="K29" s="3"/>
      <c r="L29" s="3"/>
      <c r="M29" s="3"/>
      <c r="N29" s="3"/>
      <c r="O29" s="3"/>
      <c r="P29" s="64">
        <v>0</v>
      </c>
      <c r="Q29" s="29"/>
      <c r="R29" s="231" t="s">
        <v>79</v>
      </c>
      <c r="S29" s="232"/>
      <c r="T29" s="233">
        <f t="shared" si="0"/>
        <v>0</v>
      </c>
      <c r="U29" s="232"/>
      <c r="V29" s="57" t="e">
        <f t="shared" si="1"/>
        <v>#DIV/0!</v>
      </c>
      <c r="W29" s="29"/>
      <c r="X29" s="282" t="s">
        <v>80</v>
      </c>
      <c r="Y29" s="119"/>
      <c r="Z29" s="80">
        <f>SUMIF(M59:N119,"Efectivo",O59:P119)+SUMIF(N15:N39,"Efectivo",M15:M39)</f>
        <v>0</v>
      </c>
      <c r="AA29" s="75" t="e">
        <f t="shared" si="3"/>
        <v>#DIV/0!</v>
      </c>
      <c r="AB29" s="30"/>
      <c r="AC29" s="2"/>
      <c r="AD29" s="2"/>
    </row>
    <row r="30" spans="1:30" x14ac:dyDescent="0.3">
      <c r="A30" s="2"/>
      <c r="B30" s="2"/>
      <c r="C30" s="11"/>
      <c r="D30" s="286"/>
      <c r="E30" s="245"/>
      <c r="F30" s="236"/>
      <c r="G30" s="76"/>
      <c r="H30" s="77"/>
      <c r="I30" s="29"/>
      <c r="J30" s="66"/>
      <c r="K30" s="59"/>
      <c r="L30" s="59"/>
      <c r="M30" s="59"/>
      <c r="N30" s="59"/>
      <c r="O30" s="59"/>
      <c r="P30" s="61">
        <v>0</v>
      </c>
      <c r="Q30" s="29"/>
      <c r="R30" s="78" t="s">
        <v>37</v>
      </c>
      <c r="S30" s="79"/>
      <c r="T30" s="235">
        <f t="shared" si="0"/>
        <v>0</v>
      </c>
      <c r="U30" s="236"/>
      <c r="V30" s="62" t="e">
        <f t="shared" si="1"/>
        <v>#DIV/0!</v>
      </c>
      <c r="W30" s="29"/>
      <c r="X30" s="283" t="s">
        <v>72</v>
      </c>
      <c r="Y30" s="119"/>
      <c r="Z30" s="74">
        <f>SUMIF(M59:N119,"Transferencia",O59:P119)+SUMIF(N15:N39,"Transferencia",M15:M39)</f>
        <v>0</v>
      </c>
      <c r="AA30" s="75" t="e">
        <f t="shared" si="3"/>
        <v>#DIV/0!</v>
      </c>
      <c r="AB30" s="30"/>
      <c r="AC30" s="2"/>
      <c r="AD30" s="2"/>
    </row>
    <row r="31" spans="1:30" ht="15.75" customHeight="1" x14ac:dyDescent="0.25">
      <c r="A31" s="2"/>
      <c r="B31" s="2"/>
      <c r="C31" s="11"/>
      <c r="D31" s="279"/>
      <c r="E31" s="245"/>
      <c r="F31" s="280"/>
      <c r="G31" s="72"/>
      <c r="H31" s="73"/>
      <c r="I31" s="29"/>
      <c r="J31" s="63"/>
      <c r="K31" s="3"/>
      <c r="L31" s="3"/>
      <c r="M31" s="3"/>
      <c r="N31" s="3"/>
      <c r="O31" s="3"/>
      <c r="P31" s="64">
        <v>0</v>
      </c>
      <c r="Q31" s="29"/>
      <c r="R31" s="231" t="s">
        <v>38</v>
      </c>
      <c r="S31" s="232"/>
      <c r="T31" s="233">
        <f t="shared" si="0"/>
        <v>0</v>
      </c>
      <c r="U31" s="232"/>
      <c r="V31" s="57" t="e">
        <f t="shared" si="1"/>
        <v>#DIV/0!</v>
      </c>
      <c r="W31" s="2"/>
      <c r="X31" s="28"/>
      <c r="Y31" s="28"/>
      <c r="Z31" s="28"/>
      <c r="AA31" s="28"/>
      <c r="AB31" s="2"/>
      <c r="AC31" s="2"/>
      <c r="AD31" s="2"/>
    </row>
    <row r="32" spans="1:30" ht="15.75" customHeight="1" x14ac:dyDescent="0.25">
      <c r="A32" s="2"/>
      <c r="B32" s="2"/>
      <c r="C32" s="11"/>
      <c r="D32" s="286"/>
      <c r="E32" s="245"/>
      <c r="F32" s="236"/>
      <c r="G32" s="76"/>
      <c r="H32" s="77"/>
      <c r="I32" s="29"/>
      <c r="J32" s="81"/>
      <c r="K32" s="82"/>
      <c r="L32" s="82"/>
      <c r="M32" s="82"/>
      <c r="N32" s="82"/>
      <c r="O32" s="82"/>
      <c r="P32" s="83">
        <v>0</v>
      </c>
      <c r="Q32" s="29"/>
      <c r="R32" s="78" t="s">
        <v>39</v>
      </c>
      <c r="S32" s="79"/>
      <c r="T32" s="235">
        <f t="shared" si="0"/>
        <v>0</v>
      </c>
      <c r="U32" s="236"/>
      <c r="V32" s="62" t="e">
        <f t="shared" si="1"/>
        <v>#DIV/0!</v>
      </c>
      <c r="W32" s="29"/>
      <c r="X32" s="284" t="s">
        <v>81</v>
      </c>
      <c r="Y32" s="209"/>
      <c r="Z32" s="209"/>
      <c r="AA32" s="129"/>
      <c r="AB32" s="30"/>
      <c r="AC32" s="2"/>
      <c r="AD32" s="2"/>
    </row>
    <row r="33" spans="1:30" ht="15.75" customHeight="1" x14ac:dyDescent="0.25">
      <c r="A33" s="2"/>
      <c r="B33" s="2"/>
      <c r="C33" s="11"/>
      <c r="D33" s="279"/>
      <c r="E33" s="245"/>
      <c r="F33" s="280"/>
      <c r="G33" s="72"/>
      <c r="H33" s="73"/>
      <c r="I33" s="29"/>
      <c r="J33" s="84"/>
      <c r="K33" s="85"/>
      <c r="L33" s="85"/>
      <c r="M33" s="85"/>
      <c r="N33" s="85"/>
      <c r="O33" s="85"/>
      <c r="P33" s="86">
        <v>0</v>
      </c>
      <c r="Q33" s="29"/>
      <c r="R33" s="231" t="s">
        <v>40</v>
      </c>
      <c r="S33" s="232"/>
      <c r="T33" s="233">
        <f t="shared" si="0"/>
        <v>0</v>
      </c>
      <c r="U33" s="232"/>
      <c r="V33" s="57" t="e">
        <f t="shared" si="1"/>
        <v>#DIV/0!</v>
      </c>
      <c r="W33" s="29"/>
      <c r="X33" s="130"/>
      <c r="Y33" s="200"/>
      <c r="Z33" s="200"/>
      <c r="AA33" s="131"/>
      <c r="AB33" s="30"/>
      <c r="AC33" s="2"/>
      <c r="AD33" s="2"/>
    </row>
    <row r="34" spans="1:30" x14ac:dyDescent="0.3">
      <c r="A34" s="2"/>
      <c r="B34" s="2"/>
      <c r="C34" s="11"/>
      <c r="D34" s="287"/>
      <c r="E34" s="245"/>
      <c r="F34" s="236"/>
      <c r="G34" s="87"/>
      <c r="H34" s="88"/>
      <c r="I34" s="29"/>
      <c r="J34" s="81"/>
      <c r="K34" s="82"/>
      <c r="L34" s="82"/>
      <c r="M34" s="82"/>
      <c r="N34" s="82"/>
      <c r="O34" s="82"/>
      <c r="P34" s="83">
        <v>0</v>
      </c>
      <c r="Q34" s="29"/>
      <c r="R34" s="78" t="s">
        <v>41</v>
      </c>
      <c r="S34" s="79"/>
      <c r="T34" s="235">
        <f t="shared" si="0"/>
        <v>0</v>
      </c>
      <c r="U34" s="236"/>
      <c r="V34" s="62" t="e">
        <f t="shared" si="1"/>
        <v>#DIV/0!</v>
      </c>
      <c r="W34" s="29"/>
      <c r="X34" s="285" t="s">
        <v>82</v>
      </c>
      <c r="Y34" s="224"/>
      <c r="Z34" s="224"/>
      <c r="AA34" s="119"/>
      <c r="AB34" s="30"/>
      <c r="AC34" s="2"/>
      <c r="AD34" s="2"/>
    </row>
    <row r="35" spans="1:30" ht="15.75" customHeight="1" x14ac:dyDescent="0.25">
      <c r="A35" s="2"/>
      <c r="B35" s="2"/>
      <c r="C35" s="11"/>
      <c r="D35" s="304"/>
      <c r="E35" s="194"/>
      <c r="F35" s="305"/>
      <c r="G35" s="89"/>
      <c r="H35" s="90"/>
      <c r="I35" s="29"/>
      <c r="J35" s="84"/>
      <c r="K35" s="85"/>
      <c r="L35" s="85"/>
      <c r="M35" s="85"/>
      <c r="N35" s="85"/>
      <c r="O35" s="85"/>
      <c r="P35" s="86">
        <v>0</v>
      </c>
      <c r="Q35" s="29"/>
      <c r="R35" s="231" t="s">
        <v>42</v>
      </c>
      <c r="S35" s="232"/>
      <c r="T35" s="233">
        <f t="shared" si="0"/>
        <v>0</v>
      </c>
      <c r="U35" s="232"/>
      <c r="V35" s="57" t="e">
        <f t="shared" si="1"/>
        <v>#DIV/0!</v>
      </c>
      <c r="W35" s="29"/>
      <c r="X35" s="294" t="s">
        <v>83</v>
      </c>
      <c r="Y35" s="295"/>
      <c r="Z35" s="296">
        <f>W8</f>
        <v>0</v>
      </c>
      <c r="AA35" s="258"/>
      <c r="AB35" s="30"/>
      <c r="AC35" s="2"/>
      <c r="AD35" s="2"/>
    </row>
    <row r="36" spans="1:30" x14ac:dyDescent="0.3">
      <c r="A36" s="2"/>
      <c r="B36" s="2"/>
      <c r="C36" s="11"/>
      <c r="D36" s="306" t="s">
        <v>84</v>
      </c>
      <c r="E36" s="129"/>
      <c r="F36" s="307" t="s">
        <v>85</v>
      </c>
      <c r="G36" s="308"/>
      <c r="H36" s="91">
        <f>SUM(G26:G35)</f>
        <v>0</v>
      </c>
      <c r="I36" s="29"/>
      <c r="J36" s="81"/>
      <c r="K36" s="82"/>
      <c r="L36" s="82"/>
      <c r="M36" s="82"/>
      <c r="N36" s="82"/>
      <c r="O36" s="82"/>
      <c r="P36" s="83">
        <v>0</v>
      </c>
      <c r="Q36" s="29"/>
      <c r="R36" s="78" t="s">
        <v>43</v>
      </c>
      <c r="S36" s="79"/>
      <c r="T36" s="235">
        <f t="shared" si="0"/>
        <v>0</v>
      </c>
      <c r="U36" s="236"/>
      <c r="V36" s="62" t="e">
        <f t="shared" si="1"/>
        <v>#DIV/0!</v>
      </c>
      <c r="W36" s="29"/>
      <c r="X36" s="285" t="s">
        <v>86</v>
      </c>
      <c r="Y36" s="224"/>
      <c r="Z36" s="224"/>
      <c r="AA36" s="119"/>
      <c r="AB36" s="30"/>
      <c r="AC36" s="2"/>
      <c r="AD36" s="2"/>
    </row>
    <row r="37" spans="1:30" ht="13" x14ac:dyDescent="0.3">
      <c r="A37" s="2"/>
      <c r="B37" s="2"/>
      <c r="C37" s="11"/>
      <c r="D37" s="130"/>
      <c r="E37" s="131"/>
      <c r="F37" s="309" t="s">
        <v>87</v>
      </c>
      <c r="G37" s="310"/>
      <c r="H37" s="92">
        <f>SUM(H26:H35)</f>
        <v>0</v>
      </c>
      <c r="I37" s="29"/>
      <c r="J37" s="84"/>
      <c r="K37" s="85"/>
      <c r="L37" s="85"/>
      <c r="M37" s="85"/>
      <c r="N37" s="85"/>
      <c r="O37" s="85"/>
      <c r="P37" s="86">
        <v>0</v>
      </c>
      <c r="Q37" s="29"/>
      <c r="R37" s="231" t="s">
        <v>88</v>
      </c>
      <c r="S37" s="232"/>
      <c r="T37" s="233">
        <f t="shared" si="0"/>
        <v>0</v>
      </c>
      <c r="U37" s="232"/>
      <c r="V37" s="57" t="e">
        <f t="shared" si="1"/>
        <v>#DIV/0!</v>
      </c>
      <c r="W37" s="29"/>
      <c r="X37" s="297" t="s">
        <v>89</v>
      </c>
      <c r="Y37" s="298"/>
      <c r="Z37" s="299"/>
      <c r="AA37" s="300"/>
      <c r="AB37" s="30"/>
      <c r="AC37" s="2"/>
      <c r="AD37" s="2"/>
    </row>
    <row r="38" spans="1:30" ht="12.5" x14ac:dyDescent="0.25">
      <c r="A38" s="2"/>
      <c r="B38" s="2"/>
      <c r="C38" s="2"/>
      <c r="D38" s="36"/>
      <c r="E38" s="36"/>
      <c r="F38" s="36"/>
      <c r="G38" s="36"/>
      <c r="H38" s="36"/>
      <c r="I38" s="11"/>
      <c r="J38" s="81"/>
      <c r="K38" s="82"/>
      <c r="L38" s="82"/>
      <c r="M38" s="82"/>
      <c r="N38" s="82"/>
      <c r="O38" s="82"/>
      <c r="P38" s="83">
        <v>0</v>
      </c>
      <c r="Q38" s="29"/>
      <c r="R38" s="93"/>
      <c r="S38" s="2"/>
      <c r="T38" s="2"/>
      <c r="U38" s="2"/>
      <c r="V38" s="94"/>
      <c r="W38" s="29"/>
      <c r="X38" s="301" t="s">
        <v>80</v>
      </c>
      <c r="Y38" s="302"/>
      <c r="Z38" s="288"/>
      <c r="AA38" s="289"/>
      <c r="AB38" s="30"/>
      <c r="AC38" s="2"/>
      <c r="AD38" s="2"/>
    </row>
    <row r="39" spans="1:30" ht="13" x14ac:dyDescent="0.25">
      <c r="A39" s="2"/>
      <c r="B39" s="2"/>
      <c r="C39" s="11"/>
      <c r="D39" s="311" t="s">
        <v>90</v>
      </c>
      <c r="E39" s="209"/>
      <c r="F39" s="209"/>
      <c r="G39" s="312"/>
      <c r="H39" s="129"/>
      <c r="I39" s="29"/>
      <c r="J39" s="84"/>
      <c r="K39" s="85"/>
      <c r="L39" s="85"/>
      <c r="M39" s="85"/>
      <c r="N39" s="85"/>
      <c r="O39" s="85"/>
      <c r="P39" s="86">
        <v>0</v>
      </c>
      <c r="Q39" s="29"/>
      <c r="R39" s="271"/>
      <c r="S39" s="232"/>
      <c r="T39" s="274"/>
      <c r="U39" s="232"/>
      <c r="V39" s="95"/>
      <c r="W39" s="29"/>
      <c r="X39" s="303" t="s">
        <v>91</v>
      </c>
      <c r="Y39" s="129"/>
      <c r="Z39" s="290">
        <f>(Z38+Z37)-Z35</f>
        <v>0</v>
      </c>
      <c r="AA39" s="119"/>
      <c r="AB39" s="30"/>
      <c r="AC39" s="2"/>
      <c r="AD39" s="2"/>
    </row>
    <row r="40" spans="1:30" ht="13" x14ac:dyDescent="0.3">
      <c r="A40" s="2"/>
      <c r="B40" s="2"/>
      <c r="C40" s="11"/>
      <c r="D40" s="130"/>
      <c r="E40" s="200"/>
      <c r="F40" s="200"/>
      <c r="G40" s="130"/>
      <c r="H40" s="131"/>
      <c r="I40" s="29"/>
      <c r="J40" s="96" t="s">
        <v>14</v>
      </c>
      <c r="K40" s="97"/>
      <c r="L40" s="97">
        <f t="shared" ref="L40:M40" si="4">SUM(L15:L39)</f>
        <v>0</v>
      </c>
      <c r="M40" s="97">
        <f t="shared" si="4"/>
        <v>0</v>
      </c>
      <c r="N40" s="97"/>
      <c r="O40" s="97"/>
      <c r="P40" s="98"/>
      <c r="Q40" s="29"/>
      <c r="R40" s="272" t="s">
        <v>14</v>
      </c>
      <c r="S40" s="273"/>
      <c r="T40" s="291">
        <f>SUM(T15:U39)</f>
        <v>0</v>
      </c>
      <c r="U40" s="224"/>
      <c r="V40" s="119"/>
      <c r="W40" s="29"/>
      <c r="X40" s="130"/>
      <c r="Y40" s="131"/>
      <c r="Z40" s="290" t="str">
        <f>IF(Z39&lt;0,"Te falta dinero o anotar algo", "Te sobra dinero o anotar algo")</f>
        <v>Te sobra dinero o anotar algo</v>
      </c>
      <c r="AA40" s="119"/>
      <c r="AB40" s="30"/>
      <c r="AC40" s="2"/>
      <c r="AD40" s="2"/>
    </row>
    <row r="41" spans="1:30" ht="12.5" x14ac:dyDescent="0.25">
      <c r="A41" s="2"/>
      <c r="B41" s="2"/>
      <c r="C41" s="2"/>
      <c r="D41" s="35"/>
      <c r="E41" s="35"/>
      <c r="F41" s="35"/>
      <c r="G41" s="35"/>
      <c r="H41" s="35"/>
      <c r="I41" s="2"/>
      <c r="J41" s="99"/>
      <c r="K41" s="99"/>
      <c r="L41" s="99"/>
      <c r="M41" s="99"/>
      <c r="N41" s="99"/>
      <c r="O41" s="99"/>
      <c r="P41" s="99"/>
      <c r="Q41" s="28"/>
      <c r="R41" s="36"/>
      <c r="S41" s="36"/>
      <c r="T41" s="36"/>
      <c r="U41" s="36"/>
      <c r="V41" s="36"/>
      <c r="W41" s="2"/>
      <c r="X41" s="35"/>
      <c r="Y41" s="35"/>
      <c r="Z41" s="35"/>
      <c r="AA41" s="35"/>
      <c r="AB41" s="2"/>
      <c r="AC41" s="2"/>
      <c r="AD41" s="2"/>
    </row>
    <row r="42" spans="1:30" ht="13" x14ac:dyDescent="0.3">
      <c r="A42" s="2"/>
      <c r="B42" s="2"/>
      <c r="C42" s="2"/>
      <c r="D42" s="313" t="s">
        <v>92</v>
      </c>
      <c r="E42" s="209"/>
      <c r="F42" s="209"/>
      <c r="G42" s="209"/>
      <c r="H42" s="129"/>
      <c r="I42" s="11"/>
      <c r="J42" s="292" t="s">
        <v>93</v>
      </c>
      <c r="K42" s="224"/>
      <c r="L42" s="224"/>
      <c r="M42" s="224"/>
      <c r="N42" s="224"/>
      <c r="O42" s="224"/>
      <c r="P42" s="224"/>
      <c r="Q42" s="224"/>
      <c r="R42" s="224"/>
      <c r="S42" s="100">
        <f>M40+O120</f>
        <v>0</v>
      </c>
      <c r="T42" s="293"/>
      <c r="U42" s="224"/>
      <c r="V42" s="119"/>
      <c r="W42" s="30"/>
      <c r="X42" s="2"/>
      <c r="Y42" s="2"/>
      <c r="Z42" s="2"/>
      <c r="AA42" s="2"/>
      <c r="AB42" s="2"/>
      <c r="AC42" s="2"/>
      <c r="AD42" s="2"/>
    </row>
    <row r="43" spans="1:30" ht="12.5" x14ac:dyDescent="0.25">
      <c r="A43" s="2"/>
      <c r="B43" s="2"/>
      <c r="C43" s="2"/>
      <c r="D43" s="130"/>
      <c r="E43" s="200"/>
      <c r="F43" s="200"/>
      <c r="G43" s="200"/>
      <c r="H43" s="131"/>
      <c r="I43" s="2"/>
      <c r="J43" s="4"/>
      <c r="K43" s="4"/>
      <c r="L43" s="4"/>
      <c r="M43" s="4"/>
      <c r="N43" s="4"/>
      <c r="O43" s="4"/>
      <c r="P43" s="4"/>
      <c r="Q43" s="35"/>
      <c r="R43" s="35"/>
      <c r="S43" s="35"/>
      <c r="T43" s="35"/>
      <c r="U43" s="35"/>
      <c r="V43" s="35"/>
      <c r="W43" s="2"/>
      <c r="X43" s="2"/>
      <c r="Y43" s="2"/>
      <c r="Z43" s="2"/>
      <c r="AA43" s="2"/>
      <c r="AB43" s="2"/>
      <c r="AC43" s="2"/>
      <c r="AD43" s="2"/>
    </row>
    <row r="44" spans="1:30" ht="13" x14ac:dyDescent="0.25">
      <c r="A44" s="2"/>
      <c r="B44" s="2"/>
      <c r="C44" s="2"/>
      <c r="D44" s="324" t="s">
        <v>62</v>
      </c>
      <c r="E44" s="224"/>
      <c r="F44" s="325"/>
      <c r="G44" s="101" t="s">
        <v>94</v>
      </c>
      <c r="H44" s="102" t="s">
        <v>95</v>
      </c>
      <c r="I44" s="2"/>
      <c r="J44" s="3"/>
      <c r="K44" s="3"/>
      <c r="L44" s="3"/>
      <c r="M44" s="3"/>
      <c r="N44" s="3"/>
      <c r="O44" s="3"/>
      <c r="P44" s="3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2.5" x14ac:dyDescent="0.25">
      <c r="A45" s="2"/>
      <c r="B45" s="2"/>
      <c r="C45" s="11"/>
      <c r="D45" s="326"/>
      <c r="E45" s="327"/>
      <c r="F45" s="230"/>
      <c r="G45" s="103"/>
      <c r="H45" s="104"/>
      <c r="I45" s="30"/>
      <c r="J45" s="3"/>
      <c r="K45" s="3"/>
      <c r="L45" s="3"/>
      <c r="M45" s="3"/>
      <c r="N45" s="3"/>
      <c r="O45" s="3"/>
      <c r="P45" s="3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2.5" x14ac:dyDescent="0.25">
      <c r="A46" s="2"/>
      <c r="B46" s="2"/>
      <c r="C46" s="11"/>
      <c r="D46" s="328"/>
      <c r="E46" s="245"/>
      <c r="F46" s="329"/>
      <c r="G46" s="105"/>
      <c r="H46" s="106"/>
      <c r="I46" s="30"/>
      <c r="J46" s="3"/>
      <c r="K46" s="3"/>
      <c r="L46" s="3"/>
      <c r="M46" s="3"/>
      <c r="N46" s="3"/>
      <c r="O46" s="3"/>
      <c r="P46" s="3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2.5" x14ac:dyDescent="0.25">
      <c r="A47" s="2"/>
      <c r="B47" s="2"/>
      <c r="C47" s="11"/>
      <c r="D47" s="330"/>
      <c r="E47" s="245"/>
      <c r="F47" s="236"/>
      <c r="G47" s="2"/>
      <c r="H47" s="94"/>
      <c r="I47" s="30"/>
      <c r="J47" s="3"/>
      <c r="K47" s="3"/>
      <c r="L47" s="3"/>
      <c r="M47" s="3"/>
      <c r="N47" s="3"/>
      <c r="O47" s="3"/>
      <c r="P47" s="3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2.5" x14ac:dyDescent="0.25">
      <c r="A48" s="2"/>
      <c r="B48" s="2"/>
      <c r="C48" s="11"/>
      <c r="D48" s="328"/>
      <c r="E48" s="245"/>
      <c r="F48" s="329"/>
      <c r="G48" s="105"/>
      <c r="H48" s="106"/>
      <c r="I48" s="30"/>
      <c r="J48" s="3"/>
      <c r="K48" s="3"/>
      <c r="L48" s="3"/>
      <c r="M48" s="3"/>
      <c r="N48" s="3"/>
      <c r="O48" s="3"/>
      <c r="P48" s="3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2.5" x14ac:dyDescent="0.25">
      <c r="A49" s="2"/>
      <c r="B49" s="2"/>
      <c r="C49" s="11"/>
      <c r="D49" s="330"/>
      <c r="E49" s="245"/>
      <c r="F49" s="236"/>
      <c r="G49" s="2"/>
      <c r="H49" s="94"/>
      <c r="I49" s="30"/>
      <c r="J49" s="3"/>
      <c r="K49" s="3"/>
      <c r="L49" s="3"/>
      <c r="M49" s="3"/>
      <c r="N49" s="3"/>
      <c r="O49" s="3"/>
      <c r="P49" s="3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2.5" x14ac:dyDescent="0.25">
      <c r="A50" s="2"/>
      <c r="B50" s="2"/>
      <c r="C50" s="11"/>
      <c r="D50" s="328"/>
      <c r="E50" s="245"/>
      <c r="F50" s="329"/>
      <c r="G50" s="105"/>
      <c r="H50" s="106"/>
      <c r="I50" s="30"/>
      <c r="J50" s="3"/>
      <c r="K50" s="3"/>
      <c r="L50" s="3"/>
      <c r="M50" s="3"/>
      <c r="N50" s="3"/>
      <c r="O50" s="3"/>
      <c r="P50" s="3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2.5" x14ac:dyDescent="0.25">
      <c r="A51" s="2"/>
      <c r="B51" s="2"/>
      <c r="C51" s="11"/>
      <c r="D51" s="331"/>
      <c r="E51" s="218"/>
      <c r="F51" s="219"/>
      <c r="G51" s="47"/>
      <c r="H51" s="107"/>
      <c r="I51" s="30"/>
      <c r="J51" s="3"/>
      <c r="K51" s="3"/>
      <c r="L51" s="3"/>
      <c r="M51" s="3"/>
      <c r="N51" s="3"/>
      <c r="O51" s="3"/>
      <c r="P51" s="3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3" x14ac:dyDescent="0.3">
      <c r="A52" s="2"/>
      <c r="B52" s="2"/>
      <c r="C52" s="11"/>
      <c r="D52" s="332" t="s">
        <v>96</v>
      </c>
      <c r="E52" s="224"/>
      <c r="F52" s="224"/>
      <c r="G52" s="325"/>
      <c r="H52" s="108">
        <f>SUMIF(G45:G51, "Ahorro", H45:H51)</f>
        <v>0</v>
      </c>
      <c r="I52" s="30"/>
      <c r="J52" s="3"/>
      <c r="K52" s="3"/>
      <c r="L52" s="3"/>
      <c r="M52" s="3"/>
      <c r="N52" s="3"/>
      <c r="O52" s="3"/>
      <c r="P52" s="3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3" x14ac:dyDescent="0.3">
      <c r="A53" s="2"/>
      <c r="B53" s="2"/>
      <c r="C53" s="11"/>
      <c r="D53" s="332" t="s">
        <v>97</v>
      </c>
      <c r="E53" s="224"/>
      <c r="F53" s="224"/>
      <c r="G53" s="325"/>
      <c r="H53" s="108">
        <f>SUMIF(G45:G51, "Inversión", H45:H51)</f>
        <v>0</v>
      </c>
      <c r="I53" s="30"/>
      <c r="J53" s="3"/>
      <c r="K53" s="3"/>
      <c r="L53" s="3"/>
      <c r="M53" s="3"/>
      <c r="N53" s="3"/>
      <c r="O53" s="3"/>
      <c r="P53" s="3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2.5" x14ac:dyDescent="0.25">
      <c r="A54" s="2"/>
      <c r="B54" s="2"/>
      <c r="C54" s="2"/>
      <c r="D54" s="35"/>
      <c r="E54" s="35"/>
      <c r="F54" s="35"/>
      <c r="G54" s="35"/>
      <c r="H54" s="35"/>
      <c r="I54" s="2"/>
      <c r="J54" s="3"/>
      <c r="K54" s="3"/>
      <c r="L54" s="3"/>
      <c r="M54" s="3"/>
      <c r="N54" s="3"/>
      <c r="O54" s="3"/>
      <c r="P54" s="3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2.5" x14ac:dyDescent="0.25">
      <c r="A55" s="2"/>
      <c r="B55" s="2"/>
      <c r="C55" s="2"/>
      <c r="D55" s="28"/>
      <c r="E55" s="28"/>
      <c r="F55" s="28"/>
      <c r="G55" s="28"/>
      <c r="H55" s="28"/>
      <c r="I55" s="28"/>
      <c r="J55" s="5"/>
      <c r="K55" s="5"/>
      <c r="L55" s="5"/>
      <c r="M55" s="5"/>
      <c r="N55" s="5"/>
      <c r="O55" s="5"/>
      <c r="P55" s="5"/>
      <c r="Q55" s="28"/>
      <c r="R55" s="28"/>
      <c r="S55" s="28"/>
      <c r="T55" s="28"/>
      <c r="U55" s="28"/>
      <c r="V55" s="28"/>
      <c r="W55" s="2"/>
      <c r="X55" s="2"/>
      <c r="Y55" s="2"/>
      <c r="Z55" s="2"/>
      <c r="AA55" s="2"/>
      <c r="AB55" s="2"/>
      <c r="AC55" s="2"/>
      <c r="AD55" s="2"/>
    </row>
    <row r="56" spans="1:30" ht="12.5" x14ac:dyDescent="0.25">
      <c r="A56" s="2"/>
      <c r="B56" s="2"/>
      <c r="C56" s="11"/>
      <c r="D56" s="208" t="s">
        <v>98</v>
      </c>
      <c r="E56" s="209"/>
      <c r="F56" s="209"/>
      <c r="G56" s="209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9"/>
      <c r="S56" s="209"/>
      <c r="T56" s="209"/>
      <c r="U56" s="209"/>
      <c r="V56" s="129"/>
      <c r="W56" s="30"/>
      <c r="X56" s="2"/>
      <c r="Y56" s="2"/>
      <c r="Z56" s="2"/>
      <c r="AA56" s="2"/>
      <c r="AB56" s="2"/>
      <c r="AC56" s="2"/>
      <c r="AD56" s="2"/>
    </row>
    <row r="57" spans="1:30" ht="12.5" x14ac:dyDescent="0.25">
      <c r="A57" s="2"/>
      <c r="B57" s="2"/>
      <c r="C57" s="11"/>
      <c r="D57" s="333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277"/>
      <c r="P57" s="277"/>
      <c r="Q57" s="277"/>
      <c r="R57" s="277"/>
      <c r="S57" s="277"/>
      <c r="T57" s="277"/>
      <c r="U57" s="277"/>
      <c r="V57" s="334"/>
      <c r="W57" s="30"/>
      <c r="X57" s="2"/>
      <c r="Y57" s="2"/>
      <c r="Z57" s="2"/>
      <c r="AA57" s="2"/>
      <c r="AB57" s="2"/>
      <c r="AC57" s="2"/>
      <c r="AD57" s="2"/>
    </row>
    <row r="58" spans="1:30" ht="13" x14ac:dyDescent="0.3">
      <c r="A58" s="2"/>
      <c r="B58" s="2"/>
      <c r="C58" s="11"/>
      <c r="D58" s="335" t="s">
        <v>62</v>
      </c>
      <c r="E58" s="224"/>
      <c r="F58" s="224"/>
      <c r="G58" s="224"/>
      <c r="H58" s="224"/>
      <c r="I58" s="119"/>
      <c r="J58" s="109" t="s">
        <v>99</v>
      </c>
      <c r="K58" s="319" t="s">
        <v>68</v>
      </c>
      <c r="L58" s="119"/>
      <c r="M58" s="319" t="s">
        <v>100</v>
      </c>
      <c r="N58" s="119"/>
      <c r="O58" s="319" t="s">
        <v>95</v>
      </c>
      <c r="P58" s="119"/>
      <c r="Q58" s="319" t="s">
        <v>101</v>
      </c>
      <c r="R58" s="224"/>
      <c r="S58" s="224"/>
      <c r="T58" s="224"/>
      <c r="U58" s="224"/>
      <c r="V58" s="119"/>
      <c r="W58" s="30"/>
      <c r="X58" s="2"/>
      <c r="Y58" s="2"/>
      <c r="Z58" s="2"/>
      <c r="AA58" s="2"/>
      <c r="AB58" s="2"/>
      <c r="AC58" s="2"/>
      <c r="AD58" s="2"/>
    </row>
    <row r="59" spans="1:30" ht="12.5" x14ac:dyDescent="0.25">
      <c r="A59" s="2"/>
      <c r="B59" s="2"/>
      <c r="C59" s="11"/>
      <c r="D59" s="336"/>
      <c r="E59" s="277"/>
      <c r="F59" s="277"/>
      <c r="G59" s="277"/>
      <c r="H59" s="277"/>
      <c r="I59" s="142"/>
      <c r="J59" s="4"/>
      <c r="K59" s="314"/>
      <c r="L59" s="142"/>
      <c r="M59" s="314"/>
      <c r="N59" s="142"/>
      <c r="O59" s="315"/>
      <c r="P59" s="142"/>
      <c r="Q59" s="247"/>
      <c r="R59" s="277"/>
      <c r="S59" s="277"/>
      <c r="T59" s="277"/>
      <c r="U59" s="277"/>
      <c r="V59" s="334"/>
      <c r="W59" s="30"/>
      <c r="X59" s="2"/>
      <c r="Y59" s="2"/>
      <c r="Z59" s="2"/>
      <c r="AA59" s="2"/>
      <c r="AB59" s="2"/>
      <c r="AC59" s="2"/>
      <c r="AD59" s="2"/>
    </row>
    <row r="60" spans="1:30" ht="12.5" x14ac:dyDescent="0.25">
      <c r="A60" s="2"/>
      <c r="B60" s="2"/>
      <c r="C60" s="11"/>
      <c r="D60" s="337"/>
      <c r="E60" s="277"/>
      <c r="F60" s="277"/>
      <c r="G60" s="277"/>
      <c r="H60" s="277"/>
      <c r="I60" s="338"/>
      <c r="J60" s="111"/>
      <c r="K60" s="316"/>
      <c r="L60" s="232"/>
      <c r="M60" s="316"/>
      <c r="N60" s="232"/>
      <c r="O60" s="317"/>
      <c r="P60" s="232"/>
      <c r="Q60" s="274"/>
      <c r="R60" s="245"/>
      <c r="S60" s="245"/>
      <c r="T60" s="245"/>
      <c r="U60" s="245"/>
      <c r="V60" s="246"/>
      <c r="W60" s="30"/>
      <c r="X60" s="2"/>
      <c r="Y60" s="2"/>
      <c r="Z60" s="2"/>
      <c r="AA60" s="2"/>
      <c r="AB60" s="2"/>
      <c r="AC60" s="2"/>
      <c r="AD60" s="2"/>
    </row>
    <row r="61" spans="1:30" ht="12.5" x14ac:dyDescent="0.25">
      <c r="A61" s="2"/>
      <c r="B61" s="2"/>
      <c r="C61" s="11"/>
      <c r="D61" s="336"/>
      <c r="E61" s="277"/>
      <c r="F61" s="277"/>
      <c r="G61" s="277"/>
      <c r="H61" s="277"/>
      <c r="I61" s="142"/>
      <c r="J61" s="3"/>
      <c r="K61" s="314"/>
      <c r="L61" s="142"/>
      <c r="M61" s="314"/>
      <c r="N61" s="142"/>
      <c r="O61" s="320"/>
      <c r="P61" s="236"/>
      <c r="Q61" s="318"/>
      <c r="R61" s="245"/>
      <c r="S61" s="245"/>
      <c r="T61" s="245"/>
      <c r="U61" s="245"/>
      <c r="V61" s="246"/>
      <c r="W61" s="30"/>
      <c r="X61" s="2"/>
      <c r="Y61" s="2"/>
      <c r="Z61" s="2"/>
      <c r="AA61" s="2"/>
      <c r="AB61" s="2"/>
      <c r="AC61" s="2"/>
      <c r="AD61" s="2"/>
    </row>
    <row r="62" spans="1:30" ht="12.5" x14ac:dyDescent="0.25">
      <c r="A62" s="2"/>
      <c r="B62" s="2"/>
      <c r="C62" s="11"/>
      <c r="D62" s="337"/>
      <c r="E62" s="277"/>
      <c r="F62" s="277"/>
      <c r="G62" s="277"/>
      <c r="H62" s="277"/>
      <c r="I62" s="338"/>
      <c r="J62" s="111"/>
      <c r="K62" s="316"/>
      <c r="L62" s="232"/>
      <c r="M62" s="316"/>
      <c r="N62" s="232"/>
      <c r="O62" s="317"/>
      <c r="P62" s="232"/>
      <c r="Q62" s="274"/>
      <c r="R62" s="245"/>
      <c r="S62" s="245"/>
      <c r="T62" s="245"/>
      <c r="U62" s="245"/>
      <c r="V62" s="246"/>
      <c r="W62" s="30"/>
      <c r="X62" s="2"/>
      <c r="Y62" s="2"/>
      <c r="Z62" s="2"/>
      <c r="AA62" s="2"/>
      <c r="AB62" s="2"/>
      <c r="AC62" s="2"/>
      <c r="AD62" s="2"/>
    </row>
    <row r="63" spans="1:30" ht="12.5" x14ac:dyDescent="0.25">
      <c r="A63" s="2"/>
      <c r="B63" s="2"/>
      <c r="C63" s="11"/>
      <c r="D63" s="336"/>
      <c r="E63" s="277"/>
      <c r="F63" s="277"/>
      <c r="G63" s="277"/>
      <c r="H63" s="277"/>
      <c r="I63" s="142"/>
      <c r="J63" s="3"/>
      <c r="K63" s="314"/>
      <c r="L63" s="142"/>
      <c r="M63" s="314"/>
      <c r="N63" s="142"/>
      <c r="O63" s="320"/>
      <c r="P63" s="236"/>
      <c r="Q63" s="318"/>
      <c r="R63" s="245"/>
      <c r="S63" s="245"/>
      <c r="T63" s="245"/>
      <c r="U63" s="245"/>
      <c r="V63" s="246"/>
      <c r="W63" s="30"/>
      <c r="X63" s="2"/>
      <c r="Y63" s="2"/>
      <c r="Z63" s="2"/>
      <c r="AA63" s="2"/>
      <c r="AB63" s="2"/>
      <c r="AC63" s="2"/>
      <c r="AD63" s="2"/>
    </row>
    <row r="64" spans="1:30" ht="14" x14ac:dyDescent="0.3">
      <c r="A64" s="2"/>
      <c r="B64" s="2"/>
      <c r="C64" s="11"/>
      <c r="D64" s="337"/>
      <c r="E64" s="277"/>
      <c r="F64" s="277"/>
      <c r="G64" s="277"/>
      <c r="H64" s="277"/>
      <c r="I64" s="338"/>
      <c r="J64" s="111"/>
      <c r="K64" s="316"/>
      <c r="L64" s="232"/>
      <c r="M64" s="316"/>
      <c r="N64" s="232"/>
      <c r="O64" s="321"/>
      <c r="P64" s="232"/>
      <c r="Q64" s="274"/>
      <c r="R64" s="245"/>
      <c r="S64" s="245"/>
      <c r="T64" s="245"/>
      <c r="U64" s="245"/>
      <c r="V64" s="246"/>
      <c r="W64" s="30"/>
      <c r="X64" s="2"/>
      <c r="Y64" s="2"/>
      <c r="Z64" s="2"/>
      <c r="AA64" s="2"/>
      <c r="AB64" s="2"/>
      <c r="AC64" s="2"/>
      <c r="AD64" s="2"/>
    </row>
    <row r="65" spans="1:30" ht="12.5" x14ac:dyDescent="0.25">
      <c r="A65" s="2"/>
      <c r="B65" s="2"/>
      <c r="C65" s="11"/>
      <c r="D65" s="93"/>
      <c r="E65" s="2"/>
      <c r="F65" s="2"/>
      <c r="G65" s="2"/>
      <c r="H65" s="2"/>
      <c r="I65" s="2"/>
      <c r="J65" s="3"/>
      <c r="K65" s="314"/>
      <c r="L65" s="142"/>
      <c r="M65" s="314"/>
      <c r="N65" s="142"/>
      <c r="O65" s="320"/>
      <c r="P65" s="236"/>
      <c r="Q65" s="318"/>
      <c r="R65" s="245"/>
      <c r="S65" s="245"/>
      <c r="T65" s="245"/>
      <c r="U65" s="245"/>
      <c r="V65" s="246"/>
      <c r="W65" s="30"/>
      <c r="X65" s="2"/>
      <c r="Y65" s="2"/>
      <c r="Z65" s="2"/>
      <c r="AA65" s="2"/>
      <c r="AB65" s="2"/>
      <c r="AC65" s="2"/>
      <c r="AD65" s="2"/>
    </row>
    <row r="66" spans="1:30" ht="12.5" x14ac:dyDescent="0.25">
      <c r="A66" s="2"/>
      <c r="B66" s="2"/>
      <c r="C66" s="11"/>
      <c r="D66" s="337"/>
      <c r="E66" s="277"/>
      <c r="F66" s="277"/>
      <c r="G66" s="277"/>
      <c r="H66" s="277"/>
      <c r="I66" s="338"/>
      <c r="J66" s="111"/>
      <c r="K66" s="316"/>
      <c r="L66" s="232"/>
      <c r="M66" s="316"/>
      <c r="N66" s="232"/>
      <c r="O66" s="317"/>
      <c r="P66" s="232"/>
      <c r="Q66" s="274"/>
      <c r="R66" s="245"/>
      <c r="S66" s="245"/>
      <c r="T66" s="245"/>
      <c r="U66" s="245"/>
      <c r="V66" s="246"/>
      <c r="W66" s="30"/>
      <c r="X66" s="2"/>
      <c r="Y66" s="2"/>
      <c r="Z66" s="2"/>
      <c r="AA66" s="2"/>
      <c r="AB66" s="2"/>
      <c r="AC66" s="2"/>
      <c r="AD66" s="2"/>
    </row>
    <row r="67" spans="1:30" ht="12.5" x14ac:dyDescent="0.25">
      <c r="A67" s="2"/>
      <c r="B67" s="2"/>
      <c r="C67" s="11"/>
      <c r="D67" s="93"/>
      <c r="E67" s="2"/>
      <c r="F67" s="2"/>
      <c r="G67" s="2"/>
      <c r="H67" s="2"/>
      <c r="I67" s="2"/>
      <c r="J67" s="3"/>
      <c r="K67" s="314"/>
      <c r="L67" s="142"/>
      <c r="M67" s="314"/>
      <c r="N67" s="142"/>
      <c r="O67" s="320"/>
      <c r="P67" s="236"/>
      <c r="Q67" s="318"/>
      <c r="R67" s="245"/>
      <c r="S67" s="245"/>
      <c r="T67" s="245"/>
      <c r="U67" s="245"/>
      <c r="V67" s="246"/>
      <c r="W67" s="30"/>
      <c r="X67" s="2"/>
      <c r="Y67" s="2"/>
      <c r="Z67" s="2"/>
      <c r="AA67" s="2"/>
      <c r="AB67" s="2"/>
      <c r="AC67" s="2"/>
      <c r="AD67" s="2"/>
    </row>
    <row r="68" spans="1:30" ht="12.5" x14ac:dyDescent="0.25">
      <c r="A68" s="2"/>
      <c r="B68" s="2"/>
      <c r="C68" s="11"/>
      <c r="D68" s="337"/>
      <c r="E68" s="277"/>
      <c r="F68" s="277"/>
      <c r="G68" s="277"/>
      <c r="H68" s="277"/>
      <c r="I68" s="338"/>
      <c r="J68" s="111"/>
      <c r="K68" s="316"/>
      <c r="L68" s="232"/>
      <c r="M68" s="316"/>
      <c r="N68" s="232"/>
      <c r="O68" s="317"/>
      <c r="P68" s="232"/>
      <c r="Q68" s="274"/>
      <c r="R68" s="245"/>
      <c r="S68" s="245"/>
      <c r="T68" s="245"/>
      <c r="U68" s="245"/>
      <c r="V68" s="246"/>
      <c r="W68" s="30"/>
      <c r="X68" s="2"/>
      <c r="Y68" s="2"/>
      <c r="Z68" s="2"/>
      <c r="AA68" s="2"/>
      <c r="AB68" s="2"/>
      <c r="AC68" s="2"/>
      <c r="AD68" s="2"/>
    </row>
    <row r="69" spans="1:30" ht="12.5" x14ac:dyDescent="0.25">
      <c r="A69" s="2"/>
      <c r="B69" s="2"/>
      <c r="C69" s="11"/>
      <c r="D69" s="93"/>
      <c r="E69" s="2"/>
      <c r="F69" s="2"/>
      <c r="G69" s="2"/>
      <c r="H69" s="2"/>
      <c r="I69" s="2"/>
      <c r="J69" s="3"/>
      <c r="K69" s="314"/>
      <c r="L69" s="142"/>
      <c r="M69" s="314"/>
      <c r="N69" s="142"/>
      <c r="O69" s="320"/>
      <c r="P69" s="236"/>
      <c r="Q69" s="318"/>
      <c r="R69" s="245"/>
      <c r="S69" s="245"/>
      <c r="T69" s="245"/>
      <c r="U69" s="245"/>
      <c r="V69" s="246"/>
      <c r="W69" s="30"/>
      <c r="X69" s="2"/>
      <c r="Y69" s="2"/>
      <c r="Z69" s="2"/>
      <c r="AA69" s="2"/>
      <c r="AB69" s="2"/>
      <c r="AC69" s="2"/>
      <c r="AD69" s="2"/>
    </row>
    <row r="70" spans="1:30" ht="12.5" x14ac:dyDescent="0.25">
      <c r="A70" s="2"/>
      <c r="B70" s="2"/>
      <c r="C70" s="11"/>
      <c r="D70" s="337"/>
      <c r="E70" s="277"/>
      <c r="F70" s="277"/>
      <c r="G70" s="277"/>
      <c r="H70" s="277"/>
      <c r="I70" s="338"/>
      <c r="J70" s="111"/>
      <c r="K70" s="316"/>
      <c r="L70" s="232"/>
      <c r="M70" s="316"/>
      <c r="N70" s="232"/>
      <c r="O70" s="317"/>
      <c r="P70" s="232"/>
      <c r="Q70" s="274"/>
      <c r="R70" s="245"/>
      <c r="S70" s="245"/>
      <c r="T70" s="245"/>
      <c r="U70" s="245"/>
      <c r="V70" s="246"/>
      <c r="W70" s="30"/>
      <c r="X70" s="2"/>
      <c r="Y70" s="2"/>
      <c r="Z70" s="2"/>
      <c r="AA70" s="2"/>
      <c r="AB70" s="2"/>
      <c r="AC70" s="2"/>
      <c r="AD70" s="2"/>
    </row>
    <row r="71" spans="1:30" ht="12.5" x14ac:dyDescent="0.25">
      <c r="A71" s="2"/>
      <c r="B71" s="2"/>
      <c r="C71" s="11"/>
      <c r="D71" s="93"/>
      <c r="E71" s="2"/>
      <c r="F71" s="2"/>
      <c r="G71" s="2"/>
      <c r="H71" s="2"/>
      <c r="I71" s="2"/>
      <c r="J71" s="3"/>
      <c r="K71" s="314"/>
      <c r="L71" s="142"/>
      <c r="M71" s="314"/>
      <c r="N71" s="142"/>
      <c r="O71" s="320"/>
      <c r="P71" s="236"/>
      <c r="Q71" s="318"/>
      <c r="R71" s="245"/>
      <c r="S71" s="245"/>
      <c r="T71" s="245"/>
      <c r="U71" s="245"/>
      <c r="V71" s="246"/>
      <c r="W71" s="30"/>
      <c r="X71" s="2"/>
      <c r="Y71" s="2"/>
      <c r="Z71" s="2"/>
      <c r="AA71" s="2"/>
      <c r="AB71" s="2"/>
      <c r="AC71" s="2"/>
      <c r="AD71" s="2"/>
    </row>
    <row r="72" spans="1:30" ht="12.5" x14ac:dyDescent="0.25">
      <c r="A72" s="2"/>
      <c r="B72" s="2"/>
      <c r="C72" s="11"/>
      <c r="D72" s="337"/>
      <c r="E72" s="277"/>
      <c r="F72" s="277"/>
      <c r="G72" s="277"/>
      <c r="H72" s="277"/>
      <c r="I72" s="338"/>
      <c r="J72" s="111"/>
      <c r="K72" s="316"/>
      <c r="L72" s="232"/>
      <c r="M72" s="316"/>
      <c r="N72" s="232"/>
      <c r="O72" s="317"/>
      <c r="P72" s="232"/>
      <c r="Q72" s="274"/>
      <c r="R72" s="245"/>
      <c r="S72" s="245"/>
      <c r="T72" s="245"/>
      <c r="U72" s="245"/>
      <c r="V72" s="246"/>
      <c r="W72" s="30"/>
      <c r="X72" s="2"/>
      <c r="Y72" s="2"/>
      <c r="Z72" s="2"/>
      <c r="AA72" s="2"/>
      <c r="AB72" s="2"/>
      <c r="AC72" s="2"/>
      <c r="AD72" s="2"/>
    </row>
    <row r="73" spans="1:30" ht="12.5" x14ac:dyDescent="0.25">
      <c r="A73" s="2"/>
      <c r="B73" s="2"/>
      <c r="C73" s="11"/>
      <c r="D73" s="93"/>
      <c r="E73" s="2"/>
      <c r="F73" s="2"/>
      <c r="G73" s="2"/>
      <c r="H73" s="2"/>
      <c r="I73" s="2"/>
      <c r="J73" s="3"/>
      <c r="K73" s="314"/>
      <c r="L73" s="142"/>
      <c r="M73" s="314"/>
      <c r="N73" s="142"/>
      <c r="O73" s="320"/>
      <c r="P73" s="236"/>
      <c r="Q73" s="318"/>
      <c r="R73" s="245"/>
      <c r="S73" s="245"/>
      <c r="T73" s="245"/>
      <c r="U73" s="245"/>
      <c r="V73" s="246"/>
      <c r="W73" s="30"/>
      <c r="X73" s="2"/>
      <c r="Y73" s="2"/>
      <c r="Z73" s="2"/>
      <c r="AA73" s="2"/>
      <c r="AB73" s="2"/>
      <c r="AC73" s="2"/>
      <c r="AD73" s="2"/>
    </row>
    <row r="74" spans="1:30" ht="12.5" x14ac:dyDescent="0.25">
      <c r="A74" s="2"/>
      <c r="B74" s="2"/>
      <c r="C74" s="11"/>
      <c r="D74" s="337"/>
      <c r="E74" s="277"/>
      <c r="F74" s="277"/>
      <c r="G74" s="277"/>
      <c r="H74" s="277"/>
      <c r="I74" s="338"/>
      <c r="J74" s="111"/>
      <c r="K74" s="316"/>
      <c r="L74" s="232"/>
      <c r="M74" s="316"/>
      <c r="N74" s="232"/>
      <c r="O74" s="317"/>
      <c r="P74" s="232"/>
      <c r="Q74" s="274"/>
      <c r="R74" s="245"/>
      <c r="S74" s="245"/>
      <c r="T74" s="245"/>
      <c r="U74" s="245"/>
      <c r="V74" s="246"/>
      <c r="W74" s="30"/>
      <c r="X74" s="2"/>
      <c r="Y74" s="2"/>
      <c r="Z74" s="2"/>
      <c r="AA74" s="2"/>
      <c r="AB74" s="2"/>
      <c r="AC74" s="2"/>
      <c r="AD74" s="2"/>
    </row>
    <row r="75" spans="1:30" ht="12.5" x14ac:dyDescent="0.25">
      <c r="A75" s="2"/>
      <c r="B75" s="2"/>
      <c r="C75" s="11"/>
      <c r="D75" s="93"/>
      <c r="E75" s="2"/>
      <c r="F75" s="2"/>
      <c r="G75" s="2"/>
      <c r="H75" s="2"/>
      <c r="I75" s="2"/>
      <c r="J75" s="3"/>
      <c r="K75" s="314"/>
      <c r="L75" s="142"/>
      <c r="M75" s="314"/>
      <c r="N75" s="142"/>
      <c r="O75" s="320"/>
      <c r="P75" s="236"/>
      <c r="Q75" s="318"/>
      <c r="R75" s="245"/>
      <c r="S75" s="245"/>
      <c r="T75" s="245"/>
      <c r="U75" s="245"/>
      <c r="V75" s="246"/>
      <c r="W75" s="30"/>
      <c r="X75" s="2"/>
      <c r="Y75" s="2"/>
      <c r="Z75" s="2"/>
      <c r="AA75" s="2"/>
      <c r="AB75" s="2"/>
      <c r="AC75" s="2"/>
      <c r="AD75" s="2"/>
    </row>
    <row r="76" spans="1:30" ht="12.5" x14ac:dyDescent="0.25">
      <c r="A76" s="2"/>
      <c r="B76" s="2"/>
      <c r="C76" s="11"/>
      <c r="D76" s="337"/>
      <c r="E76" s="277"/>
      <c r="F76" s="277"/>
      <c r="G76" s="277"/>
      <c r="H76" s="277"/>
      <c r="I76" s="338"/>
      <c r="J76" s="111"/>
      <c r="K76" s="316"/>
      <c r="L76" s="232"/>
      <c r="M76" s="316"/>
      <c r="N76" s="232"/>
      <c r="O76" s="317"/>
      <c r="P76" s="232"/>
      <c r="Q76" s="274"/>
      <c r="R76" s="245"/>
      <c r="S76" s="245"/>
      <c r="T76" s="245"/>
      <c r="U76" s="245"/>
      <c r="V76" s="246"/>
      <c r="W76" s="30"/>
      <c r="X76" s="2"/>
      <c r="Y76" s="2"/>
      <c r="Z76" s="2"/>
      <c r="AA76" s="2"/>
      <c r="AB76" s="2"/>
      <c r="AC76" s="2"/>
      <c r="AD76" s="2"/>
    </row>
    <row r="77" spans="1:30" ht="12.5" x14ac:dyDescent="0.25">
      <c r="A77" s="2"/>
      <c r="B77" s="2"/>
      <c r="C77" s="11"/>
      <c r="D77" s="93"/>
      <c r="E77" s="2"/>
      <c r="F77" s="2"/>
      <c r="G77" s="2"/>
      <c r="H77" s="2"/>
      <c r="I77" s="2"/>
      <c r="J77" s="3"/>
      <c r="K77" s="314"/>
      <c r="L77" s="142"/>
      <c r="M77" s="314"/>
      <c r="N77" s="142"/>
      <c r="O77" s="320"/>
      <c r="P77" s="236"/>
      <c r="Q77" s="318"/>
      <c r="R77" s="245"/>
      <c r="S77" s="245"/>
      <c r="T77" s="245"/>
      <c r="U77" s="245"/>
      <c r="V77" s="246"/>
      <c r="W77" s="30"/>
      <c r="X77" s="2"/>
      <c r="Y77" s="2"/>
      <c r="Z77" s="2"/>
      <c r="AA77" s="2"/>
      <c r="AB77" s="2"/>
      <c r="AC77" s="2"/>
      <c r="AD77" s="2"/>
    </row>
    <row r="78" spans="1:30" ht="12.5" x14ac:dyDescent="0.25">
      <c r="A78" s="2"/>
      <c r="B78" s="2"/>
      <c r="C78" s="11"/>
      <c r="D78" s="337"/>
      <c r="E78" s="277"/>
      <c r="F78" s="277"/>
      <c r="G78" s="277"/>
      <c r="H78" s="277"/>
      <c r="I78" s="338"/>
      <c r="J78" s="111"/>
      <c r="K78" s="316"/>
      <c r="L78" s="232"/>
      <c r="M78" s="316"/>
      <c r="N78" s="232"/>
      <c r="O78" s="317"/>
      <c r="P78" s="232"/>
      <c r="Q78" s="274"/>
      <c r="R78" s="245"/>
      <c r="S78" s="245"/>
      <c r="T78" s="245"/>
      <c r="U78" s="245"/>
      <c r="V78" s="246"/>
      <c r="W78" s="30"/>
      <c r="X78" s="2"/>
      <c r="Y78" s="2"/>
      <c r="Z78" s="2"/>
      <c r="AA78" s="2"/>
      <c r="AB78" s="2"/>
      <c r="AC78" s="2"/>
      <c r="AD78" s="2"/>
    </row>
    <row r="79" spans="1:30" ht="12.5" x14ac:dyDescent="0.25">
      <c r="A79" s="2"/>
      <c r="B79" s="2"/>
      <c r="C79" s="11"/>
      <c r="D79" s="93"/>
      <c r="E79" s="2"/>
      <c r="F79" s="2"/>
      <c r="G79" s="2"/>
      <c r="H79" s="2"/>
      <c r="I79" s="2"/>
      <c r="J79" s="3"/>
      <c r="K79" s="314"/>
      <c r="L79" s="142"/>
      <c r="M79" s="314"/>
      <c r="N79" s="142"/>
      <c r="O79" s="320"/>
      <c r="P79" s="236"/>
      <c r="Q79" s="318"/>
      <c r="R79" s="245"/>
      <c r="S79" s="245"/>
      <c r="T79" s="245"/>
      <c r="U79" s="245"/>
      <c r="V79" s="246"/>
      <c r="W79" s="30"/>
      <c r="X79" s="2"/>
      <c r="Y79" s="2"/>
      <c r="Z79" s="2"/>
      <c r="AA79" s="2"/>
      <c r="AB79" s="2"/>
      <c r="AC79" s="2"/>
      <c r="AD79" s="2"/>
    </row>
    <row r="80" spans="1:30" ht="12.5" x14ac:dyDescent="0.25">
      <c r="A80" s="2"/>
      <c r="B80" s="2"/>
      <c r="C80" s="11"/>
      <c r="D80" s="337"/>
      <c r="E80" s="277"/>
      <c r="F80" s="277"/>
      <c r="G80" s="277"/>
      <c r="H80" s="277"/>
      <c r="I80" s="338"/>
      <c r="J80" s="111"/>
      <c r="K80" s="316"/>
      <c r="L80" s="232"/>
      <c r="M80" s="316"/>
      <c r="N80" s="232"/>
      <c r="O80" s="317"/>
      <c r="P80" s="232"/>
      <c r="Q80" s="274"/>
      <c r="R80" s="245"/>
      <c r="S80" s="245"/>
      <c r="T80" s="245"/>
      <c r="U80" s="245"/>
      <c r="V80" s="246"/>
      <c r="W80" s="30"/>
      <c r="X80" s="2"/>
      <c r="Y80" s="2"/>
      <c r="Z80" s="2"/>
      <c r="AA80" s="2"/>
      <c r="AB80" s="2"/>
      <c r="AC80" s="2"/>
      <c r="AD80" s="2"/>
    </row>
    <row r="81" spans="1:30" ht="12.5" x14ac:dyDescent="0.25">
      <c r="A81" s="2"/>
      <c r="B81" s="2"/>
      <c r="C81" s="11"/>
      <c r="D81" s="93"/>
      <c r="E81" s="2"/>
      <c r="F81" s="2"/>
      <c r="G81" s="2"/>
      <c r="H81" s="2"/>
      <c r="I81" s="2"/>
      <c r="J81" s="3"/>
      <c r="K81" s="314"/>
      <c r="L81" s="142"/>
      <c r="M81" s="314"/>
      <c r="N81" s="142"/>
      <c r="O81" s="320"/>
      <c r="P81" s="236"/>
      <c r="Q81" s="318"/>
      <c r="R81" s="245"/>
      <c r="S81" s="245"/>
      <c r="T81" s="245"/>
      <c r="U81" s="245"/>
      <c r="V81" s="246"/>
      <c r="W81" s="30"/>
      <c r="X81" s="2"/>
      <c r="Y81" s="2"/>
      <c r="Z81" s="2"/>
      <c r="AA81" s="2"/>
      <c r="AB81" s="2"/>
      <c r="AC81" s="2"/>
      <c r="AD81" s="2"/>
    </row>
    <row r="82" spans="1:30" ht="12.5" x14ac:dyDescent="0.25">
      <c r="A82" s="2"/>
      <c r="B82" s="2"/>
      <c r="C82" s="11"/>
      <c r="D82" s="337"/>
      <c r="E82" s="277"/>
      <c r="F82" s="277"/>
      <c r="G82" s="277"/>
      <c r="H82" s="277"/>
      <c r="I82" s="338"/>
      <c r="J82" s="111"/>
      <c r="K82" s="316"/>
      <c r="L82" s="232"/>
      <c r="M82" s="316"/>
      <c r="N82" s="232"/>
      <c r="O82" s="317"/>
      <c r="P82" s="232"/>
      <c r="Q82" s="274"/>
      <c r="R82" s="245"/>
      <c r="S82" s="245"/>
      <c r="T82" s="245"/>
      <c r="U82" s="245"/>
      <c r="V82" s="246"/>
      <c r="W82" s="30"/>
      <c r="X82" s="2"/>
      <c r="Y82" s="2"/>
      <c r="Z82" s="2"/>
      <c r="AA82" s="2"/>
      <c r="AB82" s="2"/>
      <c r="AC82" s="2"/>
      <c r="AD82" s="2"/>
    </row>
    <row r="83" spans="1:30" ht="12.5" x14ac:dyDescent="0.25">
      <c r="A83" s="2"/>
      <c r="B83" s="2"/>
      <c r="C83" s="11"/>
      <c r="D83" s="93"/>
      <c r="E83" s="2"/>
      <c r="F83" s="2"/>
      <c r="G83" s="2"/>
      <c r="H83" s="2"/>
      <c r="I83" s="2"/>
      <c r="J83" s="3"/>
      <c r="K83" s="314"/>
      <c r="L83" s="142"/>
      <c r="M83" s="314"/>
      <c r="N83" s="142"/>
      <c r="O83" s="320"/>
      <c r="P83" s="236"/>
      <c r="Q83" s="318"/>
      <c r="R83" s="245"/>
      <c r="S83" s="245"/>
      <c r="T83" s="245"/>
      <c r="U83" s="245"/>
      <c r="V83" s="246"/>
      <c r="W83" s="30"/>
      <c r="X83" s="2"/>
      <c r="Y83" s="2"/>
      <c r="Z83" s="2"/>
      <c r="AA83" s="2"/>
      <c r="AB83" s="2"/>
      <c r="AC83" s="2"/>
      <c r="AD83" s="2"/>
    </row>
    <row r="84" spans="1:30" ht="12.5" x14ac:dyDescent="0.25">
      <c r="A84" s="2"/>
      <c r="B84" s="2"/>
      <c r="C84" s="11"/>
      <c r="D84" s="337"/>
      <c r="E84" s="277"/>
      <c r="F84" s="277"/>
      <c r="G84" s="277"/>
      <c r="H84" s="277"/>
      <c r="I84" s="338"/>
      <c r="J84" s="111"/>
      <c r="K84" s="316"/>
      <c r="L84" s="232"/>
      <c r="M84" s="316"/>
      <c r="N84" s="232"/>
      <c r="O84" s="317"/>
      <c r="P84" s="232"/>
      <c r="Q84" s="274"/>
      <c r="R84" s="245"/>
      <c r="S84" s="245"/>
      <c r="T84" s="245"/>
      <c r="U84" s="245"/>
      <c r="V84" s="246"/>
      <c r="W84" s="30"/>
      <c r="X84" s="2"/>
      <c r="Y84" s="2"/>
      <c r="Z84" s="2"/>
      <c r="AA84" s="2"/>
      <c r="AB84" s="2"/>
      <c r="AC84" s="2"/>
      <c r="AD84" s="2"/>
    </row>
    <row r="85" spans="1:30" ht="12.5" x14ac:dyDescent="0.25">
      <c r="A85" s="2"/>
      <c r="B85" s="2"/>
      <c r="C85" s="11"/>
      <c r="D85" s="93"/>
      <c r="E85" s="2"/>
      <c r="F85" s="2"/>
      <c r="G85" s="2"/>
      <c r="H85" s="2"/>
      <c r="I85" s="2"/>
      <c r="J85" s="3"/>
      <c r="K85" s="314"/>
      <c r="L85" s="142"/>
      <c r="M85" s="314"/>
      <c r="N85" s="142"/>
      <c r="O85" s="320"/>
      <c r="P85" s="236"/>
      <c r="Q85" s="318"/>
      <c r="R85" s="245"/>
      <c r="S85" s="245"/>
      <c r="T85" s="245"/>
      <c r="U85" s="245"/>
      <c r="V85" s="246"/>
      <c r="W85" s="30"/>
      <c r="X85" s="2"/>
      <c r="Y85" s="2"/>
      <c r="Z85" s="2"/>
      <c r="AA85" s="2"/>
      <c r="AB85" s="2"/>
      <c r="AC85" s="2"/>
      <c r="AD85" s="2"/>
    </row>
    <row r="86" spans="1:30" ht="12.5" x14ac:dyDescent="0.25">
      <c r="A86" s="2"/>
      <c r="B86" s="2"/>
      <c r="C86" s="11"/>
      <c r="D86" s="337"/>
      <c r="E86" s="277"/>
      <c r="F86" s="277"/>
      <c r="G86" s="277"/>
      <c r="H86" s="277"/>
      <c r="I86" s="338"/>
      <c r="J86" s="111"/>
      <c r="K86" s="316"/>
      <c r="L86" s="232"/>
      <c r="M86" s="316"/>
      <c r="N86" s="232"/>
      <c r="O86" s="317"/>
      <c r="P86" s="232"/>
      <c r="Q86" s="274"/>
      <c r="R86" s="245"/>
      <c r="S86" s="245"/>
      <c r="T86" s="245"/>
      <c r="U86" s="245"/>
      <c r="V86" s="246"/>
      <c r="W86" s="30"/>
      <c r="X86" s="2"/>
      <c r="Y86" s="2"/>
      <c r="Z86" s="2"/>
      <c r="AA86" s="2"/>
      <c r="AB86" s="2"/>
      <c r="AC86" s="2"/>
      <c r="AD86" s="2"/>
    </row>
    <row r="87" spans="1:30" ht="12.5" x14ac:dyDescent="0.25">
      <c r="A87" s="2"/>
      <c r="B87" s="2"/>
      <c r="C87" s="11"/>
      <c r="D87" s="93"/>
      <c r="E87" s="2"/>
      <c r="F87" s="2"/>
      <c r="G87" s="2"/>
      <c r="H87" s="2"/>
      <c r="I87" s="2"/>
      <c r="J87" s="3"/>
      <c r="K87" s="314"/>
      <c r="L87" s="142"/>
      <c r="M87" s="314"/>
      <c r="N87" s="142"/>
      <c r="O87" s="320"/>
      <c r="P87" s="236"/>
      <c r="Q87" s="318"/>
      <c r="R87" s="245"/>
      <c r="S87" s="245"/>
      <c r="T87" s="245"/>
      <c r="U87" s="245"/>
      <c r="V87" s="246"/>
      <c r="W87" s="30"/>
      <c r="X87" s="2"/>
      <c r="Y87" s="2"/>
      <c r="Z87" s="2"/>
      <c r="AA87" s="2"/>
      <c r="AB87" s="2"/>
      <c r="AC87" s="2"/>
      <c r="AD87" s="2"/>
    </row>
    <row r="88" spans="1:30" ht="12.5" x14ac:dyDescent="0.25">
      <c r="A88" s="2"/>
      <c r="B88" s="2"/>
      <c r="C88" s="11"/>
      <c r="D88" s="337"/>
      <c r="E88" s="277"/>
      <c r="F88" s="277"/>
      <c r="G88" s="277"/>
      <c r="H88" s="277"/>
      <c r="I88" s="338"/>
      <c r="J88" s="111"/>
      <c r="K88" s="316"/>
      <c r="L88" s="232"/>
      <c r="M88" s="316"/>
      <c r="N88" s="232"/>
      <c r="O88" s="317"/>
      <c r="P88" s="232"/>
      <c r="Q88" s="274"/>
      <c r="R88" s="245"/>
      <c r="S88" s="245"/>
      <c r="T88" s="245"/>
      <c r="U88" s="245"/>
      <c r="V88" s="246"/>
      <c r="W88" s="30"/>
      <c r="X88" s="2"/>
      <c r="Y88" s="2"/>
      <c r="Z88" s="2"/>
      <c r="AA88" s="2"/>
      <c r="AB88" s="2"/>
      <c r="AC88" s="2"/>
      <c r="AD88" s="2"/>
    </row>
    <row r="89" spans="1:30" ht="12.5" x14ac:dyDescent="0.25">
      <c r="A89" s="2"/>
      <c r="B89" s="2"/>
      <c r="C89" s="11"/>
      <c r="D89" s="93"/>
      <c r="E89" s="2"/>
      <c r="F89" s="2"/>
      <c r="G89" s="2"/>
      <c r="H89" s="2"/>
      <c r="I89" s="2"/>
      <c r="J89" s="3"/>
      <c r="K89" s="314"/>
      <c r="L89" s="142"/>
      <c r="M89" s="314"/>
      <c r="N89" s="142"/>
      <c r="O89" s="320"/>
      <c r="P89" s="236"/>
      <c r="Q89" s="318"/>
      <c r="R89" s="245"/>
      <c r="S89" s="245"/>
      <c r="T89" s="245"/>
      <c r="U89" s="245"/>
      <c r="V89" s="246"/>
      <c r="W89" s="30"/>
      <c r="X89" s="2"/>
      <c r="Y89" s="2"/>
      <c r="Z89" s="2"/>
      <c r="AA89" s="2"/>
      <c r="AB89" s="2"/>
      <c r="AC89" s="2"/>
      <c r="AD89" s="2"/>
    </row>
    <row r="90" spans="1:30" ht="12.5" x14ac:dyDescent="0.25">
      <c r="A90" s="2"/>
      <c r="B90" s="2"/>
      <c r="C90" s="11"/>
      <c r="D90" s="337"/>
      <c r="E90" s="277"/>
      <c r="F90" s="277"/>
      <c r="G90" s="277"/>
      <c r="H90" s="277"/>
      <c r="I90" s="338"/>
      <c r="J90" s="111"/>
      <c r="K90" s="316"/>
      <c r="L90" s="232"/>
      <c r="M90" s="316"/>
      <c r="N90" s="232"/>
      <c r="O90" s="317"/>
      <c r="P90" s="232"/>
      <c r="Q90" s="274"/>
      <c r="R90" s="245"/>
      <c r="S90" s="245"/>
      <c r="T90" s="245"/>
      <c r="U90" s="245"/>
      <c r="V90" s="246"/>
      <c r="W90" s="30"/>
      <c r="X90" s="2"/>
      <c r="Y90" s="2"/>
      <c r="Z90" s="2"/>
      <c r="AA90" s="2"/>
      <c r="AB90" s="2"/>
      <c r="AC90" s="2"/>
      <c r="AD90" s="2"/>
    </row>
    <row r="91" spans="1:30" ht="12.5" x14ac:dyDescent="0.25">
      <c r="A91" s="2"/>
      <c r="B91" s="2"/>
      <c r="C91" s="11"/>
      <c r="D91" s="93"/>
      <c r="E91" s="2"/>
      <c r="F91" s="2"/>
      <c r="G91" s="2"/>
      <c r="H91" s="2"/>
      <c r="I91" s="2"/>
      <c r="J91" s="3"/>
      <c r="K91" s="314"/>
      <c r="L91" s="142"/>
      <c r="M91" s="314"/>
      <c r="N91" s="142"/>
      <c r="O91" s="320"/>
      <c r="P91" s="236"/>
      <c r="Q91" s="318"/>
      <c r="R91" s="245"/>
      <c r="S91" s="245"/>
      <c r="T91" s="245"/>
      <c r="U91" s="245"/>
      <c r="V91" s="246"/>
      <c r="W91" s="30"/>
      <c r="X91" s="2"/>
      <c r="Y91" s="2"/>
      <c r="Z91" s="2"/>
      <c r="AA91" s="2"/>
      <c r="AB91" s="2"/>
      <c r="AC91" s="2"/>
      <c r="AD91" s="2"/>
    </row>
    <row r="92" spans="1:30" ht="12.5" x14ac:dyDescent="0.25">
      <c r="A92" s="2"/>
      <c r="B92" s="2"/>
      <c r="C92" s="11"/>
      <c r="D92" s="337"/>
      <c r="E92" s="277"/>
      <c r="F92" s="277"/>
      <c r="G92" s="277"/>
      <c r="H92" s="277"/>
      <c r="I92" s="338"/>
      <c r="J92" s="111"/>
      <c r="K92" s="316"/>
      <c r="L92" s="232"/>
      <c r="M92" s="316"/>
      <c r="N92" s="232"/>
      <c r="O92" s="317"/>
      <c r="P92" s="232"/>
      <c r="Q92" s="274"/>
      <c r="R92" s="245"/>
      <c r="S92" s="245"/>
      <c r="T92" s="245"/>
      <c r="U92" s="245"/>
      <c r="V92" s="246"/>
      <c r="W92" s="30"/>
      <c r="X92" s="2"/>
      <c r="Y92" s="2"/>
      <c r="Z92" s="2"/>
      <c r="AA92" s="2"/>
      <c r="AB92" s="2"/>
      <c r="AC92" s="2"/>
      <c r="AD92" s="2"/>
    </row>
    <row r="93" spans="1:30" ht="12.5" x14ac:dyDescent="0.25">
      <c r="A93" s="2"/>
      <c r="B93" s="2"/>
      <c r="C93" s="11"/>
      <c r="D93" s="93"/>
      <c r="E93" s="2"/>
      <c r="F93" s="2"/>
      <c r="G93" s="2"/>
      <c r="H93" s="2"/>
      <c r="I93" s="2"/>
      <c r="J93" s="3"/>
      <c r="K93" s="314"/>
      <c r="L93" s="142"/>
      <c r="M93" s="314"/>
      <c r="N93" s="142"/>
      <c r="O93" s="320"/>
      <c r="P93" s="236"/>
      <c r="Q93" s="318"/>
      <c r="R93" s="245"/>
      <c r="S93" s="245"/>
      <c r="T93" s="245"/>
      <c r="U93" s="245"/>
      <c r="V93" s="246"/>
      <c r="W93" s="30"/>
      <c r="X93" s="2"/>
      <c r="Y93" s="2"/>
      <c r="Z93" s="2"/>
      <c r="AA93" s="2"/>
      <c r="AB93" s="2"/>
      <c r="AC93" s="2"/>
      <c r="AD93" s="2"/>
    </row>
    <row r="94" spans="1:30" ht="12.5" x14ac:dyDescent="0.25">
      <c r="A94" s="2"/>
      <c r="B94" s="2"/>
      <c r="C94" s="11"/>
      <c r="D94" s="337"/>
      <c r="E94" s="277"/>
      <c r="F94" s="277"/>
      <c r="G94" s="277"/>
      <c r="H94" s="277"/>
      <c r="I94" s="338"/>
      <c r="J94" s="111"/>
      <c r="K94" s="316"/>
      <c r="L94" s="232"/>
      <c r="M94" s="316"/>
      <c r="N94" s="232"/>
      <c r="O94" s="317"/>
      <c r="P94" s="232"/>
      <c r="Q94" s="274"/>
      <c r="R94" s="245"/>
      <c r="S94" s="245"/>
      <c r="T94" s="245"/>
      <c r="U94" s="245"/>
      <c r="V94" s="246"/>
      <c r="W94" s="30"/>
      <c r="X94" s="2"/>
      <c r="Y94" s="2"/>
      <c r="Z94" s="2"/>
      <c r="AA94" s="2"/>
      <c r="AB94" s="2"/>
      <c r="AC94" s="2"/>
      <c r="AD94" s="2"/>
    </row>
    <row r="95" spans="1:30" ht="12.5" x14ac:dyDescent="0.25">
      <c r="A95" s="2"/>
      <c r="B95" s="2"/>
      <c r="C95" s="11"/>
      <c r="D95" s="93"/>
      <c r="E95" s="2"/>
      <c r="F95" s="2"/>
      <c r="G95" s="2"/>
      <c r="H95" s="2"/>
      <c r="I95" s="2"/>
      <c r="J95" s="3"/>
      <c r="K95" s="314"/>
      <c r="L95" s="142"/>
      <c r="M95" s="314"/>
      <c r="N95" s="142"/>
      <c r="O95" s="320"/>
      <c r="P95" s="236"/>
      <c r="Q95" s="318"/>
      <c r="R95" s="245"/>
      <c r="S95" s="245"/>
      <c r="T95" s="245"/>
      <c r="U95" s="245"/>
      <c r="V95" s="246"/>
      <c r="W95" s="30"/>
      <c r="X95" s="2"/>
      <c r="Y95" s="2"/>
      <c r="Z95" s="2"/>
      <c r="AA95" s="2"/>
      <c r="AB95" s="2"/>
      <c r="AC95" s="2"/>
      <c r="AD95" s="2"/>
    </row>
    <row r="96" spans="1:30" ht="12.5" x14ac:dyDescent="0.25">
      <c r="A96" s="2"/>
      <c r="B96" s="2"/>
      <c r="C96" s="11"/>
      <c r="D96" s="337"/>
      <c r="E96" s="277"/>
      <c r="F96" s="277"/>
      <c r="G96" s="277"/>
      <c r="H96" s="277"/>
      <c r="I96" s="338"/>
      <c r="J96" s="111"/>
      <c r="K96" s="316"/>
      <c r="L96" s="232"/>
      <c r="M96" s="316"/>
      <c r="N96" s="232"/>
      <c r="O96" s="317"/>
      <c r="P96" s="232"/>
      <c r="Q96" s="274"/>
      <c r="R96" s="245"/>
      <c r="S96" s="245"/>
      <c r="T96" s="245"/>
      <c r="U96" s="245"/>
      <c r="V96" s="246"/>
      <c r="W96" s="30"/>
      <c r="X96" s="2"/>
      <c r="Y96" s="2"/>
      <c r="Z96" s="2"/>
      <c r="AA96" s="2"/>
      <c r="AB96" s="2"/>
      <c r="AC96" s="2"/>
      <c r="AD96" s="2"/>
    </row>
    <row r="97" spans="1:30" ht="12.5" x14ac:dyDescent="0.25">
      <c r="A97" s="2"/>
      <c r="B97" s="2"/>
      <c r="C97" s="11"/>
      <c r="D97" s="93"/>
      <c r="E97" s="2"/>
      <c r="F97" s="2"/>
      <c r="G97" s="2"/>
      <c r="H97" s="2"/>
      <c r="I97" s="2"/>
      <c r="J97" s="3"/>
      <c r="K97" s="314"/>
      <c r="L97" s="142"/>
      <c r="M97" s="314"/>
      <c r="N97" s="142"/>
      <c r="O97" s="320"/>
      <c r="P97" s="236"/>
      <c r="Q97" s="318"/>
      <c r="R97" s="245"/>
      <c r="S97" s="245"/>
      <c r="T97" s="245"/>
      <c r="U97" s="245"/>
      <c r="V97" s="246"/>
      <c r="W97" s="30"/>
      <c r="X97" s="2"/>
      <c r="Y97" s="2"/>
      <c r="Z97" s="2"/>
      <c r="AA97" s="2"/>
      <c r="AB97" s="2"/>
      <c r="AC97" s="2"/>
      <c r="AD97" s="2"/>
    </row>
    <row r="98" spans="1:30" ht="12.5" x14ac:dyDescent="0.25">
      <c r="A98" s="2"/>
      <c r="B98" s="2"/>
      <c r="C98" s="11"/>
      <c r="D98" s="337"/>
      <c r="E98" s="277"/>
      <c r="F98" s="277"/>
      <c r="G98" s="277"/>
      <c r="H98" s="277"/>
      <c r="I98" s="338"/>
      <c r="J98" s="111"/>
      <c r="K98" s="316"/>
      <c r="L98" s="232"/>
      <c r="M98" s="316"/>
      <c r="N98" s="232"/>
      <c r="O98" s="317"/>
      <c r="P98" s="232"/>
      <c r="Q98" s="274"/>
      <c r="R98" s="245"/>
      <c r="S98" s="245"/>
      <c r="T98" s="245"/>
      <c r="U98" s="245"/>
      <c r="V98" s="246"/>
      <c r="W98" s="30"/>
      <c r="X98" s="2"/>
      <c r="Y98" s="2"/>
      <c r="Z98" s="2"/>
      <c r="AA98" s="2"/>
      <c r="AB98" s="2"/>
      <c r="AC98" s="2"/>
      <c r="AD98" s="2"/>
    </row>
    <row r="99" spans="1:30" ht="12.5" x14ac:dyDescent="0.25">
      <c r="A99" s="2"/>
      <c r="B99" s="2"/>
      <c r="C99" s="11"/>
      <c r="D99" s="93"/>
      <c r="E99" s="2"/>
      <c r="F99" s="2"/>
      <c r="G99" s="2"/>
      <c r="H99" s="2"/>
      <c r="I99" s="2"/>
      <c r="J99" s="3"/>
      <c r="K99" s="314"/>
      <c r="L99" s="142"/>
      <c r="M99" s="314"/>
      <c r="N99" s="142"/>
      <c r="O99" s="320"/>
      <c r="P99" s="236"/>
      <c r="Q99" s="318"/>
      <c r="R99" s="245"/>
      <c r="S99" s="245"/>
      <c r="T99" s="245"/>
      <c r="U99" s="245"/>
      <c r="V99" s="246"/>
      <c r="W99" s="30"/>
      <c r="X99" s="2"/>
      <c r="Y99" s="2"/>
      <c r="Z99" s="2"/>
      <c r="AA99" s="2"/>
      <c r="AB99" s="2"/>
      <c r="AC99" s="2"/>
      <c r="AD99" s="2"/>
    </row>
    <row r="100" spans="1:30" ht="12.5" x14ac:dyDescent="0.25">
      <c r="A100" s="2"/>
      <c r="B100" s="2"/>
      <c r="C100" s="11"/>
      <c r="D100" s="337"/>
      <c r="E100" s="277"/>
      <c r="F100" s="277"/>
      <c r="G100" s="277"/>
      <c r="H100" s="277"/>
      <c r="I100" s="338"/>
      <c r="J100" s="111"/>
      <c r="K100" s="316"/>
      <c r="L100" s="232"/>
      <c r="M100" s="316"/>
      <c r="N100" s="232"/>
      <c r="O100" s="317"/>
      <c r="P100" s="232"/>
      <c r="Q100" s="274"/>
      <c r="R100" s="245"/>
      <c r="S100" s="245"/>
      <c r="T100" s="245"/>
      <c r="U100" s="245"/>
      <c r="V100" s="246"/>
      <c r="W100" s="30"/>
      <c r="X100" s="2"/>
      <c r="Y100" s="2"/>
      <c r="Z100" s="2"/>
      <c r="AA100" s="2"/>
      <c r="AB100" s="2"/>
      <c r="AC100" s="2"/>
      <c r="AD100" s="2"/>
    </row>
    <row r="101" spans="1:30" ht="12.5" x14ac:dyDescent="0.25">
      <c r="A101" s="2"/>
      <c r="B101" s="2"/>
      <c r="C101" s="11"/>
      <c r="D101" s="93"/>
      <c r="E101" s="2"/>
      <c r="F101" s="2"/>
      <c r="G101" s="2"/>
      <c r="H101" s="2"/>
      <c r="I101" s="2"/>
      <c r="J101" s="3"/>
      <c r="K101" s="314"/>
      <c r="L101" s="142"/>
      <c r="M101" s="314"/>
      <c r="N101" s="142"/>
      <c r="O101" s="320"/>
      <c r="P101" s="236"/>
      <c r="Q101" s="318"/>
      <c r="R101" s="245"/>
      <c r="S101" s="245"/>
      <c r="T101" s="245"/>
      <c r="U101" s="245"/>
      <c r="V101" s="246"/>
      <c r="W101" s="30"/>
      <c r="X101" s="2"/>
      <c r="Y101" s="2"/>
      <c r="Z101" s="2"/>
      <c r="AA101" s="2"/>
      <c r="AB101" s="2"/>
      <c r="AC101" s="2"/>
      <c r="AD101" s="2"/>
    </row>
    <row r="102" spans="1:30" ht="12.5" x14ac:dyDescent="0.25">
      <c r="A102" s="2"/>
      <c r="B102" s="2"/>
      <c r="C102" s="11"/>
      <c r="D102" s="337"/>
      <c r="E102" s="277"/>
      <c r="F102" s="277"/>
      <c r="G102" s="277"/>
      <c r="H102" s="277"/>
      <c r="I102" s="338"/>
      <c r="J102" s="111"/>
      <c r="K102" s="316"/>
      <c r="L102" s="232"/>
      <c r="M102" s="316"/>
      <c r="N102" s="232"/>
      <c r="O102" s="317"/>
      <c r="P102" s="232"/>
      <c r="Q102" s="274"/>
      <c r="R102" s="245"/>
      <c r="S102" s="245"/>
      <c r="T102" s="245"/>
      <c r="U102" s="245"/>
      <c r="V102" s="246"/>
      <c r="W102" s="30"/>
      <c r="X102" s="2"/>
      <c r="Y102" s="2"/>
      <c r="Z102" s="2"/>
      <c r="AA102" s="2"/>
      <c r="AB102" s="2"/>
      <c r="AC102" s="2"/>
      <c r="AD102" s="2"/>
    </row>
    <row r="103" spans="1:30" ht="12.5" x14ac:dyDescent="0.25">
      <c r="A103" s="2"/>
      <c r="B103" s="2"/>
      <c r="C103" s="11"/>
      <c r="D103" s="93"/>
      <c r="E103" s="2"/>
      <c r="F103" s="2"/>
      <c r="G103" s="2"/>
      <c r="H103" s="2"/>
      <c r="I103" s="2"/>
      <c r="J103" s="3"/>
      <c r="K103" s="314"/>
      <c r="L103" s="142"/>
      <c r="M103" s="314"/>
      <c r="N103" s="142"/>
      <c r="O103" s="320"/>
      <c r="P103" s="236"/>
      <c r="Q103" s="318"/>
      <c r="R103" s="245"/>
      <c r="S103" s="245"/>
      <c r="T103" s="245"/>
      <c r="U103" s="245"/>
      <c r="V103" s="246"/>
      <c r="W103" s="30"/>
      <c r="X103" s="2"/>
      <c r="Y103" s="2"/>
      <c r="Z103" s="2"/>
      <c r="AA103" s="2"/>
      <c r="AB103" s="2"/>
      <c r="AC103" s="2"/>
      <c r="AD103" s="2"/>
    </row>
    <row r="104" spans="1:30" ht="12.5" x14ac:dyDescent="0.25">
      <c r="A104" s="2"/>
      <c r="B104" s="2"/>
      <c r="C104" s="11"/>
      <c r="D104" s="337"/>
      <c r="E104" s="277"/>
      <c r="F104" s="277"/>
      <c r="G104" s="277"/>
      <c r="H104" s="277"/>
      <c r="I104" s="338"/>
      <c r="J104" s="111"/>
      <c r="K104" s="316"/>
      <c r="L104" s="232"/>
      <c r="M104" s="316"/>
      <c r="N104" s="232"/>
      <c r="O104" s="317"/>
      <c r="P104" s="232"/>
      <c r="Q104" s="274"/>
      <c r="R104" s="245"/>
      <c r="S104" s="245"/>
      <c r="T104" s="245"/>
      <c r="U104" s="245"/>
      <c r="V104" s="246"/>
      <c r="W104" s="30"/>
      <c r="X104" s="2"/>
      <c r="Y104" s="2"/>
      <c r="Z104" s="2"/>
      <c r="AA104" s="2"/>
      <c r="AB104" s="2"/>
      <c r="AC104" s="2"/>
      <c r="AD104" s="2"/>
    </row>
    <row r="105" spans="1:30" ht="12.5" x14ac:dyDescent="0.25">
      <c r="A105" s="2"/>
      <c r="B105" s="2"/>
      <c r="C105" s="11"/>
      <c r="D105" s="93"/>
      <c r="E105" s="2"/>
      <c r="F105" s="2"/>
      <c r="G105" s="2"/>
      <c r="H105" s="2"/>
      <c r="I105" s="2"/>
      <c r="J105" s="3"/>
      <c r="K105" s="314"/>
      <c r="L105" s="142"/>
      <c r="M105" s="314"/>
      <c r="N105" s="142"/>
      <c r="O105" s="320"/>
      <c r="P105" s="236"/>
      <c r="Q105" s="318"/>
      <c r="R105" s="245"/>
      <c r="S105" s="245"/>
      <c r="T105" s="245"/>
      <c r="U105" s="245"/>
      <c r="V105" s="246"/>
      <c r="W105" s="30"/>
      <c r="X105" s="2"/>
      <c r="Y105" s="2"/>
      <c r="Z105" s="2"/>
      <c r="AA105" s="2"/>
      <c r="AB105" s="2"/>
      <c r="AC105" s="2"/>
      <c r="AD105" s="2"/>
    </row>
    <row r="106" spans="1:30" ht="12.5" x14ac:dyDescent="0.25">
      <c r="A106" s="2"/>
      <c r="B106" s="2"/>
      <c r="C106" s="11"/>
      <c r="D106" s="337"/>
      <c r="E106" s="277"/>
      <c r="F106" s="277"/>
      <c r="G106" s="277"/>
      <c r="H106" s="277"/>
      <c r="I106" s="338"/>
      <c r="J106" s="111"/>
      <c r="K106" s="316"/>
      <c r="L106" s="232"/>
      <c r="M106" s="316"/>
      <c r="N106" s="232"/>
      <c r="O106" s="317"/>
      <c r="P106" s="232"/>
      <c r="Q106" s="274"/>
      <c r="R106" s="245"/>
      <c r="S106" s="245"/>
      <c r="T106" s="245"/>
      <c r="U106" s="245"/>
      <c r="V106" s="246"/>
      <c r="W106" s="30"/>
      <c r="X106" s="2"/>
      <c r="Y106" s="2"/>
      <c r="Z106" s="2"/>
      <c r="AA106" s="2"/>
      <c r="AB106" s="2"/>
      <c r="AC106" s="2"/>
      <c r="AD106" s="2"/>
    </row>
    <row r="107" spans="1:30" ht="12.5" x14ac:dyDescent="0.25">
      <c r="A107" s="2"/>
      <c r="B107" s="2"/>
      <c r="C107" s="11"/>
      <c r="D107" s="93"/>
      <c r="E107" s="2"/>
      <c r="F107" s="2"/>
      <c r="G107" s="2"/>
      <c r="H107" s="2"/>
      <c r="I107" s="2"/>
      <c r="J107" s="3"/>
      <c r="K107" s="314"/>
      <c r="L107" s="142"/>
      <c r="M107" s="314"/>
      <c r="N107" s="142"/>
      <c r="O107" s="320"/>
      <c r="P107" s="236"/>
      <c r="Q107" s="318"/>
      <c r="R107" s="245"/>
      <c r="S107" s="245"/>
      <c r="T107" s="245"/>
      <c r="U107" s="245"/>
      <c r="V107" s="246"/>
      <c r="W107" s="30"/>
      <c r="X107" s="2"/>
      <c r="Y107" s="2"/>
      <c r="Z107" s="2"/>
      <c r="AA107" s="2"/>
      <c r="AB107" s="2"/>
      <c r="AC107" s="2"/>
      <c r="AD107" s="2"/>
    </row>
    <row r="108" spans="1:30" ht="12.5" x14ac:dyDescent="0.25">
      <c r="A108" s="2"/>
      <c r="B108" s="2"/>
      <c r="C108" s="11"/>
      <c r="D108" s="337"/>
      <c r="E108" s="277"/>
      <c r="F108" s="277"/>
      <c r="G108" s="277"/>
      <c r="H108" s="277"/>
      <c r="I108" s="338"/>
      <c r="J108" s="111"/>
      <c r="K108" s="316"/>
      <c r="L108" s="232"/>
      <c r="M108" s="316"/>
      <c r="N108" s="232"/>
      <c r="O108" s="317"/>
      <c r="P108" s="232"/>
      <c r="Q108" s="274"/>
      <c r="R108" s="245"/>
      <c r="S108" s="245"/>
      <c r="T108" s="245"/>
      <c r="U108" s="245"/>
      <c r="V108" s="246"/>
      <c r="W108" s="30"/>
      <c r="X108" s="2"/>
      <c r="Y108" s="2"/>
      <c r="Z108" s="2"/>
      <c r="AA108" s="2"/>
      <c r="AB108" s="2"/>
      <c r="AC108" s="2"/>
      <c r="AD108" s="2"/>
    </row>
    <row r="109" spans="1:30" ht="12.5" x14ac:dyDescent="0.25">
      <c r="A109" s="2"/>
      <c r="B109" s="2"/>
      <c r="C109" s="11"/>
      <c r="D109" s="93"/>
      <c r="E109" s="2"/>
      <c r="F109" s="2"/>
      <c r="G109" s="2"/>
      <c r="H109" s="2"/>
      <c r="I109" s="2"/>
      <c r="J109" s="3"/>
      <c r="K109" s="314"/>
      <c r="L109" s="142"/>
      <c r="M109" s="314"/>
      <c r="N109" s="142"/>
      <c r="O109" s="320"/>
      <c r="P109" s="236"/>
      <c r="Q109" s="318"/>
      <c r="R109" s="245"/>
      <c r="S109" s="245"/>
      <c r="T109" s="245"/>
      <c r="U109" s="245"/>
      <c r="V109" s="246"/>
      <c r="W109" s="30"/>
      <c r="X109" s="2"/>
      <c r="Y109" s="2"/>
      <c r="Z109" s="2"/>
      <c r="AA109" s="2"/>
      <c r="AB109" s="2"/>
      <c r="AC109" s="2"/>
      <c r="AD109" s="2"/>
    </row>
    <row r="110" spans="1:30" ht="12.5" x14ac:dyDescent="0.25">
      <c r="A110" s="2"/>
      <c r="B110" s="2"/>
      <c r="C110" s="11"/>
      <c r="D110" s="337"/>
      <c r="E110" s="277"/>
      <c r="F110" s="277"/>
      <c r="G110" s="277"/>
      <c r="H110" s="277"/>
      <c r="I110" s="338"/>
      <c r="J110" s="111"/>
      <c r="K110" s="316"/>
      <c r="L110" s="232"/>
      <c r="M110" s="316"/>
      <c r="N110" s="232"/>
      <c r="O110" s="317"/>
      <c r="P110" s="232"/>
      <c r="Q110" s="274"/>
      <c r="R110" s="245"/>
      <c r="S110" s="245"/>
      <c r="T110" s="245"/>
      <c r="U110" s="245"/>
      <c r="V110" s="246"/>
      <c r="W110" s="30"/>
      <c r="X110" s="2"/>
      <c r="Y110" s="2"/>
      <c r="Z110" s="2"/>
      <c r="AA110" s="2"/>
      <c r="AB110" s="2"/>
      <c r="AC110" s="2"/>
      <c r="AD110" s="2"/>
    </row>
    <row r="111" spans="1:30" ht="12.5" x14ac:dyDescent="0.25">
      <c r="A111" s="2"/>
      <c r="B111" s="2"/>
      <c r="C111" s="11"/>
      <c r="D111" s="93"/>
      <c r="E111" s="2"/>
      <c r="F111" s="2"/>
      <c r="G111" s="2"/>
      <c r="H111" s="2"/>
      <c r="I111" s="2"/>
      <c r="J111" s="3"/>
      <c r="K111" s="314"/>
      <c r="L111" s="142"/>
      <c r="M111" s="314"/>
      <c r="N111" s="142"/>
      <c r="O111" s="320"/>
      <c r="P111" s="236"/>
      <c r="Q111" s="318"/>
      <c r="R111" s="245"/>
      <c r="S111" s="245"/>
      <c r="T111" s="245"/>
      <c r="U111" s="245"/>
      <c r="V111" s="246"/>
      <c r="W111" s="30"/>
      <c r="X111" s="2"/>
      <c r="Y111" s="2"/>
      <c r="Z111" s="2"/>
      <c r="AA111" s="2"/>
      <c r="AB111" s="2"/>
      <c r="AC111" s="2"/>
      <c r="AD111" s="2"/>
    </row>
    <row r="112" spans="1:30" ht="12.5" x14ac:dyDescent="0.25">
      <c r="A112" s="2"/>
      <c r="B112" s="2"/>
      <c r="C112" s="11"/>
      <c r="D112" s="337"/>
      <c r="E112" s="277"/>
      <c r="F112" s="277"/>
      <c r="G112" s="277"/>
      <c r="H112" s="277"/>
      <c r="I112" s="338"/>
      <c r="J112" s="111"/>
      <c r="K112" s="316"/>
      <c r="L112" s="232"/>
      <c r="M112" s="316"/>
      <c r="N112" s="232"/>
      <c r="O112" s="317"/>
      <c r="P112" s="232"/>
      <c r="Q112" s="274"/>
      <c r="R112" s="245"/>
      <c r="S112" s="245"/>
      <c r="T112" s="245"/>
      <c r="U112" s="245"/>
      <c r="V112" s="246"/>
      <c r="W112" s="30"/>
      <c r="X112" s="2"/>
      <c r="Y112" s="2"/>
      <c r="Z112" s="2"/>
      <c r="AA112" s="2"/>
      <c r="AB112" s="2"/>
      <c r="AC112" s="2"/>
      <c r="AD112" s="2"/>
    </row>
    <row r="113" spans="1:30" ht="12.5" x14ac:dyDescent="0.25">
      <c r="A113" s="2"/>
      <c r="B113" s="2"/>
      <c r="C113" s="11"/>
      <c r="D113" s="93"/>
      <c r="E113" s="2"/>
      <c r="F113" s="2"/>
      <c r="G113" s="2"/>
      <c r="H113" s="2"/>
      <c r="I113" s="2"/>
      <c r="J113" s="3"/>
      <c r="K113" s="314"/>
      <c r="L113" s="142"/>
      <c r="M113" s="314"/>
      <c r="N113" s="142"/>
      <c r="O113" s="320"/>
      <c r="P113" s="236"/>
      <c r="Q113" s="318"/>
      <c r="R113" s="245"/>
      <c r="S113" s="245"/>
      <c r="T113" s="245"/>
      <c r="U113" s="245"/>
      <c r="V113" s="246"/>
      <c r="W113" s="30"/>
      <c r="X113" s="2"/>
      <c r="Y113" s="2"/>
      <c r="Z113" s="2"/>
      <c r="AA113" s="2"/>
      <c r="AB113" s="2"/>
      <c r="AC113" s="2"/>
      <c r="AD113" s="2"/>
    </row>
    <row r="114" spans="1:30" ht="12.5" x14ac:dyDescent="0.25">
      <c r="A114" s="2"/>
      <c r="B114" s="2"/>
      <c r="C114" s="11"/>
      <c r="D114" s="337"/>
      <c r="E114" s="277"/>
      <c r="F114" s="277"/>
      <c r="G114" s="277"/>
      <c r="H114" s="277"/>
      <c r="I114" s="338"/>
      <c r="J114" s="111"/>
      <c r="K114" s="316"/>
      <c r="L114" s="232"/>
      <c r="M114" s="316"/>
      <c r="N114" s="232"/>
      <c r="O114" s="317"/>
      <c r="P114" s="232"/>
      <c r="Q114" s="274"/>
      <c r="R114" s="245"/>
      <c r="S114" s="245"/>
      <c r="T114" s="245"/>
      <c r="U114" s="245"/>
      <c r="V114" s="246"/>
      <c r="W114" s="30"/>
      <c r="X114" s="2"/>
      <c r="Y114" s="2"/>
      <c r="Z114" s="2"/>
      <c r="AA114" s="2"/>
      <c r="AB114" s="2"/>
      <c r="AC114" s="2"/>
      <c r="AD114" s="2"/>
    </row>
    <row r="115" spans="1:30" ht="12.5" x14ac:dyDescent="0.25">
      <c r="A115" s="2"/>
      <c r="B115" s="2"/>
      <c r="C115" s="11"/>
      <c r="D115" s="93"/>
      <c r="E115" s="2"/>
      <c r="F115" s="2"/>
      <c r="G115" s="2"/>
      <c r="H115" s="2"/>
      <c r="I115" s="2"/>
      <c r="J115" s="3"/>
      <c r="K115" s="314"/>
      <c r="L115" s="142"/>
      <c r="M115" s="314"/>
      <c r="N115" s="142"/>
      <c r="O115" s="320"/>
      <c r="P115" s="236"/>
      <c r="Q115" s="318"/>
      <c r="R115" s="245"/>
      <c r="S115" s="245"/>
      <c r="T115" s="245"/>
      <c r="U115" s="245"/>
      <c r="V115" s="246"/>
      <c r="W115" s="30"/>
      <c r="X115" s="2"/>
      <c r="Y115" s="2"/>
      <c r="Z115" s="2"/>
      <c r="AA115" s="2"/>
      <c r="AB115" s="2"/>
      <c r="AC115" s="2"/>
      <c r="AD115" s="2"/>
    </row>
    <row r="116" spans="1:30" ht="12.5" x14ac:dyDescent="0.25">
      <c r="A116" s="2"/>
      <c r="B116" s="2"/>
      <c r="C116" s="11"/>
      <c r="D116" s="337"/>
      <c r="E116" s="277"/>
      <c r="F116" s="277"/>
      <c r="G116" s="277"/>
      <c r="H116" s="277"/>
      <c r="I116" s="338"/>
      <c r="J116" s="111"/>
      <c r="K116" s="316"/>
      <c r="L116" s="232"/>
      <c r="M116" s="316"/>
      <c r="N116" s="232"/>
      <c r="O116" s="317"/>
      <c r="P116" s="232"/>
      <c r="Q116" s="274"/>
      <c r="R116" s="245"/>
      <c r="S116" s="245"/>
      <c r="T116" s="245"/>
      <c r="U116" s="245"/>
      <c r="V116" s="246"/>
      <c r="W116" s="30"/>
      <c r="X116" s="2"/>
      <c r="Y116" s="2"/>
      <c r="Z116" s="2"/>
      <c r="AA116" s="2"/>
      <c r="AB116" s="2"/>
      <c r="AC116" s="2"/>
      <c r="AD116" s="2"/>
    </row>
    <row r="117" spans="1:30" ht="12.5" x14ac:dyDescent="0.25">
      <c r="A117" s="2"/>
      <c r="B117" s="2"/>
      <c r="C117" s="11"/>
      <c r="D117" s="93"/>
      <c r="E117" s="2"/>
      <c r="F117" s="2"/>
      <c r="G117" s="2"/>
      <c r="H117" s="2"/>
      <c r="I117" s="2"/>
      <c r="J117" s="3"/>
      <c r="K117" s="314"/>
      <c r="L117" s="142"/>
      <c r="M117" s="314"/>
      <c r="N117" s="142"/>
      <c r="O117" s="320"/>
      <c r="P117" s="236"/>
      <c r="Q117" s="318"/>
      <c r="R117" s="245"/>
      <c r="S117" s="245"/>
      <c r="T117" s="245"/>
      <c r="U117" s="245"/>
      <c r="V117" s="246"/>
      <c r="W117" s="30"/>
      <c r="X117" s="2"/>
      <c r="Y117" s="2"/>
      <c r="Z117" s="2"/>
      <c r="AA117" s="2"/>
      <c r="AB117" s="2"/>
      <c r="AC117" s="2"/>
      <c r="AD117" s="2"/>
    </row>
    <row r="118" spans="1:30" ht="12.5" x14ac:dyDescent="0.25">
      <c r="A118" s="2"/>
      <c r="B118" s="2"/>
      <c r="C118" s="11"/>
      <c r="D118" s="337"/>
      <c r="E118" s="277"/>
      <c r="F118" s="277"/>
      <c r="G118" s="277"/>
      <c r="H118" s="277"/>
      <c r="I118" s="338"/>
      <c r="J118" s="111"/>
      <c r="K118" s="316"/>
      <c r="L118" s="232"/>
      <c r="M118" s="316"/>
      <c r="N118" s="232"/>
      <c r="O118" s="317"/>
      <c r="P118" s="232"/>
      <c r="Q118" s="274"/>
      <c r="R118" s="245"/>
      <c r="S118" s="245"/>
      <c r="T118" s="245"/>
      <c r="U118" s="245"/>
      <c r="V118" s="246"/>
      <c r="W118" s="30"/>
      <c r="X118" s="2"/>
      <c r="Y118" s="2"/>
      <c r="Z118" s="2"/>
      <c r="AA118" s="2"/>
      <c r="AB118" s="2"/>
      <c r="AC118" s="2"/>
      <c r="AD118" s="2"/>
    </row>
    <row r="119" spans="1:30" ht="12.5" x14ac:dyDescent="0.25">
      <c r="A119" s="2"/>
      <c r="B119" s="2"/>
      <c r="C119" s="11"/>
      <c r="D119" s="112"/>
      <c r="E119" s="28"/>
      <c r="F119" s="28"/>
      <c r="G119" s="28"/>
      <c r="H119" s="28"/>
      <c r="I119" s="28"/>
      <c r="J119" s="5"/>
      <c r="K119" s="339"/>
      <c r="L119" s="198"/>
      <c r="M119" s="339"/>
      <c r="N119" s="198"/>
      <c r="O119" s="320"/>
      <c r="P119" s="236"/>
      <c r="Q119" s="322"/>
      <c r="R119" s="194"/>
      <c r="S119" s="194"/>
      <c r="T119" s="194"/>
      <c r="U119" s="194"/>
      <c r="V119" s="323"/>
      <c r="W119" s="30"/>
      <c r="X119" s="2"/>
      <c r="Y119" s="2"/>
      <c r="Z119" s="2"/>
      <c r="AA119" s="2"/>
      <c r="AB119" s="2"/>
      <c r="AC119" s="2"/>
      <c r="AD119" s="2"/>
    </row>
    <row r="120" spans="1:30" ht="13" x14ac:dyDescent="0.3">
      <c r="A120" s="2"/>
      <c r="B120" s="2"/>
      <c r="C120" s="11"/>
      <c r="D120" s="335" t="s">
        <v>14</v>
      </c>
      <c r="E120" s="224"/>
      <c r="F120" s="224"/>
      <c r="G120" s="224"/>
      <c r="H120" s="224"/>
      <c r="I120" s="224"/>
      <c r="J120" s="224"/>
      <c r="K120" s="224"/>
      <c r="L120" s="224"/>
      <c r="M120" s="224"/>
      <c r="N120" s="273"/>
      <c r="O120" s="340">
        <f>SUM(O59:P119)</f>
        <v>0</v>
      </c>
      <c r="P120" s="273"/>
      <c r="Q120" s="113"/>
      <c r="R120" s="113"/>
      <c r="S120" s="113"/>
      <c r="T120" s="113"/>
      <c r="U120" s="113"/>
      <c r="V120" s="114"/>
      <c r="W120" s="30"/>
      <c r="X120" s="2"/>
      <c r="Y120" s="2"/>
      <c r="Z120" s="2"/>
      <c r="AA120" s="2"/>
      <c r="AB120" s="2"/>
      <c r="AC120" s="2"/>
      <c r="AD120" s="2"/>
    </row>
    <row r="121" spans="1:30" ht="12.5" x14ac:dyDescent="0.25">
      <c r="A121" s="2"/>
      <c r="B121" s="2"/>
      <c r="C121" s="2"/>
      <c r="D121" s="35"/>
      <c r="E121" s="35"/>
      <c r="F121" s="35"/>
      <c r="G121" s="35"/>
      <c r="H121" s="35"/>
      <c r="I121" s="35"/>
      <c r="J121" s="4"/>
      <c r="K121" s="4"/>
      <c r="L121" s="4"/>
      <c r="M121" s="4"/>
      <c r="N121" s="4"/>
      <c r="O121" s="4"/>
      <c r="P121" s="4"/>
      <c r="Q121" s="35"/>
      <c r="R121" s="35"/>
      <c r="S121" s="35"/>
      <c r="T121" s="35"/>
      <c r="U121" s="35"/>
      <c r="V121" s="35"/>
      <c r="W121" s="2"/>
      <c r="X121" s="2"/>
      <c r="Y121" s="2"/>
      <c r="Z121" s="2"/>
      <c r="AA121" s="2"/>
      <c r="AB121" s="2"/>
      <c r="AC121" s="2"/>
      <c r="AD121" s="2"/>
    </row>
    <row r="122" spans="1:30" ht="12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3"/>
      <c r="K122" s="3"/>
      <c r="L122" s="3"/>
      <c r="M122" s="3"/>
      <c r="N122" s="3"/>
      <c r="O122" s="3"/>
      <c r="P122" s="3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2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3"/>
      <c r="K123" s="3"/>
      <c r="L123" s="3"/>
      <c r="M123" s="3"/>
      <c r="N123" s="3"/>
      <c r="O123" s="3"/>
      <c r="P123" s="3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2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3"/>
      <c r="K124" s="3"/>
      <c r="L124" s="3"/>
      <c r="M124" s="3"/>
      <c r="N124" s="3"/>
      <c r="O124" s="3"/>
      <c r="P124" s="3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2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3"/>
      <c r="K125" s="3"/>
      <c r="L125" s="3"/>
      <c r="M125" s="3"/>
      <c r="N125" s="3"/>
      <c r="O125" s="3"/>
      <c r="P125" s="3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2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3"/>
      <c r="K126" s="3"/>
      <c r="L126" s="3"/>
      <c r="M126" s="3"/>
      <c r="N126" s="3"/>
      <c r="O126" s="3"/>
      <c r="P126" s="3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2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3"/>
      <c r="K127" s="3"/>
      <c r="L127" s="3"/>
      <c r="M127" s="3"/>
      <c r="N127" s="3"/>
      <c r="O127" s="3"/>
      <c r="P127" s="3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2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3"/>
      <c r="K128" s="3"/>
      <c r="L128" s="3"/>
      <c r="M128" s="3"/>
      <c r="N128" s="3"/>
      <c r="O128" s="3"/>
      <c r="P128" s="3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2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3"/>
      <c r="K129" s="3"/>
      <c r="L129" s="3"/>
      <c r="M129" s="3"/>
      <c r="N129" s="3"/>
      <c r="O129" s="3"/>
      <c r="P129" s="3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2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3"/>
      <c r="K130" s="3"/>
      <c r="L130" s="3"/>
      <c r="M130" s="3"/>
      <c r="N130" s="3"/>
      <c r="O130" s="3"/>
      <c r="P130" s="3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2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3"/>
      <c r="K131" s="3"/>
      <c r="L131" s="3"/>
      <c r="M131" s="3"/>
      <c r="N131" s="3"/>
      <c r="O131" s="3"/>
      <c r="P131" s="3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2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3"/>
      <c r="K132" s="3"/>
      <c r="L132" s="3"/>
      <c r="M132" s="3"/>
      <c r="N132" s="3"/>
      <c r="O132" s="3"/>
      <c r="P132" s="3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2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3"/>
      <c r="K133" s="3"/>
      <c r="L133" s="3"/>
      <c r="M133" s="3"/>
      <c r="N133" s="3"/>
      <c r="O133" s="3"/>
      <c r="P133" s="3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2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3"/>
      <c r="K134" s="3"/>
      <c r="L134" s="3"/>
      <c r="M134" s="3"/>
      <c r="N134" s="3"/>
      <c r="O134" s="3"/>
      <c r="P134" s="3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2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3"/>
      <c r="K135" s="3"/>
      <c r="L135" s="3"/>
      <c r="M135" s="3"/>
      <c r="N135" s="3"/>
      <c r="O135" s="3"/>
      <c r="P135" s="3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2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3"/>
      <c r="K136" s="3"/>
      <c r="L136" s="3"/>
      <c r="M136" s="3"/>
      <c r="N136" s="3"/>
      <c r="O136" s="3"/>
      <c r="P136" s="3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2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3"/>
      <c r="K137" s="3"/>
      <c r="L137" s="3"/>
      <c r="M137" s="3"/>
      <c r="N137" s="3"/>
      <c r="O137" s="3"/>
      <c r="P137" s="3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2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3"/>
      <c r="K138" s="3"/>
      <c r="L138" s="3"/>
      <c r="M138" s="3"/>
      <c r="N138" s="3"/>
      <c r="O138" s="3"/>
      <c r="P138" s="3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2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3"/>
      <c r="K139" s="3"/>
      <c r="L139" s="3"/>
      <c r="M139" s="3"/>
      <c r="N139" s="3"/>
      <c r="O139" s="3"/>
      <c r="P139" s="3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2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3"/>
      <c r="K140" s="3"/>
      <c r="L140" s="3"/>
      <c r="M140" s="3"/>
      <c r="N140" s="3"/>
      <c r="O140" s="3"/>
      <c r="P140" s="3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2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3"/>
      <c r="K141" s="3"/>
      <c r="L141" s="3"/>
      <c r="M141" s="3"/>
      <c r="N141" s="3"/>
      <c r="O141" s="3"/>
      <c r="P141" s="3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2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3"/>
      <c r="K142" s="3"/>
      <c r="L142" s="3"/>
      <c r="M142" s="3"/>
      <c r="N142" s="3"/>
      <c r="O142" s="3"/>
      <c r="P142" s="3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2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3"/>
      <c r="K143" s="3"/>
      <c r="L143" s="3"/>
      <c r="M143" s="3"/>
      <c r="N143" s="3"/>
      <c r="O143" s="3"/>
      <c r="P143" s="3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2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3"/>
      <c r="K144" s="3"/>
      <c r="L144" s="3"/>
      <c r="M144" s="3"/>
      <c r="N144" s="3"/>
      <c r="O144" s="3"/>
      <c r="P144" s="3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2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3"/>
      <c r="K145" s="3"/>
      <c r="L145" s="3"/>
      <c r="M145" s="3"/>
      <c r="N145" s="3"/>
      <c r="O145" s="3"/>
      <c r="P145" s="3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2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3"/>
      <c r="K146" s="3"/>
      <c r="L146" s="3"/>
      <c r="M146" s="3"/>
      <c r="N146" s="3"/>
      <c r="O146" s="3"/>
      <c r="P146" s="3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2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3"/>
      <c r="K147" s="3"/>
      <c r="L147" s="3"/>
      <c r="M147" s="3"/>
      <c r="N147" s="3"/>
      <c r="O147" s="3"/>
      <c r="P147" s="3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2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3"/>
      <c r="K148" s="3"/>
      <c r="L148" s="3"/>
      <c r="M148" s="3"/>
      <c r="N148" s="3"/>
      <c r="O148" s="3"/>
      <c r="P148" s="3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2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3"/>
      <c r="K149" s="3"/>
      <c r="L149" s="3"/>
      <c r="M149" s="3"/>
      <c r="N149" s="3"/>
      <c r="O149" s="3"/>
      <c r="P149" s="3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2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3"/>
      <c r="K150" s="3"/>
      <c r="L150" s="3"/>
      <c r="M150" s="3"/>
      <c r="N150" s="3"/>
      <c r="O150" s="3"/>
      <c r="P150" s="3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2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3"/>
      <c r="K151" s="3"/>
      <c r="L151" s="3"/>
      <c r="M151" s="3"/>
      <c r="N151" s="3"/>
      <c r="O151" s="3"/>
      <c r="P151" s="3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2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3"/>
      <c r="K152" s="3"/>
      <c r="L152" s="3"/>
      <c r="M152" s="3"/>
      <c r="N152" s="3"/>
      <c r="O152" s="3"/>
      <c r="P152" s="3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2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3"/>
      <c r="K153" s="3"/>
      <c r="L153" s="3"/>
      <c r="M153" s="3"/>
      <c r="N153" s="3"/>
      <c r="O153" s="3"/>
      <c r="P153" s="3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2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3"/>
      <c r="K154" s="3"/>
      <c r="L154" s="3"/>
      <c r="M154" s="3"/>
      <c r="N154" s="3"/>
      <c r="O154" s="3"/>
      <c r="P154" s="3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2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3"/>
      <c r="K155" s="3"/>
      <c r="L155" s="3"/>
      <c r="M155" s="3"/>
      <c r="N155" s="3"/>
      <c r="O155" s="3"/>
      <c r="P155" s="3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2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3"/>
      <c r="K156" s="3"/>
      <c r="L156" s="3"/>
      <c r="M156" s="3"/>
      <c r="N156" s="3"/>
      <c r="O156" s="3"/>
      <c r="P156" s="3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2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3"/>
      <c r="K157" s="3"/>
      <c r="L157" s="3"/>
      <c r="M157" s="3"/>
      <c r="N157" s="3"/>
      <c r="O157" s="3"/>
      <c r="P157" s="3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2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3"/>
      <c r="K158" s="3"/>
      <c r="L158" s="3"/>
      <c r="M158" s="3"/>
      <c r="N158" s="3"/>
      <c r="O158" s="3"/>
      <c r="P158" s="3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2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3"/>
      <c r="K159" s="3"/>
      <c r="L159" s="3"/>
      <c r="M159" s="3"/>
      <c r="N159" s="3"/>
      <c r="O159" s="3"/>
      <c r="P159" s="3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2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3"/>
      <c r="K160" s="3"/>
      <c r="L160" s="3"/>
      <c r="M160" s="3"/>
      <c r="N160" s="3"/>
      <c r="O160" s="3"/>
      <c r="P160" s="3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2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3"/>
      <c r="K161" s="3"/>
      <c r="L161" s="3"/>
      <c r="M161" s="3"/>
      <c r="N161" s="3"/>
      <c r="O161" s="3"/>
      <c r="P161" s="3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2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3"/>
      <c r="K162" s="3"/>
      <c r="L162" s="3"/>
      <c r="M162" s="3"/>
      <c r="N162" s="3"/>
      <c r="O162" s="3"/>
      <c r="P162" s="3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2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3"/>
      <c r="K163" s="3"/>
      <c r="L163" s="3"/>
      <c r="M163" s="3"/>
      <c r="N163" s="3"/>
      <c r="O163" s="3"/>
      <c r="P163" s="3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2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3"/>
      <c r="K164" s="3"/>
      <c r="L164" s="3"/>
      <c r="M164" s="3"/>
      <c r="N164" s="3"/>
      <c r="O164" s="3"/>
      <c r="P164" s="3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2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3"/>
      <c r="K165" s="3"/>
      <c r="L165" s="3"/>
      <c r="M165" s="3"/>
      <c r="N165" s="3"/>
      <c r="O165" s="3"/>
      <c r="P165" s="3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2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3"/>
      <c r="K166" s="3"/>
      <c r="L166" s="3"/>
      <c r="M166" s="3"/>
      <c r="N166" s="3"/>
      <c r="O166" s="3"/>
      <c r="P166" s="3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2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3"/>
      <c r="K167" s="3"/>
      <c r="L167" s="3"/>
      <c r="M167" s="3"/>
      <c r="N167" s="3"/>
      <c r="O167" s="3"/>
      <c r="P167" s="3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2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3"/>
      <c r="K168" s="3"/>
      <c r="L168" s="3"/>
      <c r="M168" s="3"/>
      <c r="N168" s="3"/>
      <c r="O168" s="3"/>
      <c r="P168" s="3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2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3"/>
      <c r="K169" s="3"/>
      <c r="L169" s="3"/>
      <c r="M169" s="3"/>
      <c r="N169" s="3"/>
      <c r="O169" s="3"/>
      <c r="P169" s="3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2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3"/>
      <c r="K170" s="3"/>
      <c r="L170" s="3"/>
      <c r="M170" s="3"/>
      <c r="N170" s="3"/>
      <c r="O170" s="3"/>
      <c r="P170" s="3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2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3"/>
      <c r="K171" s="3"/>
      <c r="L171" s="3"/>
      <c r="M171" s="3"/>
      <c r="N171" s="3"/>
      <c r="O171" s="3"/>
      <c r="P171" s="3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2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3"/>
      <c r="K172" s="3"/>
      <c r="L172" s="3"/>
      <c r="M172" s="3"/>
      <c r="N172" s="3"/>
      <c r="O172" s="3"/>
      <c r="P172" s="3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2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3"/>
      <c r="K173" s="3"/>
      <c r="L173" s="3"/>
      <c r="M173" s="3"/>
      <c r="N173" s="3"/>
      <c r="O173" s="3"/>
      <c r="P173" s="3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2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3"/>
      <c r="K174" s="3"/>
      <c r="L174" s="3"/>
      <c r="M174" s="3"/>
      <c r="N174" s="3"/>
      <c r="O174" s="3"/>
      <c r="P174" s="3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2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3"/>
      <c r="K175" s="3"/>
      <c r="L175" s="3"/>
      <c r="M175" s="3"/>
      <c r="N175" s="3"/>
      <c r="O175" s="3"/>
      <c r="P175" s="3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2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3"/>
      <c r="K176" s="3"/>
      <c r="L176" s="3"/>
      <c r="M176" s="3"/>
      <c r="N176" s="3"/>
      <c r="O176" s="3"/>
      <c r="P176" s="3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2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3"/>
      <c r="K177" s="3"/>
      <c r="L177" s="3"/>
      <c r="M177" s="3"/>
      <c r="N177" s="3"/>
      <c r="O177" s="3"/>
      <c r="P177" s="3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2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3"/>
      <c r="K178" s="3"/>
      <c r="L178" s="3"/>
      <c r="M178" s="3"/>
      <c r="N178" s="3"/>
      <c r="O178" s="3"/>
      <c r="P178" s="3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2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3"/>
      <c r="K179" s="3"/>
      <c r="L179" s="3"/>
      <c r="M179" s="3"/>
      <c r="N179" s="3"/>
      <c r="O179" s="3"/>
      <c r="P179" s="3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2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3"/>
      <c r="K180" s="3"/>
      <c r="L180" s="3"/>
      <c r="M180" s="3"/>
      <c r="N180" s="3"/>
      <c r="O180" s="3"/>
      <c r="P180" s="3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2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3"/>
      <c r="K181" s="3"/>
      <c r="L181" s="3"/>
      <c r="M181" s="3"/>
      <c r="N181" s="3"/>
      <c r="O181" s="3"/>
      <c r="P181" s="3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2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3"/>
      <c r="K182" s="3"/>
      <c r="L182" s="3"/>
      <c r="M182" s="3"/>
      <c r="N182" s="3"/>
      <c r="O182" s="3"/>
      <c r="P182" s="3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2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3"/>
      <c r="K183" s="3"/>
      <c r="L183" s="3"/>
      <c r="M183" s="3"/>
      <c r="N183" s="3"/>
      <c r="O183" s="3"/>
      <c r="P183" s="3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2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3"/>
      <c r="K184" s="3"/>
      <c r="L184" s="3"/>
      <c r="M184" s="3"/>
      <c r="N184" s="3"/>
      <c r="O184" s="3"/>
      <c r="P184" s="3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2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3"/>
      <c r="K185" s="3"/>
      <c r="L185" s="3"/>
      <c r="M185" s="3"/>
      <c r="N185" s="3"/>
      <c r="O185" s="3"/>
      <c r="P185" s="3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2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3"/>
      <c r="K186" s="3"/>
      <c r="L186" s="3"/>
      <c r="M186" s="3"/>
      <c r="N186" s="3"/>
      <c r="O186" s="3"/>
      <c r="P186" s="3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2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3"/>
      <c r="K187" s="3"/>
      <c r="L187" s="3"/>
      <c r="M187" s="3"/>
      <c r="N187" s="3"/>
      <c r="O187" s="3"/>
      <c r="P187" s="3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2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3"/>
      <c r="K188" s="3"/>
      <c r="L188" s="3"/>
      <c r="M188" s="3"/>
      <c r="N188" s="3"/>
      <c r="O188" s="3"/>
      <c r="P188" s="3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2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3"/>
      <c r="K189" s="3"/>
      <c r="L189" s="3"/>
      <c r="M189" s="3"/>
      <c r="N189" s="3"/>
      <c r="O189" s="3"/>
      <c r="P189" s="3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2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3"/>
      <c r="K190" s="3"/>
      <c r="L190" s="3"/>
      <c r="M190" s="3"/>
      <c r="N190" s="3"/>
      <c r="O190" s="3"/>
      <c r="P190" s="3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2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3"/>
      <c r="K191" s="3"/>
      <c r="L191" s="3"/>
      <c r="M191" s="3"/>
      <c r="N191" s="3"/>
      <c r="O191" s="3"/>
      <c r="P191" s="3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3"/>
      <c r="K192" s="3"/>
      <c r="L192" s="3"/>
      <c r="M192" s="3"/>
      <c r="N192" s="3"/>
      <c r="O192" s="3"/>
      <c r="P192" s="3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3"/>
      <c r="K193" s="3"/>
      <c r="L193" s="3"/>
      <c r="M193" s="3"/>
      <c r="N193" s="3"/>
      <c r="O193" s="3"/>
      <c r="P193" s="3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3"/>
      <c r="K194" s="3"/>
      <c r="L194" s="3"/>
      <c r="M194" s="3"/>
      <c r="N194" s="3"/>
      <c r="O194" s="3"/>
      <c r="P194" s="3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3"/>
      <c r="K195" s="3"/>
      <c r="L195" s="3"/>
      <c r="M195" s="3"/>
      <c r="N195" s="3"/>
      <c r="O195" s="3"/>
      <c r="P195" s="3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3"/>
      <c r="K196" s="3"/>
      <c r="L196" s="3"/>
      <c r="M196" s="3"/>
      <c r="N196" s="3"/>
      <c r="O196" s="3"/>
      <c r="P196" s="3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3"/>
      <c r="K197" s="3"/>
      <c r="L197" s="3"/>
      <c r="M197" s="3"/>
      <c r="N197" s="3"/>
      <c r="O197" s="3"/>
      <c r="P197" s="3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3"/>
      <c r="K198" s="3"/>
      <c r="L198" s="3"/>
      <c r="M198" s="3"/>
      <c r="N198" s="3"/>
      <c r="O198" s="3"/>
      <c r="P198" s="3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3"/>
      <c r="K199" s="3"/>
      <c r="L199" s="3"/>
      <c r="M199" s="3"/>
      <c r="N199" s="3"/>
      <c r="O199" s="3"/>
      <c r="P199" s="3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3"/>
      <c r="K200" s="3"/>
      <c r="L200" s="3"/>
      <c r="M200" s="3"/>
      <c r="N200" s="3"/>
      <c r="O200" s="3"/>
      <c r="P200" s="3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3"/>
      <c r="K201" s="3"/>
      <c r="L201" s="3"/>
      <c r="M201" s="3"/>
      <c r="N201" s="3"/>
      <c r="O201" s="3"/>
      <c r="P201" s="3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3"/>
      <c r="K202" s="3"/>
      <c r="L202" s="3"/>
      <c r="M202" s="3"/>
      <c r="N202" s="3"/>
      <c r="O202" s="3"/>
      <c r="P202" s="3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3"/>
      <c r="K203" s="3"/>
      <c r="L203" s="3"/>
      <c r="M203" s="3"/>
      <c r="N203" s="3"/>
      <c r="O203" s="3"/>
      <c r="P203" s="3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3"/>
      <c r="K204" s="3"/>
      <c r="L204" s="3"/>
      <c r="M204" s="3"/>
      <c r="N204" s="3"/>
      <c r="O204" s="3"/>
      <c r="P204" s="3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3"/>
      <c r="K205" s="3"/>
      <c r="L205" s="3"/>
      <c r="M205" s="3"/>
      <c r="N205" s="3"/>
      <c r="O205" s="3"/>
      <c r="P205" s="3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3"/>
      <c r="K206" s="3"/>
      <c r="L206" s="3"/>
      <c r="M206" s="3"/>
      <c r="N206" s="3"/>
      <c r="O206" s="3"/>
      <c r="P206" s="3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3"/>
      <c r="K207" s="3"/>
      <c r="L207" s="3"/>
      <c r="M207" s="3"/>
      <c r="N207" s="3"/>
      <c r="O207" s="3"/>
      <c r="P207" s="3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3"/>
      <c r="K208" s="3"/>
      <c r="L208" s="3"/>
      <c r="M208" s="3"/>
      <c r="N208" s="3"/>
      <c r="O208" s="3"/>
      <c r="P208" s="3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3"/>
      <c r="K209" s="3"/>
      <c r="L209" s="3"/>
      <c r="M209" s="3"/>
      <c r="N209" s="3"/>
      <c r="O209" s="3"/>
      <c r="P209" s="3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3"/>
      <c r="K210" s="3"/>
      <c r="L210" s="3"/>
      <c r="M210" s="3"/>
      <c r="N210" s="3"/>
      <c r="O210" s="3"/>
      <c r="P210" s="3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3"/>
      <c r="K211" s="3"/>
      <c r="L211" s="3"/>
      <c r="M211" s="3"/>
      <c r="N211" s="3"/>
      <c r="O211" s="3"/>
      <c r="P211" s="3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3"/>
      <c r="K212" s="3"/>
      <c r="L212" s="3"/>
      <c r="M212" s="3"/>
      <c r="N212" s="3"/>
      <c r="O212" s="3"/>
      <c r="P212" s="3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3"/>
      <c r="K213" s="3"/>
      <c r="L213" s="3"/>
      <c r="M213" s="3"/>
      <c r="N213" s="3"/>
      <c r="O213" s="3"/>
      <c r="P213" s="3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3"/>
      <c r="K214" s="3"/>
      <c r="L214" s="3"/>
      <c r="M214" s="3"/>
      <c r="N214" s="3"/>
      <c r="O214" s="3"/>
      <c r="P214" s="3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3"/>
      <c r="K215" s="3"/>
      <c r="L215" s="3"/>
      <c r="M215" s="3"/>
      <c r="N215" s="3"/>
      <c r="O215" s="3"/>
      <c r="P215" s="3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3"/>
      <c r="K216" s="3"/>
      <c r="L216" s="3"/>
      <c r="M216" s="3"/>
      <c r="N216" s="3"/>
      <c r="O216" s="3"/>
      <c r="P216" s="3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3"/>
      <c r="K217" s="3"/>
      <c r="L217" s="3"/>
      <c r="M217" s="3"/>
      <c r="N217" s="3"/>
      <c r="O217" s="3"/>
      <c r="P217" s="3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3"/>
      <c r="K218" s="3"/>
      <c r="L218" s="3"/>
      <c r="M218" s="3"/>
      <c r="N218" s="3"/>
      <c r="O218" s="3"/>
      <c r="P218" s="3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3"/>
      <c r="K219" s="3"/>
      <c r="L219" s="3"/>
      <c r="M219" s="3"/>
      <c r="N219" s="3"/>
      <c r="O219" s="3"/>
      <c r="P219" s="3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3"/>
      <c r="K220" s="3"/>
      <c r="L220" s="3"/>
      <c r="M220" s="3"/>
      <c r="N220" s="3"/>
      <c r="O220" s="3"/>
      <c r="P220" s="3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3"/>
      <c r="K221" s="3"/>
      <c r="L221" s="3"/>
      <c r="M221" s="3"/>
      <c r="N221" s="3"/>
      <c r="O221" s="3"/>
      <c r="P221" s="3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3"/>
      <c r="K222" s="3"/>
      <c r="L222" s="3"/>
      <c r="M222" s="3"/>
      <c r="N222" s="3"/>
      <c r="O222" s="3"/>
      <c r="P222" s="3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3"/>
      <c r="K223" s="3"/>
      <c r="L223" s="3"/>
      <c r="M223" s="3"/>
      <c r="N223" s="3"/>
      <c r="O223" s="3"/>
      <c r="P223" s="3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3"/>
      <c r="K224" s="3"/>
      <c r="L224" s="3"/>
      <c r="M224" s="3"/>
      <c r="N224" s="3"/>
      <c r="O224" s="3"/>
      <c r="P224" s="3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3"/>
      <c r="K225" s="3"/>
      <c r="L225" s="3"/>
      <c r="M225" s="3"/>
      <c r="N225" s="3"/>
      <c r="O225" s="3"/>
      <c r="P225" s="3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3"/>
      <c r="K226" s="3"/>
      <c r="L226" s="3"/>
      <c r="M226" s="3"/>
      <c r="N226" s="3"/>
      <c r="O226" s="3"/>
      <c r="P226" s="3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3"/>
      <c r="K227" s="3"/>
      <c r="L227" s="3"/>
      <c r="M227" s="3"/>
      <c r="N227" s="3"/>
      <c r="O227" s="3"/>
      <c r="P227" s="3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3"/>
      <c r="K228" s="3"/>
      <c r="L228" s="3"/>
      <c r="M228" s="3"/>
      <c r="N228" s="3"/>
      <c r="O228" s="3"/>
      <c r="P228" s="3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3"/>
      <c r="K229" s="3"/>
      <c r="L229" s="3"/>
      <c r="M229" s="3"/>
      <c r="N229" s="3"/>
      <c r="O229" s="3"/>
      <c r="P229" s="3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3"/>
      <c r="K230" s="3"/>
      <c r="L230" s="3"/>
      <c r="M230" s="3"/>
      <c r="N230" s="3"/>
      <c r="O230" s="3"/>
      <c r="P230" s="3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3"/>
      <c r="K231" s="3"/>
      <c r="L231" s="3"/>
      <c r="M231" s="3"/>
      <c r="N231" s="3"/>
      <c r="O231" s="3"/>
      <c r="P231" s="3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3"/>
      <c r="K232" s="3"/>
      <c r="L232" s="3"/>
      <c r="M232" s="3"/>
      <c r="N232" s="3"/>
      <c r="O232" s="3"/>
      <c r="P232" s="3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3"/>
      <c r="K233" s="3"/>
      <c r="L233" s="3"/>
      <c r="M233" s="3"/>
      <c r="N233" s="3"/>
      <c r="O233" s="3"/>
      <c r="P233" s="3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3"/>
      <c r="K234" s="3"/>
      <c r="L234" s="3"/>
      <c r="M234" s="3"/>
      <c r="N234" s="3"/>
      <c r="O234" s="3"/>
      <c r="P234" s="3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3"/>
      <c r="K235" s="3"/>
      <c r="L235" s="3"/>
      <c r="M235" s="3"/>
      <c r="N235" s="3"/>
      <c r="O235" s="3"/>
      <c r="P235" s="3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3"/>
      <c r="K236" s="3"/>
      <c r="L236" s="3"/>
      <c r="M236" s="3"/>
      <c r="N236" s="3"/>
      <c r="O236" s="3"/>
      <c r="P236" s="3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3"/>
      <c r="K237" s="3"/>
      <c r="L237" s="3"/>
      <c r="M237" s="3"/>
      <c r="N237" s="3"/>
      <c r="O237" s="3"/>
      <c r="P237" s="3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3"/>
      <c r="K238" s="3"/>
      <c r="L238" s="3"/>
      <c r="M238" s="3"/>
      <c r="N238" s="3"/>
      <c r="O238" s="3"/>
      <c r="P238" s="3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3"/>
      <c r="K239" s="3"/>
      <c r="L239" s="3"/>
      <c r="M239" s="3"/>
      <c r="N239" s="3"/>
      <c r="O239" s="3"/>
      <c r="P239" s="3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3"/>
      <c r="K240" s="3"/>
      <c r="L240" s="3"/>
      <c r="M240" s="3"/>
      <c r="N240" s="3"/>
      <c r="O240" s="3"/>
      <c r="P240" s="3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3"/>
      <c r="K241" s="3"/>
      <c r="L241" s="3"/>
      <c r="M241" s="3"/>
      <c r="N241" s="3"/>
      <c r="O241" s="3"/>
      <c r="P241" s="3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3"/>
      <c r="K242" s="3"/>
      <c r="L242" s="3"/>
      <c r="M242" s="3"/>
      <c r="N242" s="3"/>
      <c r="O242" s="3"/>
      <c r="P242" s="3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3"/>
      <c r="K243" s="3"/>
      <c r="L243" s="3"/>
      <c r="M243" s="3"/>
      <c r="N243" s="3"/>
      <c r="O243" s="3"/>
      <c r="P243" s="3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3"/>
      <c r="K244" s="3"/>
      <c r="L244" s="3"/>
      <c r="M244" s="3"/>
      <c r="N244" s="3"/>
      <c r="O244" s="3"/>
      <c r="P244" s="3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3"/>
      <c r="K245" s="3"/>
      <c r="L245" s="3"/>
      <c r="M245" s="3"/>
      <c r="N245" s="3"/>
      <c r="O245" s="3"/>
      <c r="P245" s="3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3"/>
      <c r="K246" s="3"/>
      <c r="L246" s="3"/>
      <c r="M246" s="3"/>
      <c r="N246" s="3"/>
      <c r="O246" s="3"/>
      <c r="P246" s="3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3"/>
      <c r="K247" s="3"/>
      <c r="L247" s="3"/>
      <c r="M247" s="3"/>
      <c r="N247" s="3"/>
      <c r="O247" s="3"/>
      <c r="P247" s="3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3"/>
      <c r="K248" s="3"/>
      <c r="L248" s="3"/>
      <c r="M248" s="3"/>
      <c r="N248" s="3"/>
      <c r="O248" s="3"/>
      <c r="P248" s="3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3"/>
      <c r="K249" s="3"/>
      <c r="L249" s="3"/>
      <c r="M249" s="3"/>
      <c r="N249" s="3"/>
      <c r="O249" s="3"/>
      <c r="P249" s="3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3"/>
      <c r="K250" s="3"/>
      <c r="L250" s="3"/>
      <c r="M250" s="3"/>
      <c r="N250" s="3"/>
      <c r="O250" s="3"/>
      <c r="P250" s="3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3"/>
      <c r="K251" s="3"/>
      <c r="L251" s="3"/>
      <c r="M251" s="3"/>
      <c r="N251" s="3"/>
      <c r="O251" s="3"/>
      <c r="P251" s="3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3"/>
      <c r="K252" s="3"/>
      <c r="L252" s="3"/>
      <c r="M252" s="3"/>
      <c r="N252" s="3"/>
      <c r="O252" s="3"/>
      <c r="P252" s="3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3"/>
      <c r="K253" s="3"/>
      <c r="L253" s="3"/>
      <c r="M253" s="3"/>
      <c r="N253" s="3"/>
      <c r="O253" s="3"/>
      <c r="P253" s="3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3"/>
      <c r="K254" s="3"/>
      <c r="L254" s="3"/>
      <c r="M254" s="3"/>
      <c r="N254" s="3"/>
      <c r="O254" s="3"/>
      <c r="P254" s="3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3"/>
      <c r="K255" s="3"/>
      <c r="L255" s="3"/>
      <c r="M255" s="3"/>
      <c r="N255" s="3"/>
      <c r="O255" s="3"/>
      <c r="P255" s="3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3"/>
      <c r="K256" s="3"/>
      <c r="L256" s="3"/>
      <c r="M256" s="3"/>
      <c r="N256" s="3"/>
      <c r="O256" s="3"/>
      <c r="P256" s="3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3"/>
      <c r="K257" s="3"/>
      <c r="L257" s="3"/>
      <c r="M257" s="3"/>
      <c r="N257" s="3"/>
      <c r="O257" s="3"/>
      <c r="P257" s="3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3"/>
      <c r="K258" s="3"/>
      <c r="L258" s="3"/>
      <c r="M258" s="3"/>
      <c r="N258" s="3"/>
      <c r="O258" s="3"/>
      <c r="P258" s="3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3"/>
      <c r="K259" s="3"/>
      <c r="L259" s="3"/>
      <c r="M259" s="3"/>
      <c r="N259" s="3"/>
      <c r="O259" s="3"/>
      <c r="P259" s="3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3"/>
      <c r="K260" s="3"/>
      <c r="L260" s="3"/>
      <c r="M260" s="3"/>
      <c r="N260" s="3"/>
      <c r="O260" s="3"/>
      <c r="P260" s="3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3"/>
      <c r="K261" s="3"/>
      <c r="L261" s="3"/>
      <c r="M261" s="3"/>
      <c r="N261" s="3"/>
      <c r="O261" s="3"/>
      <c r="P261" s="3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3"/>
      <c r="K262" s="3"/>
      <c r="L262" s="3"/>
      <c r="M262" s="3"/>
      <c r="N262" s="3"/>
      <c r="O262" s="3"/>
      <c r="P262" s="3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3"/>
      <c r="K263" s="3"/>
      <c r="L263" s="3"/>
      <c r="M263" s="3"/>
      <c r="N263" s="3"/>
      <c r="O263" s="3"/>
      <c r="P263" s="3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3"/>
      <c r="K264" s="3"/>
      <c r="L264" s="3"/>
      <c r="M264" s="3"/>
      <c r="N264" s="3"/>
      <c r="O264" s="3"/>
      <c r="P264" s="3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3"/>
      <c r="K265" s="3"/>
      <c r="L265" s="3"/>
      <c r="M265" s="3"/>
      <c r="N265" s="3"/>
      <c r="O265" s="3"/>
      <c r="P265" s="3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3"/>
      <c r="K266" s="3"/>
      <c r="L266" s="3"/>
      <c r="M266" s="3"/>
      <c r="N266" s="3"/>
      <c r="O266" s="3"/>
      <c r="P266" s="3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3"/>
      <c r="K267" s="3"/>
      <c r="L267" s="3"/>
      <c r="M267" s="3"/>
      <c r="N267" s="3"/>
      <c r="O267" s="3"/>
      <c r="P267" s="3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3"/>
      <c r="K268" s="3"/>
      <c r="L268" s="3"/>
      <c r="M268" s="3"/>
      <c r="N268" s="3"/>
      <c r="O268" s="3"/>
      <c r="P268" s="3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3"/>
      <c r="K269" s="3"/>
      <c r="L269" s="3"/>
      <c r="M269" s="3"/>
      <c r="N269" s="3"/>
      <c r="O269" s="3"/>
      <c r="P269" s="3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3"/>
      <c r="K270" s="3"/>
      <c r="L270" s="3"/>
      <c r="M270" s="3"/>
      <c r="N270" s="3"/>
      <c r="O270" s="3"/>
      <c r="P270" s="3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3"/>
      <c r="K271" s="3"/>
      <c r="L271" s="3"/>
      <c r="M271" s="3"/>
      <c r="N271" s="3"/>
      <c r="O271" s="3"/>
      <c r="P271" s="3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3"/>
      <c r="K272" s="3"/>
      <c r="L272" s="3"/>
      <c r="M272" s="3"/>
      <c r="N272" s="3"/>
      <c r="O272" s="3"/>
      <c r="P272" s="3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3"/>
      <c r="K273" s="3"/>
      <c r="L273" s="3"/>
      <c r="M273" s="3"/>
      <c r="N273" s="3"/>
      <c r="O273" s="3"/>
      <c r="P273" s="3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3"/>
      <c r="K274" s="3"/>
      <c r="L274" s="3"/>
      <c r="M274" s="3"/>
      <c r="N274" s="3"/>
      <c r="O274" s="3"/>
      <c r="P274" s="3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3"/>
      <c r="K275" s="3"/>
      <c r="L275" s="3"/>
      <c r="M275" s="3"/>
      <c r="N275" s="3"/>
      <c r="O275" s="3"/>
      <c r="P275" s="3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3"/>
      <c r="K276" s="3"/>
      <c r="L276" s="3"/>
      <c r="M276" s="3"/>
      <c r="N276" s="3"/>
      <c r="O276" s="3"/>
      <c r="P276" s="3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3"/>
      <c r="K277" s="3"/>
      <c r="L277" s="3"/>
      <c r="M277" s="3"/>
      <c r="N277" s="3"/>
      <c r="O277" s="3"/>
      <c r="P277" s="3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3"/>
      <c r="K278" s="3"/>
      <c r="L278" s="3"/>
      <c r="M278" s="3"/>
      <c r="N278" s="3"/>
      <c r="O278" s="3"/>
      <c r="P278" s="3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3"/>
      <c r="K279" s="3"/>
      <c r="L279" s="3"/>
      <c r="M279" s="3"/>
      <c r="N279" s="3"/>
      <c r="O279" s="3"/>
      <c r="P279" s="3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3"/>
      <c r="K280" s="3"/>
      <c r="L280" s="3"/>
      <c r="M280" s="3"/>
      <c r="N280" s="3"/>
      <c r="O280" s="3"/>
      <c r="P280" s="3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3"/>
      <c r="K281" s="3"/>
      <c r="L281" s="3"/>
      <c r="M281" s="3"/>
      <c r="N281" s="3"/>
      <c r="O281" s="3"/>
      <c r="P281" s="3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3"/>
      <c r="K282" s="3"/>
      <c r="L282" s="3"/>
      <c r="M282" s="3"/>
      <c r="N282" s="3"/>
      <c r="O282" s="3"/>
      <c r="P282" s="3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3"/>
      <c r="K283" s="3"/>
      <c r="L283" s="3"/>
      <c r="M283" s="3"/>
      <c r="N283" s="3"/>
      <c r="O283" s="3"/>
      <c r="P283" s="3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3"/>
      <c r="K284" s="3"/>
      <c r="L284" s="3"/>
      <c r="M284" s="3"/>
      <c r="N284" s="3"/>
      <c r="O284" s="3"/>
      <c r="P284" s="3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3"/>
      <c r="K285" s="3"/>
      <c r="L285" s="3"/>
      <c r="M285" s="3"/>
      <c r="N285" s="3"/>
      <c r="O285" s="3"/>
      <c r="P285" s="3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3"/>
      <c r="K286" s="3"/>
      <c r="L286" s="3"/>
      <c r="M286" s="3"/>
      <c r="N286" s="3"/>
      <c r="O286" s="3"/>
      <c r="P286" s="3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3"/>
      <c r="K287" s="3"/>
      <c r="L287" s="3"/>
      <c r="M287" s="3"/>
      <c r="N287" s="3"/>
      <c r="O287" s="3"/>
      <c r="P287" s="3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3"/>
      <c r="K288" s="3"/>
      <c r="L288" s="3"/>
      <c r="M288" s="3"/>
      <c r="N288" s="3"/>
      <c r="O288" s="3"/>
      <c r="P288" s="3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3"/>
      <c r="K289" s="3"/>
      <c r="L289" s="3"/>
      <c r="M289" s="3"/>
      <c r="N289" s="3"/>
      <c r="O289" s="3"/>
      <c r="P289" s="3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3"/>
      <c r="K290" s="3"/>
      <c r="L290" s="3"/>
      <c r="M290" s="3"/>
      <c r="N290" s="3"/>
      <c r="O290" s="3"/>
      <c r="P290" s="3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3"/>
      <c r="K291" s="3"/>
      <c r="L291" s="3"/>
      <c r="M291" s="3"/>
      <c r="N291" s="3"/>
      <c r="O291" s="3"/>
      <c r="P291" s="3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3"/>
      <c r="K292" s="3"/>
      <c r="L292" s="3"/>
      <c r="M292" s="3"/>
      <c r="N292" s="3"/>
      <c r="O292" s="3"/>
      <c r="P292" s="3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3"/>
      <c r="K293" s="3"/>
      <c r="L293" s="3"/>
      <c r="M293" s="3"/>
      <c r="N293" s="3"/>
      <c r="O293" s="3"/>
      <c r="P293" s="3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3"/>
      <c r="K294" s="3"/>
      <c r="L294" s="3"/>
      <c r="M294" s="3"/>
      <c r="N294" s="3"/>
      <c r="O294" s="3"/>
      <c r="P294" s="3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3"/>
      <c r="K295" s="3"/>
      <c r="L295" s="3"/>
      <c r="M295" s="3"/>
      <c r="N295" s="3"/>
      <c r="O295" s="3"/>
      <c r="P295" s="3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3"/>
      <c r="K296" s="3"/>
      <c r="L296" s="3"/>
      <c r="M296" s="3"/>
      <c r="N296" s="3"/>
      <c r="O296" s="3"/>
      <c r="P296" s="3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3"/>
      <c r="K297" s="3"/>
      <c r="L297" s="3"/>
      <c r="M297" s="3"/>
      <c r="N297" s="3"/>
      <c r="O297" s="3"/>
      <c r="P297" s="3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3"/>
      <c r="K298" s="3"/>
      <c r="L298" s="3"/>
      <c r="M298" s="3"/>
      <c r="N298" s="3"/>
      <c r="O298" s="3"/>
      <c r="P298" s="3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3"/>
      <c r="K299" s="3"/>
      <c r="L299" s="3"/>
      <c r="M299" s="3"/>
      <c r="N299" s="3"/>
      <c r="O299" s="3"/>
      <c r="P299" s="3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3"/>
      <c r="K300" s="3"/>
      <c r="L300" s="3"/>
      <c r="M300" s="3"/>
      <c r="N300" s="3"/>
      <c r="O300" s="3"/>
      <c r="P300" s="3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3"/>
      <c r="K301" s="3"/>
      <c r="L301" s="3"/>
      <c r="M301" s="3"/>
      <c r="N301" s="3"/>
      <c r="O301" s="3"/>
      <c r="P301" s="3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3"/>
      <c r="K302" s="3"/>
      <c r="L302" s="3"/>
      <c r="M302" s="3"/>
      <c r="N302" s="3"/>
      <c r="O302" s="3"/>
      <c r="P302" s="3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3"/>
      <c r="K303" s="3"/>
      <c r="L303" s="3"/>
      <c r="M303" s="3"/>
      <c r="N303" s="3"/>
      <c r="O303" s="3"/>
      <c r="P303" s="3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3"/>
      <c r="K304" s="3"/>
      <c r="L304" s="3"/>
      <c r="M304" s="3"/>
      <c r="N304" s="3"/>
      <c r="O304" s="3"/>
      <c r="P304" s="3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3"/>
      <c r="K305" s="3"/>
      <c r="L305" s="3"/>
      <c r="M305" s="3"/>
      <c r="N305" s="3"/>
      <c r="O305" s="3"/>
      <c r="P305" s="3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3"/>
      <c r="K306" s="3"/>
      <c r="L306" s="3"/>
      <c r="M306" s="3"/>
      <c r="N306" s="3"/>
      <c r="O306" s="3"/>
      <c r="P306" s="3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3"/>
      <c r="K307" s="3"/>
      <c r="L307" s="3"/>
      <c r="M307" s="3"/>
      <c r="N307" s="3"/>
      <c r="O307" s="3"/>
      <c r="P307" s="3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3"/>
      <c r="K308" s="3"/>
      <c r="L308" s="3"/>
      <c r="M308" s="3"/>
      <c r="N308" s="3"/>
      <c r="O308" s="3"/>
      <c r="P308" s="3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3"/>
      <c r="K309" s="3"/>
      <c r="L309" s="3"/>
      <c r="M309" s="3"/>
      <c r="N309" s="3"/>
      <c r="O309" s="3"/>
      <c r="P309" s="3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3"/>
      <c r="K310" s="3"/>
      <c r="L310" s="3"/>
      <c r="M310" s="3"/>
      <c r="N310" s="3"/>
      <c r="O310" s="3"/>
      <c r="P310" s="3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3"/>
      <c r="K311" s="3"/>
      <c r="L311" s="3"/>
      <c r="M311" s="3"/>
      <c r="N311" s="3"/>
      <c r="O311" s="3"/>
      <c r="P311" s="3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3"/>
      <c r="K312" s="3"/>
      <c r="L312" s="3"/>
      <c r="M312" s="3"/>
      <c r="N312" s="3"/>
      <c r="O312" s="3"/>
      <c r="P312" s="3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3"/>
      <c r="K313" s="3"/>
      <c r="L313" s="3"/>
      <c r="M313" s="3"/>
      <c r="N313" s="3"/>
      <c r="O313" s="3"/>
      <c r="P313" s="3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3"/>
      <c r="K314" s="3"/>
      <c r="L314" s="3"/>
      <c r="M314" s="3"/>
      <c r="N314" s="3"/>
      <c r="O314" s="3"/>
      <c r="P314" s="3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3"/>
      <c r="K315" s="3"/>
      <c r="L315" s="3"/>
      <c r="M315" s="3"/>
      <c r="N315" s="3"/>
      <c r="O315" s="3"/>
      <c r="P315" s="3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3"/>
      <c r="K316" s="3"/>
      <c r="L316" s="3"/>
      <c r="M316" s="3"/>
      <c r="N316" s="3"/>
      <c r="O316" s="3"/>
      <c r="P316" s="3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3"/>
      <c r="K317" s="3"/>
      <c r="L317" s="3"/>
      <c r="M317" s="3"/>
      <c r="N317" s="3"/>
      <c r="O317" s="3"/>
      <c r="P317" s="3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3"/>
      <c r="K318" s="3"/>
      <c r="L318" s="3"/>
      <c r="M318" s="3"/>
      <c r="N318" s="3"/>
      <c r="O318" s="3"/>
      <c r="P318" s="3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3"/>
      <c r="K319" s="3"/>
      <c r="L319" s="3"/>
      <c r="M319" s="3"/>
      <c r="N319" s="3"/>
      <c r="O319" s="3"/>
      <c r="P319" s="3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3"/>
      <c r="K320" s="3"/>
      <c r="L320" s="3"/>
      <c r="M320" s="3"/>
      <c r="N320" s="3"/>
      <c r="O320" s="3"/>
      <c r="P320" s="3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3"/>
      <c r="K321" s="3"/>
      <c r="L321" s="3"/>
      <c r="M321" s="3"/>
      <c r="N321" s="3"/>
      <c r="O321" s="3"/>
      <c r="P321" s="3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3"/>
      <c r="K322" s="3"/>
      <c r="L322" s="3"/>
      <c r="M322" s="3"/>
      <c r="N322" s="3"/>
      <c r="O322" s="3"/>
      <c r="P322" s="3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3"/>
      <c r="K323" s="3"/>
      <c r="L323" s="3"/>
      <c r="M323" s="3"/>
      <c r="N323" s="3"/>
      <c r="O323" s="3"/>
      <c r="P323" s="3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3"/>
      <c r="K324" s="3"/>
      <c r="L324" s="3"/>
      <c r="M324" s="3"/>
      <c r="N324" s="3"/>
      <c r="O324" s="3"/>
      <c r="P324" s="3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3"/>
      <c r="K325" s="3"/>
      <c r="L325" s="3"/>
      <c r="M325" s="3"/>
      <c r="N325" s="3"/>
      <c r="O325" s="3"/>
      <c r="P325" s="3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2.5" x14ac:dyDescent="0.25">
      <c r="J326" s="115"/>
      <c r="K326" s="115"/>
      <c r="L326" s="115"/>
      <c r="M326" s="115"/>
      <c r="N326" s="115"/>
      <c r="O326" s="115"/>
      <c r="P326" s="115"/>
    </row>
    <row r="327" spans="1:30" ht="12.5" x14ac:dyDescent="0.25">
      <c r="J327" s="115"/>
      <c r="K327" s="115"/>
      <c r="L327" s="115"/>
      <c r="M327" s="115"/>
      <c r="N327" s="115"/>
      <c r="O327" s="115"/>
      <c r="P327" s="115"/>
    </row>
    <row r="328" spans="1:30" ht="12.5" x14ac:dyDescent="0.25">
      <c r="J328" s="115"/>
      <c r="K328" s="115"/>
      <c r="L328" s="115"/>
      <c r="M328" s="115"/>
      <c r="N328" s="115"/>
      <c r="O328" s="115"/>
      <c r="P328" s="115"/>
    </row>
    <row r="329" spans="1:30" ht="12.5" x14ac:dyDescent="0.25">
      <c r="J329" s="115"/>
      <c r="K329" s="115"/>
      <c r="L329" s="115"/>
      <c r="M329" s="115"/>
      <c r="N329" s="115"/>
      <c r="O329" s="115"/>
      <c r="P329" s="115"/>
    </row>
    <row r="330" spans="1:30" ht="12.5" x14ac:dyDescent="0.25">
      <c r="J330" s="115"/>
      <c r="K330" s="115"/>
      <c r="L330" s="115"/>
      <c r="M330" s="115"/>
      <c r="N330" s="115"/>
      <c r="O330" s="115"/>
      <c r="P330" s="115"/>
    </row>
    <row r="331" spans="1:30" ht="12.5" x14ac:dyDescent="0.25">
      <c r="J331" s="115"/>
      <c r="K331" s="115"/>
      <c r="L331" s="115"/>
      <c r="M331" s="115"/>
      <c r="N331" s="115"/>
      <c r="O331" s="115"/>
      <c r="P331" s="115"/>
    </row>
    <row r="332" spans="1:30" ht="12.5" x14ac:dyDescent="0.25">
      <c r="J332" s="115"/>
      <c r="K332" s="115"/>
      <c r="L332" s="115"/>
      <c r="M332" s="115"/>
      <c r="N332" s="115"/>
      <c r="O332" s="115"/>
      <c r="P332" s="115"/>
    </row>
    <row r="333" spans="1:30" ht="12.5" x14ac:dyDescent="0.25">
      <c r="J333" s="115"/>
      <c r="K333" s="115"/>
      <c r="L333" s="115"/>
      <c r="M333" s="115"/>
      <c r="N333" s="115"/>
      <c r="O333" s="115"/>
      <c r="P333" s="115"/>
    </row>
    <row r="334" spans="1:30" ht="12.5" x14ac:dyDescent="0.25">
      <c r="J334" s="115"/>
      <c r="K334" s="115"/>
      <c r="L334" s="115"/>
      <c r="M334" s="115"/>
      <c r="N334" s="115"/>
      <c r="O334" s="115"/>
      <c r="P334" s="115"/>
    </row>
    <row r="335" spans="1:30" ht="12.5" x14ac:dyDescent="0.25">
      <c r="J335" s="115"/>
      <c r="K335" s="115"/>
      <c r="L335" s="115"/>
      <c r="M335" s="115"/>
      <c r="N335" s="115"/>
      <c r="O335" s="115"/>
      <c r="P335" s="115"/>
    </row>
    <row r="336" spans="1:30" ht="12.5" x14ac:dyDescent="0.25">
      <c r="J336" s="115"/>
      <c r="K336" s="115"/>
      <c r="L336" s="115"/>
      <c r="M336" s="115"/>
      <c r="N336" s="115"/>
      <c r="O336" s="115"/>
      <c r="P336" s="115"/>
    </row>
    <row r="337" spans="10:16" ht="12.5" x14ac:dyDescent="0.25">
      <c r="J337" s="115"/>
      <c r="K337" s="115"/>
      <c r="L337" s="115"/>
      <c r="M337" s="115"/>
      <c r="N337" s="115"/>
      <c r="O337" s="115"/>
      <c r="P337" s="115"/>
    </row>
    <row r="338" spans="10:16" ht="12.5" x14ac:dyDescent="0.25">
      <c r="J338" s="115"/>
      <c r="K338" s="115"/>
      <c r="L338" s="115"/>
      <c r="M338" s="115"/>
      <c r="N338" s="115"/>
      <c r="O338" s="115"/>
      <c r="P338" s="115"/>
    </row>
    <row r="339" spans="10:16" ht="12.5" x14ac:dyDescent="0.25">
      <c r="J339" s="115"/>
      <c r="K339" s="115"/>
      <c r="L339" s="115"/>
      <c r="M339" s="115"/>
      <c r="N339" s="115"/>
      <c r="O339" s="115"/>
      <c r="P339" s="115"/>
    </row>
    <row r="340" spans="10:16" ht="12.5" x14ac:dyDescent="0.25">
      <c r="J340" s="115"/>
      <c r="K340" s="115"/>
      <c r="L340" s="115"/>
      <c r="M340" s="115"/>
      <c r="N340" s="115"/>
      <c r="O340" s="115"/>
      <c r="P340" s="115"/>
    </row>
    <row r="341" spans="10:16" ht="12.5" x14ac:dyDescent="0.25">
      <c r="J341" s="115"/>
      <c r="K341" s="115"/>
      <c r="L341" s="115"/>
      <c r="M341" s="115"/>
      <c r="N341" s="115"/>
      <c r="O341" s="115"/>
      <c r="P341" s="115"/>
    </row>
    <row r="342" spans="10:16" ht="12.5" x14ac:dyDescent="0.25">
      <c r="J342" s="115"/>
      <c r="K342" s="115"/>
      <c r="L342" s="115"/>
      <c r="M342" s="115"/>
      <c r="N342" s="115"/>
      <c r="O342" s="115"/>
      <c r="P342" s="115"/>
    </row>
    <row r="343" spans="10:16" ht="12.5" x14ac:dyDescent="0.25">
      <c r="J343" s="115"/>
      <c r="K343" s="115"/>
      <c r="L343" s="115"/>
      <c r="M343" s="115"/>
      <c r="N343" s="115"/>
      <c r="O343" s="115"/>
      <c r="P343" s="115"/>
    </row>
    <row r="344" spans="10:16" ht="12.5" x14ac:dyDescent="0.25">
      <c r="J344" s="115"/>
      <c r="K344" s="115"/>
      <c r="L344" s="115"/>
      <c r="M344" s="115"/>
      <c r="N344" s="115"/>
      <c r="O344" s="115"/>
      <c r="P344" s="115"/>
    </row>
    <row r="345" spans="10:16" ht="12.5" x14ac:dyDescent="0.25">
      <c r="J345" s="115"/>
      <c r="K345" s="115"/>
      <c r="L345" s="115"/>
      <c r="M345" s="115"/>
      <c r="N345" s="115"/>
      <c r="O345" s="115"/>
      <c r="P345" s="115"/>
    </row>
    <row r="346" spans="10:16" ht="12.5" x14ac:dyDescent="0.25">
      <c r="J346" s="115"/>
      <c r="K346" s="115"/>
      <c r="L346" s="115"/>
      <c r="M346" s="115"/>
      <c r="N346" s="115"/>
      <c r="O346" s="115"/>
      <c r="P346" s="115"/>
    </row>
    <row r="347" spans="10:16" ht="12.5" x14ac:dyDescent="0.25">
      <c r="J347" s="115"/>
      <c r="K347" s="115"/>
      <c r="L347" s="115"/>
      <c r="M347" s="115"/>
      <c r="N347" s="115"/>
      <c r="O347" s="115"/>
      <c r="P347" s="115"/>
    </row>
    <row r="348" spans="10:16" ht="12.5" x14ac:dyDescent="0.25">
      <c r="J348" s="115"/>
      <c r="K348" s="115"/>
      <c r="L348" s="115"/>
      <c r="M348" s="115"/>
      <c r="N348" s="115"/>
      <c r="O348" s="115"/>
      <c r="P348" s="115"/>
    </row>
    <row r="349" spans="10:16" ht="12.5" x14ac:dyDescent="0.25">
      <c r="J349" s="115"/>
      <c r="K349" s="115"/>
      <c r="L349" s="115"/>
      <c r="M349" s="115"/>
      <c r="N349" s="115"/>
      <c r="O349" s="115"/>
      <c r="P349" s="115"/>
    </row>
    <row r="350" spans="10:16" ht="12.5" x14ac:dyDescent="0.25">
      <c r="J350" s="115"/>
      <c r="K350" s="115"/>
      <c r="L350" s="115"/>
      <c r="M350" s="115"/>
      <c r="N350" s="115"/>
      <c r="O350" s="115"/>
      <c r="P350" s="115"/>
    </row>
    <row r="351" spans="10:16" ht="12.5" x14ac:dyDescent="0.25">
      <c r="J351" s="115"/>
      <c r="K351" s="115"/>
      <c r="L351" s="115"/>
      <c r="M351" s="115"/>
      <c r="N351" s="115"/>
      <c r="O351" s="115"/>
      <c r="P351" s="115"/>
    </row>
    <row r="352" spans="10:16" ht="12.5" x14ac:dyDescent="0.25">
      <c r="J352" s="115"/>
      <c r="K352" s="115"/>
      <c r="L352" s="115"/>
      <c r="M352" s="115"/>
      <c r="N352" s="115"/>
      <c r="O352" s="115"/>
      <c r="P352" s="115"/>
    </row>
    <row r="353" spans="10:16" ht="12.5" x14ac:dyDescent="0.25">
      <c r="J353" s="115"/>
      <c r="K353" s="115"/>
      <c r="L353" s="115"/>
      <c r="M353" s="115"/>
      <c r="N353" s="115"/>
      <c r="O353" s="115"/>
      <c r="P353" s="115"/>
    </row>
    <row r="354" spans="10:16" ht="12.5" x14ac:dyDescent="0.25">
      <c r="J354" s="115"/>
      <c r="K354" s="115"/>
      <c r="L354" s="115"/>
      <c r="M354" s="115"/>
      <c r="N354" s="115"/>
      <c r="O354" s="115"/>
      <c r="P354" s="115"/>
    </row>
    <row r="355" spans="10:16" ht="12.5" x14ac:dyDescent="0.25">
      <c r="J355" s="115"/>
      <c r="K355" s="115"/>
      <c r="L355" s="115"/>
      <c r="M355" s="115"/>
      <c r="N355" s="115"/>
      <c r="O355" s="115"/>
      <c r="P355" s="115"/>
    </row>
    <row r="356" spans="10:16" ht="12.5" x14ac:dyDescent="0.25">
      <c r="J356" s="115"/>
      <c r="K356" s="115"/>
      <c r="L356" s="115"/>
      <c r="M356" s="115"/>
      <c r="N356" s="115"/>
      <c r="O356" s="115"/>
      <c r="P356" s="115"/>
    </row>
    <row r="357" spans="10:16" ht="12.5" x14ac:dyDescent="0.25">
      <c r="J357" s="115"/>
      <c r="K357" s="115"/>
      <c r="L357" s="115"/>
      <c r="M357" s="115"/>
      <c r="N357" s="115"/>
      <c r="O357" s="115"/>
      <c r="P357" s="115"/>
    </row>
    <row r="358" spans="10:16" ht="12.5" x14ac:dyDescent="0.25">
      <c r="J358" s="115"/>
      <c r="K358" s="115"/>
      <c r="L358" s="115"/>
      <c r="M358" s="115"/>
      <c r="N358" s="115"/>
      <c r="O358" s="115"/>
      <c r="P358" s="115"/>
    </row>
    <row r="359" spans="10:16" ht="12.5" x14ac:dyDescent="0.25">
      <c r="J359" s="115"/>
      <c r="K359" s="115"/>
      <c r="L359" s="115"/>
      <c r="M359" s="115"/>
      <c r="N359" s="115"/>
      <c r="O359" s="115"/>
      <c r="P359" s="115"/>
    </row>
    <row r="360" spans="10:16" ht="12.5" x14ac:dyDescent="0.25">
      <c r="J360" s="115"/>
      <c r="K360" s="115"/>
      <c r="L360" s="115"/>
      <c r="M360" s="115"/>
      <c r="N360" s="115"/>
      <c r="O360" s="115"/>
      <c r="P360" s="115"/>
    </row>
    <row r="361" spans="10:16" ht="12.5" x14ac:dyDescent="0.25">
      <c r="J361" s="115"/>
      <c r="K361" s="115"/>
      <c r="L361" s="115"/>
      <c r="M361" s="115"/>
      <c r="N361" s="115"/>
      <c r="O361" s="115"/>
      <c r="P361" s="115"/>
    </row>
    <row r="362" spans="10:16" ht="12.5" x14ac:dyDescent="0.25">
      <c r="J362" s="115"/>
      <c r="K362" s="115"/>
      <c r="L362" s="115"/>
      <c r="M362" s="115"/>
      <c r="N362" s="115"/>
      <c r="O362" s="115"/>
      <c r="P362" s="115"/>
    </row>
    <row r="363" spans="10:16" ht="12.5" x14ac:dyDescent="0.25">
      <c r="J363" s="115"/>
      <c r="K363" s="115"/>
      <c r="L363" s="115"/>
      <c r="M363" s="115"/>
      <c r="N363" s="115"/>
      <c r="O363" s="115"/>
      <c r="P363" s="115"/>
    </row>
    <row r="364" spans="10:16" ht="12.5" x14ac:dyDescent="0.25">
      <c r="J364" s="115"/>
      <c r="K364" s="115"/>
      <c r="L364" s="115"/>
      <c r="M364" s="115"/>
      <c r="N364" s="115"/>
      <c r="O364" s="115"/>
      <c r="P364" s="115"/>
    </row>
    <row r="365" spans="10:16" ht="12.5" x14ac:dyDescent="0.25">
      <c r="J365" s="115"/>
      <c r="K365" s="115"/>
      <c r="L365" s="115"/>
      <c r="M365" s="115"/>
      <c r="N365" s="115"/>
      <c r="O365" s="115"/>
      <c r="P365" s="115"/>
    </row>
    <row r="366" spans="10:16" ht="12.5" x14ac:dyDescent="0.25">
      <c r="J366" s="115"/>
      <c r="K366" s="115"/>
      <c r="L366" s="115"/>
      <c r="M366" s="115"/>
      <c r="N366" s="115"/>
      <c r="O366" s="115"/>
      <c r="P366" s="115"/>
    </row>
    <row r="367" spans="10:16" ht="12.5" x14ac:dyDescent="0.25">
      <c r="J367" s="115"/>
      <c r="K367" s="115"/>
      <c r="L367" s="115"/>
      <c r="M367" s="115"/>
      <c r="N367" s="115"/>
      <c r="O367" s="115"/>
      <c r="P367" s="115"/>
    </row>
    <row r="368" spans="10:16" ht="12.5" x14ac:dyDescent="0.25">
      <c r="J368" s="115"/>
      <c r="K368" s="115"/>
      <c r="L368" s="115"/>
      <c r="M368" s="115"/>
      <c r="N368" s="115"/>
      <c r="O368" s="115"/>
      <c r="P368" s="115"/>
    </row>
    <row r="369" spans="10:16" ht="12.5" x14ac:dyDescent="0.25">
      <c r="J369" s="115"/>
      <c r="K369" s="115"/>
      <c r="L369" s="115"/>
      <c r="M369" s="115"/>
      <c r="N369" s="115"/>
      <c r="O369" s="115"/>
      <c r="P369" s="115"/>
    </row>
    <row r="370" spans="10:16" ht="12.5" x14ac:dyDescent="0.25">
      <c r="J370" s="115"/>
      <c r="K370" s="115"/>
      <c r="L370" s="115"/>
      <c r="M370" s="115"/>
      <c r="N370" s="115"/>
      <c r="O370" s="115"/>
      <c r="P370" s="115"/>
    </row>
    <row r="371" spans="10:16" ht="12.5" x14ac:dyDescent="0.25">
      <c r="J371" s="115"/>
      <c r="K371" s="115"/>
      <c r="L371" s="115"/>
      <c r="M371" s="115"/>
      <c r="N371" s="115"/>
      <c r="O371" s="115"/>
      <c r="P371" s="115"/>
    </row>
    <row r="372" spans="10:16" ht="12.5" x14ac:dyDescent="0.25">
      <c r="J372" s="115"/>
      <c r="K372" s="115"/>
      <c r="L372" s="115"/>
      <c r="M372" s="115"/>
      <c r="N372" s="115"/>
      <c r="O372" s="115"/>
      <c r="P372" s="115"/>
    </row>
    <row r="373" spans="10:16" ht="12.5" x14ac:dyDescent="0.25">
      <c r="J373" s="115"/>
      <c r="K373" s="115"/>
      <c r="L373" s="115"/>
      <c r="M373" s="115"/>
      <c r="N373" s="115"/>
      <c r="O373" s="115"/>
      <c r="P373" s="115"/>
    </row>
    <row r="374" spans="10:16" ht="12.5" x14ac:dyDescent="0.25">
      <c r="J374" s="115"/>
      <c r="K374" s="115"/>
      <c r="L374" s="115"/>
      <c r="M374" s="115"/>
      <c r="N374" s="115"/>
      <c r="O374" s="115"/>
      <c r="P374" s="115"/>
    </row>
    <row r="375" spans="10:16" ht="12.5" x14ac:dyDescent="0.25">
      <c r="J375" s="115"/>
      <c r="K375" s="115"/>
      <c r="L375" s="115"/>
      <c r="M375" s="115"/>
      <c r="N375" s="115"/>
      <c r="O375" s="115"/>
      <c r="P375" s="115"/>
    </row>
    <row r="376" spans="10:16" ht="12.5" x14ac:dyDescent="0.25">
      <c r="J376" s="115"/>
      <c r="K376" s="115"/>
      <c r="L376" s="115"/>
      <c r="M376" s="115"/>
      <c r="N376" s="115"/>
      <c r="O376" s="115"/>
      <c r="P376" s="115"/>
    </row>
    <row r="377" spans="10:16" ht="12.5" x14ac:dyDescent="0.25">
      <c r="J377" s="115"/>
      <c r="K377" s="115"/>
      <c r="L377" s="115"/>
      <c r="M377" s="115"/>
      <c r="N377" s="115"/>
      <c r="O377" s="115"/>
      <c r="P377" s="115"/>
    </row>
    <row r="378" spans="10:16" ht="12.5" x14ac:dyDescent="0.25">
      <c r="J378" s="115"/>
      <c r="K378" s="115"/>
      <c r="L378" s="115"/>
      <c r="M378" s="115"/>
      <c r="N378" s="115"/>
      <c r="O378" s="115"/>
      <c r="P378" s="115"/>
    </row>
    <row r="379" spans="10:16" ht="12.5" x14ac:dyDescent="0.25">
      <c r="J379" s="115"/>
      <c r="K379" s="115"/>
      <c r="L379" s="115"/>
      <c r="M379" s="115"/>
      <c r="N379" s="115"/>
      <c r="O379" s="115"/>
      <c r="P379" s="115"/>
    </row>
    <row r="380" spans="10:16" ht="12.5" x14ac:dyDescent="0.25">
      <c r="J380" s="115"/>
      <c r="K380" s="115"/>
      <c r="L380" s="115"/>
      <c r="M380" s="115"/>
      <c r="N380" s="115"/>
      <c r="O380" s="115"/>
      <c r="P380" s="115"/>
    </row>
    <row r="381" spans="10:16" ht="12.5" x14ac:dyDescent="0.25">
      <c r="J381" s="115"/>
      <c r="K381" s="115"/>
      <c r="L381" s="115"/>
      <c r="M381" s="115"/>
      <c r="N381" s="115"/>
      <c r="O381" s="115"/>
      <c r="P381" s="115"/>
    </row>
    <row r="382" spans="10:16" ht="12.5" x14ac:dyDescent="0.25">
      <c r="J382" s="115"/>
      <c r="K382" s="115"/>
      <c r="L382" s="115"/>
      <c r="M382" s="115"/>
      <c r="N382" s="115"/>
      <c r="O382" s="115"/>
      <c r="P382" s="115"/>
    </row>
    <row r="383" spans="10:16" ht="12.5" x14ac:dyDescent="0.25">
      <c r="J383" s="115"/>
      <c r="K383" s="115"/>
      <c r="L383" s="115"/>
      <c r="M383" s="115"/>
      <c r="N383" s="115"/>
      <c r="O383" s="115"/>
      <c r="P383" s="115"/>
    </row>
    <row r="384" spans="10:16" ht="12.5" x14ac:dyDescent="0.25">
      <c r="J384" s="115"/>
      <c r="K384" s="115"/>
      <c r="L384" s="115"/>
      <c r="M384" s="115"/>
      <c r="N384" s="115"/>
      <c r="O384" s="115"/>
      <c r="P384" s="115"/>
    </row>
    <row r="385" spans="10:16" ht="12.5" x14ac:dyDescent="0.25">
      <c r="J385" s="115"/>
      <c r="K385" s="115"/>
      <c r="L385" s="115"/>
      <c r="M385" s="115"/>
      <c r="N385" s="115"/>
      <c r="O385" s="115"/>
      <c r="P385" s="115"/>
    </row>
    <row r="386" spans="10:16" ht="12.5" x14ac:dyDescent="0.25">
      <c r="J386" s="115"/>
      <c r="K386" s="115"/>
      <c r="L386" s="115"/>
      <c r="M386" s="115"/>
      <c r="N386" s="115"/>
      <c r="O386" s="115"/>
      <c r="P386" s="115"/>
    </row>
    <row r="387" spans="10:16" ht="12.5" x14ac:dyDescent="0.25">
      <c r="J387" s="115"/>
      <c r="K387" s="115"/>
      <c r="L387" s="115"/>
      <c r="M387" s="115"/>
      <c r="N387" s="115"/>
      <c r="O387" s="115"/>
      <c r="P387" s="115"/>
    </row>
    <row r="388" spans="10:16" ht="12.5" x14ac:dyDescent="0.25">
      <c r="J388" s="115"/>
      <c r="K388" s="115"/>
      <c r="L388" s="115"/>
      <c r="M388" s="115"/>
      <c r="N388" s="115"/>
      <c r="O388" s="115"/>
      <c r="P388" s="115"/>
    </row>
    <row r="389" spans="10:16" ht="12.5" x14ac:dyDescent="0.25">
      <c r="J389" s="115"/>
      <c r="K389" s="115"/>
      <c r="L389" s="115"/>
      <c r="M389" s="115"/>
      <c r="N389" s="115"/>
      <c r="O389" s="115"/>
      <c r="P389" s="115"/>
    </row>
    <row r="390" spans="10:16" ht="12.5" x14ac:dyDescent="0.25">
      <c r="J390" s="115"/>
      <c r="K390" s="115"/>
      <c r="L390" s="115"/>
      <c r="M390" s="115"/>
      <c r="N390" s="115"/>
      <c r="O390" s="115"/>
      <c r="P390" s="115"/>
    </row>
    <row r="391" spans="10:16" ht="12.5" x14ac:dyDescent="0.25">
      <c r="J391" s="115"/>
      <c r="K391" s="115"/>
      <c r="L391" s="115"/>
      <c r="M391" s="115"/>
      <c r="N391" s="115"/>
      <c r="O391" s="115"/>
      <c r="P391" s="115"/>
    </row>
    <row r="392" spans="10:16" ht="12.5" x14ac:dyDescent="0.25">
      <c r="J392" s="115"/>
      <c r="K392" s="115"/>
      <c r="L392" s="115"/>
      <c r="M392" s="115"/>
      <c r="N392" s="115"/>
      <c r="O392" s="115"/>
      <c r="P392" s="115"/>
    </row>
    <row r="393" spans="10:16" ht="12.5" x14ac:dyDescent="0.25">
      <c r="J393" s="115"/>
      <c r="K393" s="115"/>
      <c r="L393" s="115"/>
      <c r="M393" s="115"/>
      <c r="N393" s="115"/>
      <c r="O393" s="115"/>
      <c r="P393" s="115"/>
    </row>
    <row r="394" spans="10:16" ht="12.5" x14ac:dyDescent="0.25">
      <c r="J394" s="115"/>
      <c r="K394" s="115"/>
      <c r="L394" s="115"/>
      <c r="M394" s="115"/>
      <c r="N394" s="115"/>
      <c r="O394" s="115"/>
      <c r="P394" s="115"/>
    </row>
    <row r="395" spans="10:16" ht="12.5" x14ac:dyDescent="0.25">
      <c r="J395" s="115"/>
      <c r="K395" s="115"/>
      <c r="L395" s="115"/>
      <c r="M395" s="115"/>
      <c r="N395" s="115"/>
      <c r="O395" s="115"/>
      <c r="P395" s="115"/>
    </row>
    <row r="396" spans="10:16" ht="12.5" x14ac:dyDescent="0.25">
      <c r="J396" s="115"/>
      <c r="K396" s="115"/>
      <c r="L396" s="115"/>
      <c r="M396" s="115"/>
      <c r="N396" s="115"/>
      <c r="O396" s="115"/>
      <c r="P396" s="115"/>
    </row>
    <row r="397" spans="10:16" ht="12.5" x14ac:dyDescent="0.25">
      <c r="J397" s="115"/>
      <c r="K397" s="115"/>
      <c r="L397" s="115"/>
      <c r="M397" s="115"/>
      <c r="N397" s="115"/>
      <c r="O397" s="115"/>
      <c r="P397" s="115"/>
    </row>
    <row r="398" spans="10:16" ht="12.5" x14ac:dyDescent="0.25">
      <c r="J398" s="115"/>
      <c r="K398" s="115"/>
      <c r="L398" s="115"/>
      <c r="M398" s="115"/>
      <c r="N398" s="115"/>
      <c r="O398" s="115"/>
      <c r="P398" s="115"/>
    </row>
    <row r="399" spans="10:16" ht="12.5" x14ac:dyDescent="0.25">
      <c r="J399" s="115"/>
      <c r="K399" s="115"/>
      <c r="L399" s="115"/>
      <c r="M399" s="115"/>
      <c r="N399" s="115"/>
      <c r="O399" s="115"/>
      <c r="P399" s="115"/>
    </row>
    <row r="400" spans="10:16" ht="12.5" x14ac:dyDescent="0.25">
      <c r="J400" s="115"/>
      <c r="K400" s="115"/>
      <c r="L400" s="115"/>
      <c r="M400" s="115"/>
      <c r="N400" s="115"/>
      <c r="O400" s="115"/>
      <c r="P400" s="115"/>
    </row>
    <row r="401" spans="10:16" ht="12.5" x14ac:dyDescent="0.25">
      <c r="J401" s="115"/>
      <c r="K401" s="115"/>
      <c r="L401" s="115"/>
      <c r="M401" s="115"/>
      <c r="N401" s="115"/>
      <c r="O401" s="115"/>
      <c r="P401" s="115"/>
    </row>
    <row r="402" spans="10:16" ht="12.5" x14ac:dyDescent="0.25">
      <c r="J402" s="115"/>
      <c r="K402" s="115"/>
      <c r="L402" s="115"/>
      <c r="M402" s="115"/>
      <c r="N402" s="115"/>
      <c r="O402" s="115"/>
      <c r="P402" s="115"/>
    </row>
    <row r="403" spans="10:16" ht="12.5" x14ac:dyDescent="0.25">
      <c r="J403" s="115"/>
      <c r="K403" s="115"/>
      <c r="L403" s="115"/>
      <c r="M403" s="115"/>
      <c r="N403" s="115"/>
      <c r="O403" s="115"/>
      <c r="P403" s="115"/>
    </row>
    <row r="404" spans="10:16" ht="12.5" x14ac:dyDescent="0.25">
      <c r="J404" s="115"/>
      <c r="K404" s="115"/>
      <c r="L404" s="115"/>
      <c r="M404" s="115"/>
      <c r="N404" s="115"/>
      <c r="O404" s="115"/>
      <c r="P404" s="115"/>
    </row>
    <row r="405" spans="10:16" ht="12.5" x14ac:dyDescent="0.25">
      <c r="J405" s="115"/>
      <c r="K405" s="115"/>
      <c r="L405" s="115"/>
      <c r="M405" s="115"/>
      <c r="N405" s="115"/>
      <c r="O405" s="115"/>
      <c r="P405" s="115"/>
    </row>
    <row r="406" spans="10:16" ht="12.5" x14ac:dyDescent="0.25">
      <c r="J406" s="115"/>
      <c r="K406" s="115"/>
      <c r="L406" s="115"/>
      <c r="M406" s="115"/>
      <c r="N406" s="115"/>
      <c r="O406" s="115"/>
      <c r="P406" s="115"/>
    </row>
    <row r="407" spans="10:16" ht="12.5" x14ac:dyDescent="0.25">
      <c r="J407" s="115"/>
      <c r="K407" s="115"/>
      <c r="L407" s="115"/>
      <c r="M407" s="115"/>
      <c r="N407" s="115"/>
      <c r="O407" s="115"/>
      <c r="P407" s="115"/>
    </row>
    <row r="408" spans="10:16" ht="12.5" x14ac:dyDescent="0.25">
      <c r="J408" s="115"/>
      <c r="K408" s="115"/>
      <c r="L408" s="115"/>
      <c r="M408" s="115"/>
      <c r="N408" s="115"/>
      <c r="O408" s="115"/>
      <c r="P408" s="115"/>
    </row>
    <row r="409" spans="10:16" ht="12.5" x14ac:dyDescent="0.25">
      <c r="J409" s="115"/>
      <c r="K409" s="115"/>
      <c r="L409" s="115"/>
      <c r="M409" s="115"/>
      <c r="N409" s="115"/>
      <c r="O409" s="115"/>
      <c r="P409" s="115"/>
    </row>
    <row r="410" spans="10:16" ht="12.5" x14ac:dyDescent="0.25">
      <c r="J410" s="115"/>
      <c r="K410" s="115"/>
      <c r="L410" s="115"/>
      <c r="M410" s="115"/>
      <c r="N410" s="115"/>
      <c r="O410" s="115"/>
      <c r="P410" s="115"/>
    </row>
    <row r="411" spans="10:16" ht="12.5" x14ac:dyDescent="0.25">
      <c r="J411" s="115"/>
      <c r="K411" s="115"/>
      <c r="L411" s="115"/>
      <c r="M411" s="115"/>
      <c r="N411" s="115"/>
      <c r="O411" s="115"/>
      <c r="P411" s="115"/>
    </row>
    <row r="412" spans="10:16" ht="12.5" x14ac:dyDescent="0.25">
      <c r="J412" s="115"/>
      <c r="K412" s="115"/>
      <c r="L412" s="115"/>
      <c r="M412" s="115"/>
      <c r="N412" s="115"/>
      <c r="O412" s="115"/>
      <c r="P412" s="115"/>
    </row>
    <row r="413" spans="10:16" ht="12.5" x14ac:dyDescent="0.25">
      <c r="J413" s="115"/>
      <c r="K413" s="115"/>
      <c r="L413" s="115"/>
      <c r="M413" s="115"/>
      <c r="N413" s="115"/>
      <c r="O413" s="115"/>
      <c r="P413" s="115"/>
    </row>
    <row r="414" spans="10:16" ht="12.5" x14ac:dyDescent="0.25">
      <c r="J414" s="115"/>
      <c r="K414" s="115"/>
      <c r="L414" s="115"/>
      <c r="M414" s="115"/>
      <c r="N414" s="115"/>
      <c r="O414" s="115"/>
      <c r="P414" s="115"/>
    </row>
    <row r="415" spans="10:16" ht="12.5" x14ac:dyDescent="0.25">
      <c r="J415" s="115"/>
      <c r="K415" s="115"/>
      <c r="L415" s="115"/>
      <c r="M415" s="115"/>
      <c r="N415" s="115"/>
      <c r="O415" s="115"/>
      <c r="P415" s="115"/>
    </row>
    <row r="416" spans="10:16" ht="12.5" x14ac:dyDescent="0.25">
      <c r="J416" s="115"/>
      <c r="K416" s="115"/>
      <c r="L416" s="115"/>
      <c r="M416" s="115"/>
      <c r="N416" s="115"/>
      <c r="O416" s="115"/>
      <c r="P416" s="115"/>
    </row>
    <row r="417" spans="10:16" ht="12.5" x14ac:dyDescent="0.25">
      <c r="J417" s="115"/>
      <c r="K417" s="115"/>
      <c r="L417" s="115"/>
      <c r="M417" s="115"/>
      <c r="N417" s="115"/>
      <c r="O417" s="115"/>
      <c r="P417" s="115"/>
    </row>
    <row r="418" spans="10:16" ht="12.5" x14ac:dyDescent="0.25">
      <c r="J418" s="115"/>
      <c r="K418" s="115"/>
      <c r="L418" s="115"/>
      <c r="M418" s="115"/>
      <c r="N418" s="115"/>
      <c r="O418" s="115"/>
      <c r="P418" s="115"/>
    </row>
    <row r="419" spans="10:16" ht="12.5" x14ac:dyDescent="0.25">
      <c r="J419" s="115"/>
      <c r="K419" s="115"/>
      <c r="L419" s="115"/>
      <c r="M419" s="115"/>
      <c r="N419" s="115"/>
      <c r="O419" s="115"/>
      <c r="P419" s="115"/>
    </row>
    <row r="420" spans="10:16" ht="12.5" x14ac:dyDescent="0.25">
      <c r="J420" s="115"/>
      <c r="K420" s="115"/>
      <c r="L420" s="115"/>
      <c r="M420" s="115"/>
      <c r="N420" s="115"/>
      <c r="O420" s="115"/>
      <c r="P420" s="115"/>
    </row>
    <row r="421" spans="10:16" ht="12.5" x14ac:dyDescent="0.25">
      <c r="J421" s="115"/>
      <c r="K421" s="115"/>
      <c r="L421" s="115"/>
      <c r="M421" s="115"/>
      <c r="N421" s="115"/>
      <c r="O421" s="115"/>
      <c r="P421" s="115"/>
    </row>
    <row r="422" spans="10:16" ht="12.5" x14ac:dyDescent="0.25">
      <c r="J422" s="115"/>
      <c r="K422" s="115"/>
      <c r="L422" s="115"/>
      <c r="M422" s="115"/>
      <c r="N422" s="115"/>
      <c r="O422" s="115"/>
      <c r="P422" s="115"/>
    </row>
    <row r="423" spans="10:16" ht="12.5" x14ac:dyDescent="0.25">
      <c r="J423" s="115"/>
      <c r="K423" s="115"/>
      <c r="L423" s="115"/>
      <c r="M423" s="115"/>
      <c r="N423" s="115"/>
      <c r="O423" s="115"/>
      <c r="P423" s="115"/>
    </row>
    <row r="424" spans="10:16" ht="12.5" x14ac:dyDescent="0.25">
      <c r="J424" s="115"/>
      <c r="K424" s="115"/>
      <c r="L424" s="115"/>
      <c r="M424" s="115"/>
      <c r="N424" s="115"/>
      <c r="O424" s="115"/>
      <c r="P424" s="115"/>
    </row>
    <row r="425" spans="10:16" ht="12.5" x14ac:dyDescent="0.25">
      <c r="J425" s="115"/>
      <c r="K425" s="115"/>
      <c r="L425" s="115"/>
      <c r="M425" s="115"/>
      <c r="N425" s="115"/>
      <c r="O425" s="115"/>
      <c r="P425" s="115"/>
    </row>
    <row r="426" spans="10:16" ht="12.5" x14ac:dyDescent="0.25">
      <c r="J426" s="115"/>
      <c r="K426" s="115"/>
      <c r="L426" s="115"/>
      <c r="M426" s="115"/>
      <c r="N426" s="115"/>
      <c r="O426" s="115"/>
      <c r="P426" s="115"/>
    </row>
    <row r="427" spans="10:16" ht="12.5" x14ac:dyDescent="0.25">
      <c r="J427" s="115"/>
      <c r="K427" s="115"/>
      <c r="L427" s="115"/>
      <c r="M427" s="115"/>
      <c r="N427" s="115"/>
      <c r="O427" s="115"/>
      <c r="P427" s="115"/>
    </row>
    <row r="428" spans="10:16" ht="12.5" x14ac:dyDescent="0.25">
      <c r="J428" s="115"/>
      <c r="K428" s="115"/>
      <c r="L428" s="115"/>
      <c r="M428" s="115"/>
      <c r="N428" s="115"/>
      <c r="O428" s="115"/>
      <c r="P428" s="115"/>
    </row>
    <row r="429" spans="10:16" ht="12.5" x14ac:dyDescent="0.25">
      <c r="J429" s="115"/>
      <c r="K429" s="115"/>
      <c r="L429" s="115"/>
      <c r="M429" s="115"/>
      <c r="N429" s="115"/>
      <c r="O429" s="115"/>
      <c r="P429" s="115"/>
    </row>
    <row r="430" spans="10:16" ht="12.5" x14ac:dyDescent="0.25">
      <c r="J430" s="115"/>
      <c r="K430" s="115"/>
      <c r="L430" s="115"/>
      <c r="M430" s="115"/>
      <c r="N430" s="115"/>
      <c r="O430" s="115"/>
      <c r="P430" s="115"/>
    </row>
    <row r="431" spans="10:16" ht="12.5" x14ac:dyDescent="0.25">
      <c r="J431" s="115"/>
      <c r="K431" s="115"/>
      <c r="L431" s="115"/>
      <c r="M431" s="115"/>
      <c r="N431" s="115"/>
      <c r="O431" s="115"/>
      <c r="P431" s="115"/>
    </row>
    <row r="432" spans="10:16" ht="12.5" x14ac:dyDescent="0.25">
      <c r="J432" s="115"/>
      <c r="K432" s="115"/>
      <c r="L432" s="115"/>
      <c r="M432" s="115"/>
      <c r="N432" s="115"/>
      <c r="O432" s="115"/>
      <c r="P432" s="115"/>
    </row>
    <row r="433" spans="10:16" ht="12.5" x14ac:dyDescent="0.25">
      <c r="J433" s="115"/>
      <c r="K433" s="115"/>
      <c r="L433" s="115"/>
      <c r="M433" s="115"/>
      <c r="N433" s="115"/>
      <c r="O433" s="115"/>
      <c r="P433" s="115"/>
    </row>
    <row r="434" spans="10:16" ht="12.5" x14ac:dyDescent="0.25">
      <c r="J434" s="115"/>
      <c r="K434" s="115"/>
      <c r="L434" s="115"/>
      <c r="M434" s="115"/>
      <c r="N434" s="115"/>
      <c r="O434" s="115"/>
      <c r="P434" s="115"/>
    </row>
    <row r="435" spans="10:16" ht="12.5" x14ac:dyDescent="0.25">
      <c r="J435" s="115"/>
      <c r="K435" s="115"/>
      <c r="L435" s="115"/>
      <c r="M435" s="115"/>
      <c r="N435" s="115"/>
      <c r="O435" s="115"/>
      <c r="P435" s="115"/>
    </row>
    <row r="436" spans="10:16" ht="12.5" x14ac:dyDescent="0.25">
      <c r="J436" s="115"/>
      <c r="K436" s="115"/>
      <c r="L436" s="115"/>
      <c r="M436" s="115"/>
      <c r="N436" s="115"/>
      <c r="O436" s="115"/>
      <c r="P436" s="115"/>
    </row>
    <row r="437" spans="10:16" ht="12.5" x14ac:dyDescent="0.25">
      <c r="J437" s="115"/>
      <c r="K437" s="115"/>
      <c r="L437" s="115"/>
      <c r="M437" s="115"/>
      <c r="N437" s="115"/>
      <c r="O437" s="115"/>
      <c r="P437" s="115"/>
    </row>
    <row r="438" spans="10:16" ht="12.5" x14ac:dyDescent="0.25">
      <c r="J438" s="115"/>
      <c r="K438" s="115"/>
      <c r="L438" s="115"/>
      <c r="M438" s="115"/>
      <c r="N438" s="115"/>
      <c r="O438" s="115"/>
      <c r="P438" s="115"/>
    </row>
    <row r="439" spans="10:16" ht="12.5" x14ac:dyDescent="0.25">
      <c r="J439" s="115"/>
      <c r="K439" s="115"/>
      <c r="L439" s="115"/>
      <c r="M439" s="115"/>
      <c r="N439" s="115"/>
      <c r="O439" s="115"/>
      <c r="P439" s="115"/>
    </row>
    <row r="440" spans="10:16" ht="12.5" x14ac:dyDescent="0.25">
      <c r="J440" s="115"/>
      <c r="K440" s="115"/>
      <c r="L440" s="115"/>
      <c r="M440" s="115"/>
      <c r="N440" s="115"/>
      <c r="O440" s="115"/>
      <c r="P440" s="115"/>
    </row>
    <row r="441" spans="10:16" ht="12.5" x14ac:dyDescent="0.25">
      <c r="J441" s="115"/>
      <c r="K441" s="115"/>
      <c r="L441" s="115"/>
      <c r="M441" s="115"/>
      <c r="N441" s="115"/>
      <c r="O441" s="115"/>
      <c r="P441" s="115"/>
    </row>
    <row r="442" spans="10:16" ht="12.5" x14ac:dyDescent="0.25">
      <c r="J442" s="115"/>
      <c r="K442" s="115"/>
      <c r="L442" s="115"/>
      <c r="M442" s="115"/>
      <c r="N442" s="115"/>
      <c r="O442" s="115"/>
      <c r="P442" s="115"/>
    </row>
    <row r="443" spans="10:16" ht="12.5" x14ac:dyDescent="0.25">
      <c r="J443" s="115"/>
      <c r="K443" s="115"/>
      <c r="L443" s="115"/>
      <c r="M443" s="115"/>
      <c r="N443" s="115"/>
      <c r="O443" s="115"/>
      <c r="P443" s="115"/>
    </row>
    <row r="444" spans="10:16" ht="12.5" x14ac:dyDescent="0.25">
      <c r="J444" s="115"/>
      <c r="K444" s="115"/>
      <c r="L444" s="115"/>
      <c r="M444" s="115"/>
      <c r="N444" s="115"/>
      <c r="O444" s="115"/>
      <c r="P444" s="115"/>
    </row>
    <row r="445" spans="10:16" ht="12.5" x14ac:dyDescent="0.25">
      <c r="J445" s="115"/>
      <c r="K445" s="115"/>
      <c r="L445" s="115"/>
      <c r="M445" s="115"/>
      <c r="N445" s="115"/>
      <c r="O445" s="115"/>
      <c r="P445" s="115"/>
    </row>
    <row r="446" spans="10:16" ht="12.5" x14ac:dyDescent="0.25">
      <c r="J446" s="115"/>
      <c r="K446" s="115"/>
      <c r="L446" s="115"/>
      <c r="M446" s="115"/>
      <c r="N446" s="115"/>
      <c r="O446" s="115"/>
      <c r="P446" s="115"/>
    </row>
    <row r="447" spans="10:16" ht="12.5" x14ac:dyDescent="0.25">
      <c r="J447" s="115"/>
      <c r="K447" s="115"/>
      <c r="L447" s="115"/>
      <c r="M447" s="115"/>
      <c r="N447" s="115"/>
      <c r="O447" s="115"/>
      <c r="P447" s="115"/>
    </row>
    <row r="448" spans="10:16" ht="12.5" x14ac:dyDescent="0.25">
      <c r="J448" s="115"/>
      <c r="K448" s="115"/>
      <c r="L448" s="115"/>
      <c r="M448" s="115"/>
      <c r="N448" s="115"/>
      <c r="O448" s="115"/>
      <c r="P448" s="115"/>
    </row>
    <row r="449" spans="10:16" ht="12.5" x14ac:dyDescent="0.25">
      <c r="J449" s="115"/>
      <c r="K449" s="115"/>
      <c r="L449" s="115"/>
      <c r="M449" s="115"/>
      <c r="N449" s="115"/>
      <c r="O449" s="115"/>
      <c r="P449" s="115"/>
    </row>
    <row r="450" spans="10:16" ht="12.5" x14ac:dyDescent="0.25">
      <c r="J450" s="115"/>
      <c r="K450" s="115"/>
      <c r="L450" s="115"/>
      <c r="M450" s="115"/>
      <c r="N450" s="115"/>
      <c r="O450" s="115"/>
      <c r="P450" s="115"/>
    </row>
    <row r="451" spans="10:16" ht="12.5" x14ac:dyDescent="0.25">
      <c r="J451" s="115"/>
      <c r="K451" s="115"/>
      <c r="L451" s="115"/>
      <c r="M451" s="115"/>
      <c r="N451" s="115"/>
      <c r="O451" s="115"/>
      <c r="P451" s="115"/>
    </row>
    <row r="452" spans="10:16" ht="12.5" x14ac:dyDescent="0.25">
      <c r="J452" s="115"/>
      <c r="K452" s="115"/>
      <c r="L452" s="115"/>
      <c r="M452" s="115"/>
      <c r="N452" s="115"/>
      <c r="O452" s="115"/>
      <c r="P452" s="115"/>
    </row>
    <row r="453" spans="10:16" ht="12.5" x14ac:dyDescent="0.25">
      <c r="J453" s="115"/>
      <c r="K453" s="115"/>
      <c r="L453" s="115"/>
      <c r="M453" s="115"/>
      <c r="N453" s="115"/>
      <c r="O453" s="115"/>
      <c r="P453" s="115"/>
    </row>
    <row r="454" spans="10:16" ht="12.5" x14ac:dyDescent="0.25">
      <c r="J454" s="115"/>
      <c r="K454" s="115"/>
      <c r="L454" s="115"/>
      <c r="M454" s="115"/>
      <c r="N454" s="115"/>
      <c r="O454" s="115"/>
      <c r="P454" s="115"/>
    </row>
    <row r="455" spans="10:16" ht="12.5" x14ac:dyDescent="0.25">
      <c r="J455" s="115"/>
      <c r="K455" s="115"/>
      <c r="L455" s="115"/>
      <c r="M455" s="115"/>
      <c r="N455" s="115"/>
      <c r="O455" s="115"/>
      <c r="P455" s="115"/>
    </row>
    <row r="456" spans="10:16" ht="12.5" x14ac:dyDescent="0.25">
      <c r="J456" s="115"/>
      <c r="K456" s="115"/>
      <c r="L456" s="115"/>
      <c r="M456" s="115"/>
      <c r="N456" s="115"/>
      <c r="O456" s="115"/>
      <c r="P456" s="115"/>
    </row>
    <row r="457" spans="10:16" ht="12.5" x14ac:dyDescent="0.25">
      <c r="J457" s="115"/>
      <c r="K457" s="115"/>
      <c r="L457" s="115"/>
      <c r="M457" s="115"/>
      <c r="N457" s="115"/>
      <c r="O457" s="115"/>
      <c r="P457" s="115"/>
    </row>
    <row r="458" spans="10:16" ht="12.5" x14ac:dyDescent="0.25">
      <c r="J458" s="115"/>
      <c r="K458" s="115"/>
      <c r="L458" s="115"/>
      <c r="M458" s="115"/>
      <c r="N458" s="115"/>
      <c r="O458" s="115"/>
      <c r="P458" s="115"/>
    </row>
    <row r="459" spans="10:16" ht="12.5" x14ac:dyDescent="0.25">
      <c r="J459" s="115"/>
      <c r="K459" s="115"/>
      <c r="L459" s="115"/>
      <c r="M459" s="115"/>
      <c r="N459" s="115"/>
      <c r="O459" s="115"/>
      <c r="P459" s="115"/>
    </row>
    <row r="460" spans="10:16" ht="12.5" x14ac:dyDescent="0.25">
      <c r="J460" s="115"/>
      <c r="K460" s="115"/>
      <c r="L460" s="115"/>
      <c r="M460" s="115"/>
      <c r="N460" s="115"/>
      <c r="O460" s="115"/>
      <c r="P460" s="115"/>
    </row>
    <row r="461" spans="10:16" ht="12.5" x14ac:dyDescent="0.25">
      <c r="J461" s="115"/>
      <c r="K461" s="115"/>
      <c r="L461" s="115"/>
      <c r="M461" s="115"/>
      <c r="N461" s="115"/>
      <c r="O461" s="115"/>
      <c r="P461" s="115"/>
    </row>
    <row r="462" spans="10:16" ht="12.5" x14ac:dyDescent="0.25">
      <c r="J462" s="115"/>
      <c r="K462" s="115"/>
      <c r="L462" s="115"/>
      <c r="M462" s="115"/>
      <c r="N462" s="115"/>
      <c r="O462" s="115"/>
      <c r="P462" s="115"/>
    </row>
    <row r="463" spans="10:16" ht="12.5" x14ac:dyDescent="0.25">
      <c r="J463" s="115"/>
      <c r="K463" s="115"/>
      <c r="L463" s="115"/>
      <c r="M463" s="115"/>
      <c r="N463" s="115"/>
      <c r="O463" s="115"/>
      <c r="P463" s="115"/>
    </row>
    <row r="464" spans="10:16" ht="12.5" x14ac:dyDescent="0.25">
      <c r="J464" s="115"/>
      <c r="K464" s="115"/>
      <c r="L464" s="115"/>
      <c r="M464" s="115"/>
      <c r="N464" s="115"/>
      <c r="O464" s="115"/>
      <c r="P464" s="115"/>
    </row>
    <row r="465" spans="10:16" ht="12.5" x14ac:dyDescent="0.25">
      <c r="J465" s="115"/>
      <c r="K465" s="115"/>
      <c r="L465" s="115"/>
      <c r="M465" s="115"/>
      <c r="N465" s="115"/>
      <c r="O465" s="115"/>
      <c r="P465" s="115"/>
    </row>
    <row r="466" spans="10:16" ht="12.5" x14ac:dyDescent="0.25">
      <c r="J466" s="115"/>
      <c r="K466" s="115"/>
      <c r="L466" s="115"/>
      <c r="M466" s="115"/>
      <c r="N466" s="115"/>
      <c r="O466" s="115"/>
      <c r="P466" s="115"/>
    </row>
    <row r="467" spans="10:16" ht="12.5" x14ac:dyDescent="0.25">
      <c r="J467" s="115"/>
      <c r="K467" s="115"/>
      <c r="L467" s="115"/>
      <c r="M467" s="115"/>
      <c r="N467" s="115"/>
      <c r="O467" s="115"/>
      <c r="P467" s="115"/>
    </row>
    <row r="468" spans="10:16" ht="12.5" x14ac:dyDescent="0.25">
      <c r="J468" s="115"/>
      <c r="K468" s="115"/>
      <c r="L468" s="115"/>
      <c r="M468" s="115"/>
      <c r="N468" s="115"/>
      <c r="O468" s="115"/>
      <c r="P468" s="115"/>
    </row>
    <row r="469" spans="10:16" ht="12.5" x14ac:dyDescent="0.25">
      <c r="J469" s="115"/>
      <c r="K469" s="115"/>
      <c r="L469" s="115"/>
      <c r="M469" s="115"/>
      <c r="N469" s="115"/>
      <c r="O469" s="115"/>
      <c r="P469" s="115"/>
    </row>
    <row r="470" spans="10:16" ht="12.5" x14ac:dyDescent="0.25">
      <c r="J470" s="115"/>
      <c r="K470" s="115"/>
      <c r="L470" s="115"/>
      <c r="M470" s="115"/>
      <c r="N470" s="115"/>
      <c r="O470" s="115"/>
      <c r="P470" s="115"/>
    </row>
    <row r="471" spans="10:16" ht="12.5" x14ac:dyDescent="0.25">
      <c r="J471" s="115"/>
      <c r="K471" s="115"/>
      <c r="L471" s="115"/>
      <c r="M471" s="115"/>
      <c r="N471" s="115"/>
      <c r="O471" s="115"/>
      <c r="P471" s="115"/>
    </row>
    <row r="472" spans="10:16" ht="12.5" x14ac:dyDescent="0.25">
      <c r="J472" s="115"/>
      <c r="K472" s="115"/>
      <c r="L472" s="115"/>
      <c r="M472" s="115"/>
      <c r="N472" s="115"/>
      <c r="O472" s="115"/>
      <c r="P472" s="115"/>
    </row>
    <row r="473" spans="10:16" ht="12.5" x14ac:dyDescent="0.25">
      <c r="J473" s="115"/>
      <c r="K473" s="115"/>
      <c r="L473" s="115"/>
      <c r="M473" s="115"/>
      <c r="N473" s="115"/>
      <c r="O473" s="115"/>
      <c r="P473" s="115"/>
    </row>
    <row r="474" spans="10:16" ht="12.5" x14ac:dyDescent="0.25">
      <c r="J474" s="115"/>
      <c r="K474" s="115"/>
      <c r="L474" s="115"/>
      <c r="M474" s="115"/>
      <c r="N474" s="115"/>
      <c r="O474" s="115"/>
      <c r="P474" s="115"/>
    </row>
    <row r="475" spans="10:16" ht="12.5" x14ac:dyDescent="0.25">
      <c r="J475" s="115"/>
      <c r="K475" s="115"/>
      <c r="L475" s="115"/>
      <c r="M475" s="115"/>
      <c r="N475" s="115"/>
      <c r="O475" s="115"/>
      <c r="P475" s="115"/>
    </row>
    <row r="476" spans="10:16" ht="12.5" x14ac:dyDescent="0.25">
      <c r="J476" s="115"/>
      <c r="K476" s="115"/>
      <c r="L476" s="115"/>
      <c r="M476" s="115"/>
      <c r="N476" s="115"/>
      <c r="O476" s="115"/>
      <c r="P476" s="115"/>
    </row>
    <row r="477" spans="10:16" ht="12.5" x14ac:dyDescent="0.25">
      <c r="J477" s="115"/>
      <c r="K477" s="115"/>
      <c r="L477" s="115"/>
      <c r="M477" s="115"/>
      <c r="N477" s="115"/>
      <c r="O477" s="115"/>
      <c r="P477" s="115"/>
    </row>
    <row r="478" spans="10:16" ht="12.5" x14ac:dyDescent="0.25">
      <c r="J478" s="115"/>
      <c r="K478" s="115"/>
      <c r="L478" s="115"/>
      <c r="M478" s="115"/>
      <c r="N478" s="115"/>
      <c r="O478" s="115"/>
      <c r="P478" s="115"/>
    </row>
    <row r="479" spans="10:16" ht="12.5" x14ac:dyDescent="0.25">
      <c r="J479" s="115"/>
      <c r="K479" s="115"/>
      <c r="L479" s="115"/>
      <c r="M479" s="115"/>
      <c r="N479" s="115"/>
      <c r="O479" s="115"/>
      <c r="P479" s="115"/>
    </row>
    <row r="480" spans="10:16" ht="12.5" x14ac:dyDescent="0.25">
      <c r="J480" s="115"/>
      <c r="K480" s="115"/>
      <c r="L480" s="115"/>
      <c r="M480" s="115"/>
      <c r="N480" s="115"/>
      <c r="O480" s="115"/>
      <c r="P480" s="115"/>
    </row>
    <row r="481" spans="10:16" ht="12.5" x14ac:dyDescent="0.25">
      <c r="J481" s="115"/>
      <c r="K481" s="115"/>
      <c r="L481" s="115"/>
      <c r="M481" s="115"/>
      <c r="N481" s="115"/>
      <c r="O481" s="115"/>
      <c r="P481" s="115"/>
    </row>
    <row r="482" spans="10:16" ht="12.5" x14ac:dyDescent="0.25">
      <c r="J482" s="115"/>
      <c r="K482" s="115"/>
      <c r="L482" s="115"/>
      <c r="M482" s="115"/>
      <c r="N482" s="115"/>
      <c r="O482" s="115"/>
      <c r="P482" s="115"/>
    </row>
    <row r="483" spans="10:16" ht="12.5" x14ac:dyDescent="0.25">
      <c r="J483" s="115"/>
      <c r="K483" s="115"/>
      <c r="L483" s="115"/>
      <c r="M483" s="115"/>
      <c r="N483" s="115"/>
      <c r="O483" s="115"/>
      <c r="P483" s="115"/>
    </row>
    <row r="484" spans="10:16" ht="12.5" x14ac:dyDescent="0.25">
      <c r="J484" s="115"/>
      <c r="K484" s="115"/>
      <c r="L484" s="115"/>
      <c r="M484" s="115"/>
      <c r="N484" s="115"/>
      <c r="O484" s="115"/>
      <c r="P484" s="115"/>
    </row>
    <row r="485" spans="10:16" ht="12.5" x14ac:dyDescent="0.25">
      <c r="J485" s="115"/>
      <c r="K485" s="115"/>
      <c r="L485" s="115"/>
      <c r="M485" s="115"/>
      <c r="N485" s="115"/>
      <c r="O485" s="115"/>
      <c r="P485" s="115"/>
    </row>
    <row r="486" spans="10:16" ht="12.5" x14ac:dyDescent="0.25">
      <c r="J486" s="115"/>
      <c r="K486" s="115"/>
      <c r="L486" s="115"/>
      <c r="M486" s="115"/>
      <c r="N486" s="115"/>
      <c r="O486" s="115"/>
      <c r="P486" s="115"/>
    </row>
    <row r="487" spans="10:16" ht="12.5" x14ac:dyDescent="0.25">
      <c r="J487" s="115"/>
      <c r="K487" s="115"/>
      <c r="L487" s="115"/>
      <c r="M487" s="115"/>
      <c r="N487" s="115"/>
      <c r="O487" s="115"/>
      <c r="P487" s="115"/>
    </row>
    <row r="488" spans="10:16" ht="12.5" x14ac:dyDescent="0.25">
      <c r="J488" s="115"/>
      <c r="K488" s="115"/>
      <c r="L488" s="115"/>
      <c r="M488" s="115"/>
      <c r="N488" s="115"/>
      <c r="O488" s="115"/>
      <c r="P488" s="115"/>
    </row>
    <row r="489" spans="10:16" ht="12.5" x14ac:dyDescent="0.25">
      <c r="J489" s="115"/>
      <c r="K489" s="115"/>
      <c r="L489" s="115"/>
      <c r="M489" s="115"/>
      <c r="N489" s="115"/>
      <c r="O489" s="115"/>
      <c r="P489" s="115"/>
    </row>
    <row r="490" spans="10:16" ht="12.5" x14ac:dyDescent="0.25">
      <c r="J490" s="115"/>
      <c r="K490" s="115"/>
      <c r="L490" s="115"/>
      <c r="M490" s="115"/>
      <c r="N490" s="115"/>
      <c r="O490" s="115"/>
      <c r="P490" s="115"/>
    </row>
    <row r="491" spans="10:16" ht="12.5" x14ac:dyDescent="0.25">
      <c r="J491" s="115"/>
      <c r="K491" s="115"/>
      <c r="L491" s="115"/>
      <c r="M491" s="115"/>
      <c r="N491" s="115"/>
      <c r="O491" s="115"/>
      <c r="P491" s="115"/>
    </row>
    <row r="492" spans="10:16" ht="12.5" x14ac:dyDescent="0.25">
      <c r="J492" s="115"/>
      <c r="K492" s="115"/>
      <c r="L492" s="115"/>
      <c r="M492" s="115"/>
      <c r="N492" s="115"/>
      <c r="O492" s="115"/>
      <c r="P492" s="115"/>
    </row>
    <row r="493" spans="10:16" ht="12.5" x14ac:dyDescent="0.25">
      <c r="J493" s="115"/>
      <c r="K493" s="115"/>
      <c r="L493" s="115"/>
      <c r="M493" s="115"/>
      <c r="N493" s="115"/>
      <c r="O493" s="115"/>
      <c r="P493" s="115"/>
    </row>
    <row r="494" spans="10:16" ht="12.5" x14ac:dyDescent="0.25">
      <c r="J494" s="115"/>
      <c r="K494" s="115"/>
      <c r="L494" s="115"/>
      <c r="M494" s="115"/>
      <c r="N494" s="115"/>
      <c r="O494" s="115"/>
      <c r="P494" s="115"/>
    </row>
    <row r="495" spans="10:16" ht="12.5" x14ac:dyDescent="0.25">
      <c r="J495" s="115"/>
      <c r="K495" s="115"/>
      <c r="L495" s="115"/>
      <c r="M495" s="115"/>
      <c r="N495" s="115"/>
      <c r="O495" s="115"/>
      <c r="P495" s="115"/>
    </row>
    <row r="496" spans="10:16" ht="12.5" x14ac:dyDescent="0.25">
      <c r="J496" s="115"/>
      <c r="K496" s="115"/>
      <c r="L496" s="115"/>
      <c r="M496" s="115"/>
      <c r="N496" s="115"/>
      <c r="O496" s="115"/>
      <c r="P496" s="115"/>
    </row>
    <row r="497" spans="10:16" ht="12.5" x14ac:dyDescent="0.25">
      <c r="J497" s="115"/>
      <c r="K497" s="115"/>
      <c r="L497" s="115"/>
      <c r="M497" s="115"/>
      <c r="N497" s="115"/>
      <c r="O497" s="115"/>
      <c r="P497" s="115"/>
    </row>
    <row r="498" spans="10:16" ht="12.5" x14ac:dyDescent="0.25">
      <c r="J498" s="115"/>
      <c r="K498" s="115"/>
      <c r="L498" s="115"/>
      <c r="M498" s="115"/>
      <c r="N498" s="115"/>
      <c r="O498" s="115"/>
      <c r="P498" s="115"/>
    </row>
    <row r="499" spans="10:16" ht="12.5" x14ac:dyDescent="0.25">
      <c r="J499" s="115"/>
      <c r="K499" s="115"/>
      <c r="L499" s="115"/>
      <c r="M499" s="115"/>
      <c r="N499" s="115"/>
      <c r="O499" s="115"/>
      <c r="P499" s="115"/>
    </row>
    <row r="500" spans="10:16" ht="12.5" x14ac:dyDescent="0.25">
      <c r="J500" s="115"/>
      <c r="K500" s="115"/>
      <c r="L500" s="115"/>
      <c r="M500" s="115"/>
      <c r="N500" s="115"/>
      <c r="O500" s="115"/>
      <c r="P500" s="115"/>
    </row>
    <row r="501" spans="10:16" ht="12.5" x14ac:dyDescent="0.25">
      <c r="J501" s="115"/>
      <c r="K501" s="115"/>
      <c r="L501" s="115"/>
      <c r="M501" s="115"/>
      <c r="N501" s="115"/>
      <c r="O501" s="115"/>
      <c r="P501" s="115"/>
    </row>
    <row r="502" spans="10:16" ht="12.5" x14ac:dyDescent="0.25">
      <c r="J502" s="115"/>
      <c r="K502" s="115"/>
      <c r="L502" s="115"/>
      <c r="M502" s="115"/>
      <c r="N502" s="115"/>
      <c r="O502" s="115"/>
      <c r="P502" s="115"/>
    </row>
    <row r="503" spans="10:16" ht="12.5" x14ac:dyDescent="0.25">
      <c r="J503" s="115"/>
      <c r="K503" s="115"/>
      <c r="L503" s="115"/>
      <c r="M503" s="115"/>
      <c r="N503" s="115"/>
      <c r="O503" s="115"/>
      <c r="P503" s="115"/>
    </row>
    <row r="504" spans="10:16" ht="12.5" x14ac:dyDescent="0.25">
      <c r="J504" s="115"/>
      <c r="K504" s="115"/>
      <c r="L504" s="115"/>
      <c r="M504" s="115"/>
      <c r="N504" s="115"/>
      <c r="O504" s="115"/>
      <c r="P504" s="115"/>
    </row>
    <row r="505" spans="10:16" ht="12.5" x14ac:dyDescent="0.25">
      <c r="J505" s="115"/>
      <c r="K505" s="115"/>
      <c r="L505" s="115"/>
      <c r="M505" s="115"/>
      <c r="N505" s="115"/>
      <c r="O505" s="115"/>
      <c r="P505" s="115"/>
    </row>
    <row r="506" spans="10:16" ht="12.5" x14ac:dyDescent="0.25">
      <c r="J506" s="115"/>
      <c r="K506" s="115"/>
      <c r="L506" s="115"/>
      <c r="M506" s="115"/>
      <c r="N506" s="115"/>
      <c r="O506" s="115"/>
      <c r="P506" s="115"/>
    </row>
    <row r="507" spans="10:16" ht="12.5" x14ac:dyDescent="0.25">
      <c r="J507" s="115"/>
      <c r="K507" s="115"/>
      <c r="L507" s="115"/>
      <c r="M507" s="115"/>
      <c r="N507" s="115"/>
      <c r="O507" s="115"/>
      <c r="P507" s="115"/>
    </row>
    <row r="508" spans="10:16" ht="12.5" x14ac:dyDescent="0.25">
      <c r="J508" s="115"/>
      <c r="K508" s="115"/>
      <c r="L508" s="115"/>
      <c r="M508" s="115"/>
      <c r="N508" s="115"/>
      <c r="O508" s="115"/>
      <c r="P508" s="115"/>
    </row>
    <row r="509" spans="10:16" ht="12.5" x14ac:dyDescent="0.25">
      <c r="J509" s="115"/>
      <c r="K509" s="115"/>
      <c r="L509" s="115"/>
      <c r="M509" s="115"/>
      <c r="N509" s="115"/>
      <c r="O509" s="115"/>
      <c r="P509" s="115"/>
    </row>
    <row r="510" spans="10:16" ht="12.5" x14ac:dyDescent="0.25">
      <c r="J510" s="115"/>
      <c r="K510" s="115"/>
      <c r="L510" s="115"/>
      <c r="M510" s="115"/>
      <c r="N510" s="115"/>
      <c r="O510" s="115"/>
      <c r="P510" s="115"/>
    </row>
    <row r="511" spans="10:16" ht="12.5" x14ac:dyDescent="0.25">
      <c r="J511" s="115"/>
      <c r="K511" s="115"/>
      <c r="L511" s="115"/>
      <c r="M511" s="115"/>
      <c r="N511" s="115"/>
      <c r="O511" s="115"/>
      <c r="P511" s="115"/>
    </row>
    <row r="512" spans="10:16" ht="12.5" x14ac:dyDescent="0.25">
      <c r="J512" s="115"/>
      <c r="K512" s="115"/>
      <c r="L512" s="115"/>
      <c r="M512" s="115"/>
      <c r="N512" s="115"/>
      <c r="O512" s="115"/>
      <c r="P512" s="115"/>
    </row>
    <row r="513" spans="10:16" ht="12.5" x14ac:dyDescent="0.25">
      <c r="J513" s="115"/>
      <c r="K513" s="115"/>
      <c r="L513" s="115"/>
      <c r="M513" s="115"/>
      <c r="N513" s="115"/>
      <c r="O513" s="115"/>
      <c r="P513" s="115"/>
    </row>
    <row r="514" spans="10:16" ht="12.5" x14ac:dyDescent="0.25">
      <c r="J514" s="115"/>
      <c r="K514" s="115"/>
      <c r="L514" s="115"/>
      <c r="M514" s="115"/>
      <c r="N514" s="115"/>
      <c r="O514" s="115"/>
      <c r="P514" s="115"/>
    </row>
    <row r="515" spans="10:16" ht="12.5" x14ac:dyDescent="0.25">
      <c r="J515" s="115"/>
      <c r="K515" s="115"/>
      <c r="L515" s="115"/>
      <c r="M515" s="115"/>
      <c r="N515" s="115"/>
      <c r="O515" s="115"/>
      <c r="P515" s="115"/>
    </row>
    <row r="516" spans="10:16" ht="12.5" x14ac:dyDescent="0.25">
      <c r="J516" s="115"/>
      <c r="K516" s="115"/>
      <c r="L516" s="115"/>
      <c r="M516" s="115"/>
      <c r="N516" s="115"/>
      <c r="O516" s="115"/>
      <c r="P516" s="115"/>
    </row>
    <row r="517" spans="10:16" ht="12.5" x14ac:dyDescent="0.25">
      <c r="J517" s="115"/>
      <c r="K517" s="115"/>
      <c r="L517" s="115"/>
      <c r="M517" s="115"/>
      <c r="N517" s="115"/>
      <c r="O517" s="115"/>
      <c r="P517" s="115"/>
    </row>
    <row r="518" spans="10:16" ht="12.5" x14ac:dyDescent="0.25">
      <c r="J518" s="115"/>
      <c r="K518" s="115"/>
      <c r="L518" s="115"/>
      <c r="M518" s="115"/>
      <c r="N518" s="115"/>
      <c r="O518" s="115"/>
      <c r="P518" s="115"/>
    </row>
    <row r="519" spans="10:16" ht="12.5" x14ac:dyDescent="0.25">
      <c r="J519" s="115"/>
      <c r="K519" s="115"/>
      <c r="L519" s="115"/>
      <c r="M519" s="115"/>
      <c r="N519" s="115"/>
      <c r="O519" s="115"/>
      <c r="P519" s="115"/>
    </row>
    <row r="520" spans="10:16" ht="12.5" x14ac:dyDescent="0.25">
      <c r="J520" s="115"/>
      <c r="K520" s="115"/>
      <c r="L520" s="115"/>
      <c r="M520" s="115"/>
      <c r="N520" s="115"/>
      <c r="O520" s="115"/>
      <c r="P520" s="115"/>
    </row>
    <row r="521" spans="10:16" ht="12.5" x14ac:dyDescent="0.25">
      <c r="J521" s="115"/>
      <c r="K521" s="115"/>
      <c r="L521" s="115"/>
      <c r="M521" s="115"/>
      <c r="N521" s="115"/>
      <c r="O521" s="115"/>
      <c r="P521" s="115"/>
    </row>
    <row r="522" spans="10:16" ht="12.5" x14ac:dyDescent="0.25">
      <c r="J522" s="115"/>
      <c r="K522" s="115"/>
      <c r="L522" s="115"/>
      <c r="M522" s="115"/>
      <c r="N522" s="115"/>
      <c r="O522" s="115"/>
      <c r="P522" s="115"/>
    </row>
    <row r="523" spans="10:16" ht="12.5" x14ac:dyDescent="0.25">
      <c r="J523" s="115"/>
      <c r="K523" s="115"/>
      <c r="L523" s="115"/>
      <c r="M523" s="115"/>
      <c r="N523" s="115"/>
      <c r="O523" s="115"/>
      <c r="P523" s="115"/>
    </row>
    <row r="524" spans="10:16" ht="12.5" x14ac:dyDescent="0.25">
      <c r="J524" s="115"/>
      <c r="K524" s="115"/>
      <c r="L524" s="115"/>
      <c r="M524" s="115"/>
      <c r="N524" s="115"/>
      <c r="O524" s="115"/>
      <c r="P524" s="115"/>
    </row>
    <row r="525" spans="10:16" ht="12.5" x14ac:dyDescent="0.25">
      <c r="J525" s="115"/>
      <c r="K525" s="115"/>
      <c r="L525" s="115"/>
      <c r="M525" s="115"/>
      <c r="N525" s="115"/>
      <c r="O525" s="115"/>
      <c r="P525" s="115"/>
    </row>
    <row r="526" spans="10:16" ht="12.5" x14ac:dyDescent="0.25">
      <c r="J526" s="115"/>
      <c r="K526" s="115"/>
      <c r="L526" s="115"/>
      <c r="M526" s="115"/>
      <c r="N526" s="115"/>
      <c r="O526" s="115"/>
      <c r="P526" s="115"/>
    </row>
    <row r="527" spans="10:16" ht="12.5" x14ac:dyDescent="0.25">
      <c r="J527" s="115"/>
      <c r="K527" s="115"/>
      <c r="L527" s="115"/>
      <c r="M527" s="115"/>
      <c r="N527" s="115"/>
      <c r="O527" s="115"/>
      <c r="P527" s="115"/>
    </row>
    <row r="528" spans="10:16" ht="12.5" x14ac:dyDescent="0.25">
      <c r="J528" s="115"/>
      <c r="K528" s="115"/>
      <c r="L528" s="115"/>
      <c r="M528" s="115"/>
      <c r="N528" s="115"/>
      <c r="O528" s="115"/>
      <c r="P528" s="115"/>
    </row>
    <row r="529" spans="10:16" ht="12.5" x14ac:dyDescent="0.25">
      <c r="J529" s="115"/>
      <c r="K529" s="115"/>
      <c r="L529" s="115"/>
      <c r="M529" s="115"/>
      <c r="N529" s="115"/>
      <c r="O529" s="115"/>
      <c r="P529" s="115"/>
    </row>
    <row r="530" spans="10:16" ht="12.5" x14ac:dyDescent="0.25">
      <c r="J530" s="115"/>
      <c r="K530" s="115"/>
      <c r="L530" s="115"/>
      <c r="M530" s="115"/>
      <c r="N530" s="115"/>
      <c r="O530" s="115"/>
      <c r="P530" s="115"/>
    </row>
    <row r="531" spans="10:16" ht="12.5" x14ac:dyDescent="0.25">
      <c r="J531" s="115"/>
      <c r="K531" s="115"/>
      <c r="L531" s="115"/>
      <c r="M531" s="115"/>
      <c r="N531" s="115"/>
      <c r="O531" s="115"/>
      <c r="P531" s="115"/>
    </row>
    <row r="532" spans="10:16" ht="12.5" x14ac:dyDescent="0.25">
      <c r="J532" s="115"/>
      <c r="K532" s="115"/>
      <c r="L532" s="115"/>
      <c r="M532" s="115"/>
      <c r="N532" s="115"/>
      <c r="O532" s="115"/>
      <c r="P532" s="115"/>
    </row>
    <row r="533" spans="10:16" ht="12.5" x14ac:dyDescent="0.25">
      <c r="J533" s="115"/>
      <c r="K533" s="115"/>
      <c r="L533" s="115"/>
      <c r="M533" s="115"/>
      <c r="N533" s="115"/>
      <c r="O533" s="115"/>
      <c r="P533" s="115"/>
    </row>
    <row r="534" spans="10:16" ht="12.5" x14ac:dyDescent="0.25">
      <c r="J534" s="115"/>
      <c r="K534" s="115"/>
      <c r="L534" s="115"/>
      <c r="M534" s="115"/>
      <c r="N534" s="115"/>
      <c r="O534" s="115"/>
      <c r="P534" s="115"/>
    </row>
    <row r="535" spans="10:16" ht="12.5" x14ac:dyDescent="0.25">
      <c r="J535" s="115"/>
      <c r="K535" s="115"/>
      <c r="L535" s="115"/>
      <c r="M535" s="115"/>
      <c r="N535" s="115"/>
      <c r="O535" s="115"/>
      <c r="P535" s="115"/>
    </row>
    <row r="536" spans="10:16" ht="12.5" x14ac:dyDescent="0.25">
      <c r="J536" s="115"/>
      <c r="K536" s="115"/>
      <c r="L536" s="115"/>
      <c r="M536" s="115"/>
      <c r="N536" s="115"/>
      <c r="O536" s="115"/>
      <c r="P536" s="115"/>
    </row>
    <row r="537" spans="10:16" ht="12.5" x14ac:dyDescent="0.25">
      <c r="J537" s="115"/>
      <c r="K537" s="115"/>
      <c r="L537" s="115"/>
      <c r="M537" s="115"/>
      <c r="N537" s="115"/>
      <c r="O537" s="115"/>
      <c r="P537" s="115"/>
    </row>
    <row r="538" spans="10:16" ht="12.5" x14ac:dyDescent="0.25">
      <c r="J538" s="115"/>
      <c r="K538" s="115"/>
      <c r="L538" s="115"/>
      <c r="M538" s="115"/>
      <c r="N538" s="115"/>
      <c r="O538" s="115"/>
      <c r="P538" s="115"/>
    </row>
    <row r="539" spans="10:16" ht="12.5" x14ac:dyDescent="0.25">
      <c r="J539" s="115"/>
      <c r="K539" s="115"/>
      <c r="L539" s="115"/>
      <c r="M539" s="115"/>
      <c r="N539" s="115"/>
      <c r="O539" s="115"/>
      <c r="P539" s="115"/>
    </row>
    <row r="540" spans="10:16" ht="12.5" x14ac:dyDescent="0.25">
      <c r="J540" s="115"/>
      <c r="K540" s="115"/>
      <c r="L540" s="115"/>
      <c r="M540" s="115"/>
      <c r="N540" s="115"/>
      <c r="O540" s="115"/>
      <c r="P540" s="115"/>
    </row>
    <row r="541" spans="10:16" ht="12.5" x14ac:dyDescent="0.25">
      <c r="J541" s="115"/>
      <c r="K541" s="115"/>
      <c r="L541" s="115"/>
      <c r="M541" s="115"/>
      <c r="N541" s="115"/>
      <c r="O541" s="115"/>
      <c r="P541" s="115"/>
    </row>
    <row r="542" spans="10:16" ht="12.5" x14ac:dyDescent="0.25">
      <c r="J542" s="115"/>
      <c r="K542" s="115"/>
      <c r="L542" s="115"/>
      <c r="M542" s="115"/>
      <c r="N542" s="115"/>
      <c r="O542" s="115"/>
      <c r="P542" s="115"/>
    </row>
    <row r="543" spans="10:16" ht="12.5" x14ac:dyDescent="0.25">
      <c r="J543" s="115"/>
      <c r="K543" s="115"/>
      <c r="L543" s="115"/>
      <c r="M543" s="115"/>
      <c r="N543" s="115"/>
      <c r="O543" s="115"/>
      <c r="P543" s="115"/>
    </row>
    <row r="544" spans="10:16" ht="12.5" x14ac:dyDescent="0.25">
      <c r="J544" s="115"/>
      <c r="K544" s="115"/>
      <c r="L544" s="115"/>
      <c r="M544" s="115"/>
      <c r="N544" s="115"/>
      <c r="O544" s="115"/>
      <c r="P544" s="115"/>
    </row>
    <row r="545" spans="10:16" ht="12.5" x14ac:dyDescent="0.25">
      <c r="J545" s="115"/>
      <c r="K545" s="115"/>
      <c r="L545" s="115"/>
      <c r="M545" s="115"/>
      <c r="N545" s="115"/>
      <c r="O545" s="115"/>
      <c r="P545" s="115"/>
    </row>
    <row r="546" spans="10:16" ht="12.5" x14ac:dyDescent="0.25">
      <c r="J546" s="115"/>
      <c r="K546" s="115"/>
      <c r="L546" s="115"/>
      <c r="M546" s="115"/>
      <c r="N546" s="115"/>
      <c r="O546" s="115"/>
      <c r="P546" s="115"/>
    </row>
    <row r="547" spans="10:16" ht="12.5" x14ac:dyDescent="0.25">
      <c r="J547" s="115"/>
      <c r="K547" s="115"/>
      <c r="L547" s="115"/>
      <c r="M547" s="115"/>
      <c r="N547" s="115"/>
      <c r="O547" s="115"/>
      <c r="P547" s="115"/>
    </row>
    <row r="548" spans="10:16" ht="12.5" x14ac:dyDescent="0.25">
      <c r="J548" s="115"/>
      <c r="K548" s="115"/>
      <c r="L548" s="115"/>
      <c r="M548" s="115"/>
      <c r="N548" s="115"/>
      <c r="O548" s="115"/>
      <c r="P548" s="115"/>
    </row>
    <row r="549" spans="10:16" ht="12.5" x14ac:dyDescent="0.25">
      <c r="J549" s="115"/>
      <c r="K549" s="115"/>
      <c r="L549" s="115"/>
      <c r="M549" s="115"/>
      <c r="N549" s="115"/>
      <c r="O549" s="115"/>
      <c r="P549" s="115"/>
    </row>
    <row r="550" spans="10:16" ht="12.5" x14ac:dyDescent="0.25">
      <c r="J550" s="115"/>
      <c r="K550" s="115"/>
      <c r="L550" s="115"/>
      <c r="M550" s="115"/>
      <c r="N550" s="115"/>
      <c r="O550" s="115"/>
      <c r="P550" s="115"/>
    </row>
    <row r="551" spans="10:16" ht="12.5" x14ac:dyDescent="0.25">
      <c r="J551" s="115"/>
      <c r="K551" s="115"/>
      <c r="L551" s="115"/>
      <c r="M551" s="115"/>
      <c r="N551" s="115"/>
      <c r="O551" s="115"/>
      <c r="P551" s="115"/>
    </row>
    <row r="552" spans="10:16" ht="12.5" x14ac:dyDescent="0.25">
      <c r="J552" s="115"/>
      <c r="K552" s="115"/>
      <c r="L552" s="115"/>
      <c r="M552" s="115"/>
      <c r="N552" s="115"/>
      <c r="O552" s="115"/>
      <c r="P552" s="115"/>
    </row>
    <row r="553" spans="10:16" ht="12.5" x14ac:dyDescent="0.25">
      <c r="J553" s="115"/>
      <c r="K553" s="115"/>
      <c r="L553" s="115"/>
      <c r="M553" s="115"/>
      <c r="N553" s="115"/>
      <c r="O553" s="115"/>
      <c r="P553" s="115"/>
    </row>
    <row r="554" spans="10:16" ht="12.5" x14ac:dyDescent="0.25">
      <c r="J554" s="115"/>
      <c r="K554" s="115"/>
      <c r="L554" s="115"/>
      <c r="M554" s="115"/>
      <c r="N554" s="115"/>
      <c r="O554" s="115"/>
      <c r="P554" s="115"/>
    </row>
    <row r="555" spans="10:16" ht="12.5" x14ac:dyDescent="0.25">
      <c r="J555" s="115"/>
      <c r="K555" s="115"/>
      <c r="L555" s="115"/>
      <c r="M555" s="115"/>
      <c r="N555" s="115"/>
      <c r="O555" s="115"/>
      <c r="P555" s="115"/>
    </row>
    <row r="556" spans="10:16" ht="12.5" x14ac:dyDescent="0.25">
      <c r="J556" s="115"/>
      <c r="K556" s="115"/>
      <c r="L556" s="115"/>
      <c r="M556" s="115"/>
      <c r="N556" s="115"/>
      <c r="O556" s="115"/>
      <c r="P556" s="115"/>
    </row>
    <row r="557" spans="10:16" ht="12.5" x14ac:dyDescent="0.25">
      <c r="J557" s="115"/>
      <c r="K557" s="115"/>
      <c r="L557" s="115"/>
      <c r="M557" s="115"/>
      <c r="N557" s="115"/>
      <c r="O557" s="115"/>
      <c r="P557" s="115"/>
    </row>
    <row r="558" spans="10:16" ht="12.5" x14ac:dyDescent="0.25">
      <c r="J558" s="115"/>
      <c r="K558" s="115"/>
      <c r="L558" s="115"/>
      <c r="M558" s="115"/>
      <c r="N558" s="115"/>
      <c r="O558" s="115"/>
      <c r="P558" s="115"/>
    </row>
    <row r="559" spans="10:16" ht="12.5" x14ac:dyDescent="0.25">
      <c r="J559" s="115"/>
      <c r="K559" s="115"/>
      <c r="L559" s="115"/>
      <c r="M559" s="115"/>
      <c r="N559" s="115"/>
      <c r="O559" s="115"/>
      <c r="P559" s="115"/>
    </row>
    <row r="560" spans="10:16" ht="12.5" x14ac:dyDescent="0.25">
      <c r="J560" s="115"/>
      <c r="K560" s="115"/>
      <c r="L560" s="115"/>
      <c r="M560" s="115"/>
      <c r="N560" s="115"/>
      <c r="O560" s="115"/>
      <c r="P560" s="115"/>
    </row>
    <row r="561" spans="10:16" ht="12.5" x14ac:dyDescent="0.25">
      <c r="J561" s="115"/>
      <c r="K561" s="115"/>
      <c r="L561" s="115"/>
      <c r="M561" s="115"/>
      <c r="N561" s="115"/>
      <c r="O561" s="115"/>
      <c r="P561" s="115"/>
    </row>
    <row r="562" spans="10:16" ht="12.5" x14ac:dyDescent="0.25">
      <c r="J562" s="115"/>
      <c r="K562" s="115"/>
      <c r="L562" s="115"/>
      <c r="M562" s="115"/>
      <c r="N562" s="115"/>
      <c r="O562" s="115"/>
      <c r="P562" s="115"/>
    </row>
    <row r="563" spans="10:16" ht="12.5" x14ac:dyDescent="0.25">
      <c r="J563" s="115"/>
      <c r="K563" s="115"/>
      <c r="L563" s="115"/>
      <c r="M563" s="115"/>
      <c r="N563" s="115"/>
      <c r="O563" s="115"/>
      <c r="P563" s="115"/>
    </row>
    <row r="564" spans="10:16" ht="12.5" x14ac:dyDescent="0.25">
      <c r="J564" s="115"/>
      <c r="K564" s="115"/>
      <c r="L564" s="115"/>
      <c r="M564" s="115"/>
      <c r="N564" s="115"/>
      <c r="O564" s="115"/>
      <c r="P564" s="115"/>
    </row>
    <row r="565" spans="10:16" ht="12.5" x14ac:dyDescent="0.25">
      <c r="J565" s="115"/>
      <c r="K565" s="115"/>
      <c r="L565" s="115"/>
      <c r="M565" s="115"/>
      <c r="N565" s="115"/>
      <c r="O565" s="115"/>
      <c r="P565" s="115"/>
    </row>
    <row r="566" spans="10:16" ht="12.5" x14ac:dyDescent="0.25">
      <c r="J566" s="115"/>
      <c r="K566" s="115"/>
      <c r="L566" s="115"/>
      <c r="M566" s="115"/>
      <c r="N566" s="115"/>
      <c r="O566" s="115"/>
      <c r="P566" s="115"/>
    </row>
    <row r="567" spans="10:16" ht="12.5" x14ac:dyDescent="0.25">
      <c r="J567" s="115"/>
      <c r="K567" s="115"/>
      <c r="L567" s="115"/>
      <c r="M567" s="115"/>
      <c r="N567" s="115"/>
      <c r="O567" s="115"/>
      <c r="P567" s="115"/>
    </row>
    <row r="568" spans="10:16" ht="12.5" x14ac:dyDescent="0.25">
      <c r="J568" s="115"/>
      <c r="K568" s="115"/>
      <c r="L568" s="115"/>
      <c r="M568" s="115"/>
      <c r="N568" s="115"/>
      <c r="O568" s="115"/>
      <c r="P568" s="115"/>
    </row>
    <row r="569" spans="10:16" ht="12.5" x14ac:dyDescent="0.25">
      <c r="J569" s="115"/>
      <c r="K569" s="115"/>
      <c r="L569" s="115"/>
      <c r="M569" s="115"/>
      <c r="N569" s="115"/>
      <c r="O569" s="115"/>
      <c r="P569" s="115"/>
    </row>
    <row r="570" spans="10:16" ht="12.5" x14ac:dyDescent="0.25">
      <c r="J570" s="115"/>
      <c r="K570" s="115"/>
      <c r="L570" s="115"/>
      <c r="M570" s="115"/>
      <c r="N570" s="115"/>
      <c r="O570" s="115"/>
      <c r="P570" s="115"/>
    </row>
    <row r="571" spans="10:16" ht="12.5" x14ac:dyDescent="0.25">
      <c r="J571" s="115"/>
      <c r="K571" s="115"/>
      <c r="L571" s="115"/>
      <c r="M571" s="115"/>
      <c r="N571" s="115"/>
      <c r="O571" s="115"/>
      <c r="P571" s="115"/>
    </row>
    <row r="572" spans="10:16" ht="12.5" x14ac:dyDescent="0.25">
      <c r="J572" s="115"/>
      <c r="K572" s="115"/>
      <c r="L572" s="115"/>
      <c r="M572" s="115"/>
      <c r="N572" s="115"/>
      <c r="O572" s="115"/>
      <c r="P572" s="115"/>
    </row>
    <row r="573" spans="10:16" ht="12.5" x14ac:dyDescent="0.25">
      <c r="J573" s="115"/>
      <c r="K573" s="115"/>
      <c r="L573" s="115"/>
      <c r="M573" s="115"/>
      <c r="N573" s="115"/>
      <c r="O573" s="115"/>
      <c r="P573" s="115"/>
    </row>
    <row r="574" spans="10:16" ht="12.5" x14ac:dyDescent="0.25">
      <c r="J574" s="115"/>
      <c r="K574" s="115"/>
      <c r="L574" s="115"/>
      <c r="M574" s="115"/>
      <c r="N574" s="115"/>
      <c r="O574" s="115"/>
      <c r="P574" s="115"/>
    </row>
    <row r="575" spans="10:16" ht="12.5" x14ac:dyDescent="0.25">
      <c r="J575" s="115"/>
      <c r="K575" s="115"/>
      <c r="L575" s="115"/>
      <c r="M575" s="115"/>
      <c r="N575" s="115"/>
      <c r="O575" s="115"/>
      <c r="P575" s="115"/>
    </row>
    <row r="576" spans="10:16" ht="12.5" x14ac:dyDescent="0.25">
      <c r="J576" s="115"/>
      <c r="K576" s="115"/>
      <c r="L576" s="115"/>
      <c r="M576" s="115"/>
      <c r="N576" s="115"/>
      <c r="O576" s="115"/>
      <c r="P576" s="115"/>
    </row>
    <row r="577" spans="10:16" ht="12.5" x14ac:dyDescent="0.25">
      <c r="J577" s="115"/>
      <c r="K577" s="115"/>
      <c r="L577" s="115"/>
      <c r="M577" s="115"/>
      <c r="N577" s="115"/>
      <c r="O577" s="115"/>
      <c r="P577" s="115"/>
    </row>
    <row r="578" spans="10:16" ht="12.5" x14ac:dyDescent="0.25">
      <c r="J578" s="115"/>
      <c r="K578" s="115"/>
      <c r="L578" s="115"/>
      <c r="M578" s="115"/>
      <c r="N578" s="115"/>
      <c r="O578" s="115"/>
      <c r="P578" s="115"/>
    </row>
    <row r="579" spans="10:16" ht="12.5" x14ac:dyDescent="0.25">
      <c r="J579" s="115"/>
      <c r="K579" s="115"/>
      <c r="L579" s="115"/>
      <c r="M579" s="115"/>
      <c r="N579" s="115"/>
      <c r="O579" s="115"/>
      <c r="P579" s="115"/>
    </row>
    <row r="580" spans="10:16" ht="12.5" x14ac:dyDescent="0.25">
      <c r="J580" s="115"/>
      <c r="K580" s="115"/>
      <c r="L580" s="115"/>
      <c r="M580" s="115"/>
      <c r="N580" s="115"/>
      <c r="O580" s="115"/>
      <c r="P580" s="115"/>
    </row>
    <row r="581" spans="10:16" ht="12.5" x14ac:dyDescent="0.25">
      <c r="J581" s="115"/>
      <c r="K581" s="115"/>
      <c r="L581" s="115"/>
      <c r="M581" s="115"/>
      <c r="N581" s="115"/>
      <c r="O581" s="115"/>
      <c r="P581" s="115"/>
    </row>
    <row r="582" spans="10:16" ht="12.5" x14ac:dyDescent="0.25">
      <c r="J582" s="115"/>
      <c r="K582" s="115"/>
      <c r="L582" s="115"/>
      <c r="M582" s="115"/>
      <c r="N582" s="115"/>
      <c r="O582" s="115"/>
      <c r="P582" s="115"/>
    </row>
    <row r="583" spans="10:16" ht="12.5" x14ac:dyDescent="0.25">
      <c r="J583" s="115"/>
      <c r="K583" s="115"/>
      <c r="L583" s="115"/>
      <c r="M583" s="115"/>
      <c r="N583" s="115"/>
      <c r="O583" s="115"/>
      <c r="P583" s="115"/>
    </row>
    <row r="584" spans="10:16" ht="12.5" x14ac:dyDescent="0.25">
      <c r="J584" s="115"/>
      <c r="K584" s="115"/>
      <c r="L584" s="115"/>
      <c r="M584" s="115"/>
      <c r="N584" s="115"/>
      <c r="O584" s="115"/>
      <c r="P584" s="115"/>
    </row>
    <row r="585" spans="10:16" ht="12.5" x14ac:dyDescent="0.25">
      <c r="J585" s="115"/>
      <c r="K585" s="115"/>
      <c r="L585" s="115"/>
      <c r="M585" s="115"/>
      <c r="N585" s="115"/>
      <c r="O585" s="115"/>
      <c r="P585" s="115"/>
    </row>
    <row r="586" spans="10:16" ht="12.5" x14ac:dyDescent="0.25">
      <c r="J586" s="115"/>
      <c r="K586" s="115"/>
      <c r="L586" s="115"/>
      <c r="M586" s="115"/>
      <c r="N586" s="115"/>
      <c r="O586" s="115"/>
      <c r="P586" s="115"/>
    </row>
    <row r="587" spans="10:16" ht="12.5" x14ac:dyDescent="0.25">
      <c r="J587" s="115"/>
      <c r="K587" s="115"/>
      <c r="L587" s="115"/>
      <c r="M587" s="115"/>
      <c r="N587" s="115"/>
      <c r="O587" s="115"/>
      <c r="P587" s="115"/>
    </row>
    <row r="588" spans="10:16" ht="12.5" x14ac:dyDescent="0.25">
      <c r="J588" s="115"/>
      <c r="K588" s="115"/>
      <c r="L588" s="115"/>
      <c r="M588" s="115"/>
      <c r="N588" s="115"/>
      <c r="O588" s="115"/>
      <c r="P588" s="115"/>
    </row>
    <row r="589" spans="10:16" ht="12.5" x14ac:dyDescent="0.25">
      <c r="J589" s="115"/>
      <c r="K589" s="115"/>
      <c r="L589" s="115"/>
      <c r="M589" s="115"/>
      <c r="N589" s="115"/>
      <c r="O589" s="115"/>
      <c r="P589" s="115"/>
    </row>
    <row r="590" spans="10:16" ht="12.5" x14ac:dyDescent="0.25">
      <c r="J590" s="115"/>
      <c r="K590" s="115"/>
      <c r="L590" s="115"/>
      <c r="M590" s="115"/>
      <c r="N590" s="115"/>
      <c r="O590" s="115"/>
      <c r="P590" s="115"/>
    </row>
    <row r="591" spans="10:16" ht="12.5" x14ac:dyDescent="0.25">
      <c r="J591" s="115"/>
      <c r="K591" s="115"/>
      <c r="L591" s="115"/>
      <c r="M591" s="115"/>
      <c r="N591" s="115"/>
      <c r="O591" s="115"/>
      <c r="P591" s="115"/>
    </row>
    <row r="592" spans="10:16" ht="12.5" x14ac:dyDescent="0.25">
      <c r="J592" s="115"/>
      <c r="K592" s="115"/>
      <c r="L592" s="115"/>
      <c r="M592" s="115"/>
      <c r="N592" s="115"/>
      <c r="O592" s="115"/>
      <c r="P592" s="115"/>
    </row>
    <row r="593" spans="10:16" ht="12.5" x14ac:dyDescent="0.25">
      <c r="J593" s="115"/>
      <c r="K593" s="115"/>
      <c r="L593" s="115"/>
      <c r="M593" s="115"/>
      <c r="N593" s="115"/>
      <c r="O593" s="115"/>
      <c r="P593" s="115"/>
    </row>
    <row r="594" spans="10:16" ht="12.5" x14ac:dyDescent="0.25">
      <c r="J594" s="115"/>
      <c r="K594" s="115"/>
      <c r="L594" s="115"/>
      <c r="M594" s="115"/>
      <c r="N594" s="115"/>
      <c r="O594" s="115"/>
      <c r="P594" s="115"/>
    </row>
    <row r="595" spans="10:16" ht="12.5" x14ac:dyDescent="0.25">
      <c r="J595" s="115"/>
      <c r="K595" s="115"/>
      <c r="L595" s="115"/>
      <c r="M595" s="115"/>
      <c r="N595" s="115"/>
      <c r="O595" s="115"/>
      <c r="P595" s="115"/>
    </row>
    <row r="596" spans="10:16" ht="12.5" x14ac:dyDescent="0.25">
      <c r="J596" s="115"/>
      <c r="K596" s="115"/>
      <c r="L596" s="115"/>
      <c r="M596" s="115"/>
      <c r="N596" s="115"/>
      <c r="O596" s="115"/>
      <c r="P596" s="115"/>
    </row>
    <row r="597" spans="10:16" ht="12.5" x14ac:dyDescent="0.25">
      <c r="J597" s="115"/>
      <c r="K597" s="115"/>
      <c r="L597" s="115"/>
      <c r="M597" s="115"/>
      <c r="N597" s="115"/>
      <c r="O597" s="115"/>
      <c r="P597" s="115"/>
    </row>
    <row r="598" spans="10:16" ht="12.5" x14ac:dyDescent="0.25">
      <c r="J598" s="115"/>
      <c r="K598" s="115"/>
      <c r="L598" s="115"/>
      <c r="M598" s="115"/>
      <c r="N598" s="115"/>
      <c r="O598" s="115"/>
      <c r="P598" s="115"/>
    </row>
    <row r="599" spans="10:16" ht="12.5" x14ac:dyDescent="0.25">
      <c r="J599" s="115"/>
      <c r="K599" s="115"/>
      <c r="L599" s="115"/>
      <c r="M599" s="115"/>
      <c r="N599" s="115"/>
      <c r="O599" s="115"/>
      <c r="P599" s="115"/>
    </row>
    <row r="600" spans="10:16" ht="12.5" x14ac:dyDescent="0.25">
      <c r="J600" s="115"/>
      <c r="K600" s="115"/>
      <c r="L600" s="115"/>
      <c r="M600" s="115"/>
      <c r="N600" s="115"/>
      <c r="O600" s="115"/>
      <c r="P600" s="115"/>
    </row>
    <row r="601" spans="10:16" ht="12.5" x14ac:dyDescent="0.25">
      <c r="J601" s="115"/>
      <c r="K601" s="115"/>
      <c r="L601" s="115"/>
      <c r="M601" s="115"/>
      <c r="N601" s="115"/>
      <c r="O601" s="115"/>
      <c r="P601" s="115"/>
    </row>
    <row r="602" spans="10:16" ht="12.5" x14ac:dyDescent="0.25">
      <c r="J602" s="115"/>
      <c r="K602" s="115"/>
      <c r="L602" s="115"/>
      <c r="M602" s="115"/>
      <c r="N602" s="115"/>
      <c r="O602" s="115"/>
      <c r="P602" s="115"/>
    </row>
    <row r="603" spans="10:16" ht="12.5" x14ac:dyDescent="0.25">
      <c r="J603" s="115"/>
      <c r="K603" s="115"/>
      <c r="L603" s="115"/>
      <c r="M603" s="115"/>
      <c r="N603" s="115"/>
      <c r="O603" s="115"/>
      <c r="P603" s="115"/>
    </row>
    <row r="604" spans="10:16" ht="12.5" x14ac:dyDescent="0.25">
      <c r="J604" s="115"/>
      <c r="K604" s="115"/>
      <c r="L604" s="115"/>
      <c r="M604" s="115"/>
      <c r="N604" s="115"/>
      <c r="O604" s="115"/>
      <c r="P604" s="115"/>
    </row>
    <row r="605" spans="10:16" ht="12.5" x14ac:dyDescent="0.25">
      <c r="J605" s="115"/>
      <c r="K605" s="115"/>
      <c r="L605" s="115"/>
      <c r="M605" s="115"/>
      <c r="N605" s="115"/>
      <c r="O605" s="115"/>
      <c r="P605" s="115"/>
    </row>
    <row r="606" spans="10:16" ht="12.5" x14ac:dyDescent="0.25">
      <c r="J606" s="115"/>
      <c r="K606" s="115"/>
      <c r="L606" s="115"/>
      <c r="M606" s="115"/>
      <c r="N606" s="115"/>
      <c r="O606" s="115"/>
      <c r="P606" s="115"/>
    </row>
    <row r="607" spans="10:16" ht="12.5" x14ac:dyDescent="0.25">
      <c r="J607" s="115"/>
      <c r="K607" s="115"/>
      <c r="L607" s="115"/>
      <c r="M607" s="115"/>
      <c r="N607" s="115"/>
      <c r="O607" s="115"/>
      <c r="P607" s="115"/>
    </row>
    <row r="608" spans="10:16" ht="12.5" x14ac:dyDescent="0.25">
      <c r="J608" s="115"/>
      <c r="K608" s="115"/>
      <c r="L608" s="115"/>
      <c r="M608" s="115"/>
      <c r="N608" s="115"/>
      <c r="O608" s="115"/>
      <c r="P608" s="115"/>
    </row>
    <row r="609" spans="10:16" ht="12.5" x14ac:dyDescent="0.25">
      <c r="J609" s="115"/>
      <c r="K609" s="115"/>
      <c r="L609" s="115"/>
      <c r="M609" s="115"/>
      <c r="N609" s="115"/>
      <c r="O609" s="115"/>
      <c r="P609" s="115"/>
    </row>
    <row r="610" spans="10:16" ht="12.5" x14ac:dyDescent="0.25">
      <c r="J610" s="115"/>
      <c r="K610" s="115"/>
      <c r="L610" s="115"/>
      <c r="M610" s="115"/>
      <c r="N610" s="115"/>
      <c r="O610" s="115"/>
      <c r="P610" s="115"/>
    </row>
    <row r="611" spans="10:16" ht="12.5" x14ac:dyDescent="0.25">
      <c r="J611" s="115"/>
      <c r="K611" s="115"/>
      <c r="L611" s="115"/>
      <c r="M611" s="115"/>
      <c r="N611" s="115"/>
      <c r="O611" s="115"/>
      <c r="P611" s="115"/>
    </row>
    <row r="612" spans="10:16" ht="12.5" x14ac:dyDescent="0.25">
      <c r="J612" s="115"/>
      <c r="K612" s="115"/>
      <c r="L612" s="115"/>
      <c r="M612" s="115"/>
      <c r="N612" s="115"/>
      <c r="O612" s="115"/>
      <c r="P612" s="115"/>
    </row>
    <row r="613" spans="10:16" ht="12.5" x14ac:dyDescent="0.25">
      <c r="J613" s="115"/>
      <c r="K613" s="115"/>
      <c r="L613" s="115"/>
      <c r="M613" s="115"/>
      <c r="N613" s="115"/>
      <c r="O613" s="115"/>
      <c r="P613" s="115"/>
    </row>
    <row r="614" spans="10:16" ht="12.5" x14ac:dyDescent="0.25">
      <c r="J614" s="115"/>
      <c r="K614" s="115"/>
      <c r="L614" s="115"/>
      <c r="M614" s="115"/>
      <c r="N614" s="115"/>
      <c r="O614" s="115"/>
      <c r="P614" s="115"/>
    </row>
    <row r="615" spans="10:16" ht="12.5" x14ac:dyDescent="0.25">
      <c r="J615" s="115"/>
      <c r="K615" s="115"/>
      <c r="L615" s="115"/>
      <c r="M615" s="115"/>
      <c r="N615" s="115"/>
      <c r="O615" s="115"/>
      <c r="P615" s="115"/>
    </row>
    <row r="616" spans="10:16" ht="12.5" x14ac:dyDescent="0.25">
      <c r="J616" s="115"/>
      <c r="K616" s="115"/>
      <c r="L616" s="115"/>
      <c r="M616" s="115"/>
      <c r="N616" s="115"/>
      <c r="O616" s="115"/>
      <c r="P616" s="115"/>
    </row>
    <row r="617" spans="10:16" ht="12.5" x14ac:dyDescent="0.25">
      <c r="J617" s="115"/>
      <c r="K617" s="115"/>
      <c r="L617" s="115"/>
      <c r="M617" s="115"/>
      <c r="N617" s="115"/>
      <c r="O617" s="115"/>
      <c r="P617" s="115"/>
    </row>
    <row r="618" spans="10:16" ht="12.5" x14ac:dyDescent="0.25">
      <c r="J618" s="115"/>
      <c r="K618" s="115"/>
      <c r="L618" s="115"/>
      <c r="M618" s="115"/>
      <c r="N618" s="115"/>
      <c r="O618" s="115"/>
      <c r="P618" s="115"/>
    </row>
    <row r="619" spans="10:16" ht="12.5" x14ac:dyDescent="0.25">
      <c r="J619" s="115"/>
      <c r="K619" s="115"/>
      <c r="L619" s="115"/>
      <c r="M619" s="115"/>
      <c r="N619" s="115"/>
      <c r="O619" s="115"/>
      <c r="P619" s="115"/>
    </row>
    <row r="620" spans="10:16" ht="12.5" x14ac:dyDescent="0.25">
      <c r="J620" s="115"/>
      <c r="K620" s="115"/>
      <c r="L620" s="115"/>
      <c r="M620" s="115"/>
      <c r="N620" s="115"/>
      <c r="O620" s="115"/>
      <c r="P620" s="115"/>
    </row>
    <row r="621" spans="10:16" ht="12.5" x14ac:dyDescent="0.25">
      <c r="J621" s="115"/>
      <c r="K621" s="115"/>
      <c r="L621" s="115"/>
      <c r="M621" s="115"/>
      <c r="N621" s="115"/>
      <c r="O621" s="115"/>
      <c r="P621" s="115"/>
    </row>
    <row r="622" spans="10:16" ht="12.5" x14ac:dyDescent="0.25">
      <c r="J622" s="115"/>
      <c r="K622" s="115"/>
      <c r="L622" s="115"/>
      <c r="M622" s="115"/>
      <c r="N622" s="115"/>
      <c r="O622" s="115"/>
      <c r="P622" s="115"/>
    </row>
    <row r="623" spans="10:16" ht="12.5" x14ac:dyDescent="0.25">
      <c r="J623" s="115"/>
      <c r="K623" s="115"/>
      <c r="L623" s="115"/>
      <c r="M623" s="115"/>
      <c r="N623" s="115"/>
      <c r="O623" s="115"/>
      <c r="P623" s="115"/>
    </row>
    <row r="624" spans="10:16" ht="12.5" x14ac:dyDescent="0.25">
      <c r="J624" s="115"/>
      <c r="K624" s="115"/>
      <c r="L624" s="115"/>
      <c r="M624" s="115"/>
      <c r="N624" s="115"/>
      <c r="O624" s="115"/>
      <c r="P624" s="115"/>
    </row>
    <row r="625" spans="10:16" ht="12.5" x14ac:dyDescent="0.25">
      <c r="J625" s="115"/>
      <c r="K625" s="115"/>
      <c r="L625" s="115"/>
      <c r="M625" s="115"/>
      <c r="N625" s="115"/>
      <c r="O625" s="115"/>
      <c r="P625" s="115"/>
    </row>
    <row r="626" spans="10:16" ht="12.5" x14ac:dyDescent="0.25">
      <c r="J626" s="115"/>
      <c r="K626" s="115"/>
      <c r="L626" s="115"/>
      <c r="M626" s="115"/>
      <c r="N626" s="115"/>
      <c r="O626" s="115"/>
      <c r="P626" s="115"/>
    </row>
    <row r="627" spans="10:16" ht="12.5" x14ac:dyDescent="0.25">
      <c r="J627" s="115"/>
      <c r="K627" s="115"/>
      <c r="L627" s="115"/>
      <c r="M627" s="115"/>
      <c r="N627" s="115"/>
      <c r="O627" s="115"/>
      <c r="P627" s="115"/>
    </row>
    <row r="628" spans="10:16" ht="12.5" x14ac:dyDescent="0.25">
      <c r="J628" s="115"/>
      <c r="K628" s="115"/>
      <c r="L628" s="115"/>
      <c r="M628" s="115"/>
      <c r="N628" s="115"/>
      <c r="O628" s="115"/>
      <c r="P628" s="115"/>
    </row>
    <row r="629" spans="10:16" ht="12.5" x14ac:dyDescent="0.25">
      <c r="J629" s="115"/>
      <c r="K629" s="115"/>
      <c r="L629" s="115"/>
      <c r="M629" s="115"/>
      <c r="N629" s="115"/>
      <c r="O629" s="115"/>
      <c r="P629" s="115"/>
    </row>
    <row r="630" spans="10:16" ht="12.5" x14ac:dyDescent="0.25">
      <c r="J630" s="115"/>
      <c r="K630" s="115"/>
      <c r="L630" s="115"/>
      <c r="M630" s="115"/>
      <c r="N630" s="115"/>
      <c r="O630" s="115"/>
      <c r="P630" s="115"/>
    </row>
    <row r="631" spans="10:16" ht="12.5" x14ac:dyDescent="0.25">
      <c r="J631" s="115"/>
      <c r="K631" s="115"/>
      <c r="L631" s="115"/>
      <c r="M631" s="115"/>
      <c r="N631" s="115"/>
      <c r="O631" s="115"/>
      <c r="P631" s="115"/>
    </row>
    <row r="632" spans="10:16" ht="12.5" x14ac:dyDescent="0.25">
      <c r="J632" s="115"/>
      <c r="K632" s="115"/>
      <c r="L632" s="115"/>
      <c r="M632" s="115"/>
      <c r="N632" s="115"/>
      <c r="O632" s="115"/>
      <c r="P632" s="115"/>
    </row>
    <row r="633" spans="10:16" ht="12.5" x14ac:dyDescent="0.25">
      <c r="J633" s="115"/>
      <c r="K633" s="115"/>
      <c r="L633" s="115"/>
      <c r="M633" s="115"/>
      <c r="N633" s="115"/>
      <c r="O633" s="115"/>
      <c r="P633" s="115"/>
    </row>
    <row r="634" spans="10:16" ht="12.5" x14ac:dyDescent="0.25">
      <c r="J634" s="115"/>
      <c r="K634" s="115"/>
      <c r="L634" s="115"/>
      <c r="M634" s="115"/>
      <c r="N634" s="115"/>
      <c r="O634" s="115"/>
      <c r="P634" s="115"/>
    </row>
    <row r="635" spans="10:16" ht="12.5" x14ac:dyDescent="0.25">
      <c r="J635" s="115"/>
      <c r="K635" s="115"/>
      <c r="L635" s="115"/>
      <c r="M635" s="115"/>
      <c r="N635" s="115"/>
      <c r="O635" s="115"/>
      <c r="P635" s="115"/>
    </row>
    <row r="636" spans="10:16" ht="12.5" x14ac:dyDescent="0.25">
      <c r="J636" s="115"/>
      <c r="K636" s="115"/>
      <c r="L636" s="115"/>
      <c r="M636" s="115"/>
      <c r="N636" s="115"/>
      <c r="O636" s="115"/>
      <c r="P636" s="115"/>
    </row>
    <row r="637" spans="10:16" ht="12.5" x14ac:dyDescent="0.25">
      <c r="J637" s="115"/>
      <c r="K637" s="115"/>
      <c r="L637" s="115"/>
      <c r="M637" s="115"/>
      <c r="N637" s="115"/>
      <c r="O637" s="115"/>
      <c r="P637" s="115"/>
    </row>
    <row r="638" spans="10:16" ht="12.5" x14ac:dyDescent="0.25">
      <c r="J638" s="115"/>
      <c r="K638" s="115"/>
      <c r="L638" s="115"/>
      <c r="M638" s="115"/>
      <c r="N638" s="115"/>
      <c r="O638" s="115"/>
      <c r="P638" s="115"/>
    </row>
    <row r="639" spans="10:16" ht="12.5" x14ac:dyDescent="0.25">
      <c r="J639" s="115"/>
      <c r="K639" s="115"/>
      <c r="L639" s="115"/>
      <c r="M639" s="115"/>
      <c r="N639" s="115"/>
      <c r="O639" s="115"/>
      <c r="P639" s="115"/>
    </row>
    <row r="640" spans="10:16" ht="12.5" x14ac:dyDescent="0.25">
      <c r="J640" s="115"/>
      <c r="K640" s="115"/>
      <c r="L640" s="115"/>
      <c r="M640" s="115"/>
      <c r="N640" s="115"/>
      <c r="O640" s="115"/>
      <c r="P640" s="115"/>
    </row>
    <row r="641" spans="10:16" ht="12.5" x14ac:dyDescent="0.25">
      <c r="J641" s="115"/>
      <c r="K641" s="115"/>
      <c r="L641" s="115"/>
      <c r="M641" s="115"/>
      <c r="N641" s="115"/>
      <c r="O641" s="115"/>
      <c r="P641" s="115"/>
    </row>
    <row r="642" spans="10:16" ht="12.5" x14ac:dyDescent="0.25">
      <c r="J642" s="115"/>
      <c r="K642" s="115"/>
      <c r="L642" s="115"/>
      <c r="M642" s="115"/>
      <c r="N642" s="115"/>
      <c r="O642" s="115"/>
      <c r="P642" s="115"/>
    </row>
    <row r="643" spans="10:16" ht="12.5" x14ac:dyDescent="0.25">
      <c r="J643" s="115"/>
      <c r="K643" s="115"/>
      <c r="L643" s="115"/>
      <c r="M643" s="115"/>
      <c r="N643" s="115"/>
      <c r="O643" s="115"/>
      <c r="P643" s="115"/>
    </row>
    <row r="644" spans="10:16" ht="12.5" x14ac:dyDescent="0.25">
      <c r="J644" s="115"/>
      <c r="K644" s="115"/>
      <c r="L644" s="115"/>
      <c r="M644" s="115"/>
      <c r="N644" s="115"/>
      <c r="O644" s="115"/>
      <c r="P644" s="115"/>
    </row>
    <row r="645" spans="10:16" ht="12.5" x14ac:dyDescent="0.25">
      <c r="J645" s="115"/>
      <c r="K645" s="115"/>
      <c r="L645" s="115"/>
      <c r="M645" s="115"/>
      <c r="N645" s="115"/>
      <c r="O645" s="115"/>
      <c r="P645" s="115"/>
    </row>
    <row r="646" spans="10:16" ht="12.5" x14ac:dyDescent="0.25">
      <c r="J646" s="115"/>
      <c r="K646" s="115"/>
      <c r="L646" s="115"/>
      <c r="M646" s="115"/>
      <c r="N646" s="115"/>
      <c r="O646" s="115"/>
      <c r="P646" s="115"/>
    </row>
    <row r="647" spans="10:16" ht="12.5" x14ac:dyDescent="0.25">
      <c r="J647" s="115"/>
      <c r="K647" s="115"/>
      <c r="L647" s="115"/>
      <c r="M647" s="115"/>
      <c r="N647" s="115"/>
      <c r="O647" s="115"/>
      <c r="P647" s="115"/>
    </row>
    <row r="648" spans="10:16" ht="12.5" x14ac:dyDescent="0.25">
      <c r="J648" s="115"/>
      <c r="K648" s="115"/>
      <c r="L648" s="115"/>
      <c r="M648" s="115"/>
      <c r="N648" s="115"/>
      <c r="O648" s="115"/>
      <c r="P648" s="115"/>
    </row>
    <row r="649" spans="10:16" ht="12.5" x14ac:dyDescent="0.25">
      <c r="J649" s="115"/>
      <c r="K649" s="115"/>
      <c r="L649" s="115"/>
      <c r="M649" s="115"/>
      <c r="N649" s="115"/>
      <c r="O649" s="115"/>
      <c r="P649" s="115"/>
    </row>
    <row r="650" spans="10:16" ht="12.5" x14ac:dyDescent="0.25">
      <c r="J650" s="115"/>
      <c r="K650" s="115"/>
      <c r="L650" s="115"/>
      <c r="M650" s="115"/>
      <c r="N650" s="115"/>
      <c r="O650" s="115"/>
      <c r="P650" s="115"/>
    </row>
    <row r="651" spans="10:16" ht="12.5" x14ac:dyDescent="0.25">
      <c r="J651" s="115"/>
      <c r="K651" s="115"/>
      <c r="L651" s="115"/>
      <c r="M651" s="115"/>
      <c r="N651" s="115"/>
      <c r="O651" s="115"/>
      <c r="P651" s="115"/>
    </row>
    <row r="652" spans="10:16" ht="12.5" x14ac:dyDescent="0.25">
      <c r="J652" s="115"/>
      <c r="K652" s="115"/>
      <c r="L652" s="115"/>
      <c r="M652" s="115"/>
      <c r="N652" s="115"/>
      <c r="O652" s="115"/>
      <c r="P652" s="115"/>
    </row>
    <row r="653" spans="10:16" ht="12.5" x14ac:dyDescent="0.25">
      <c r="J653" s="115"/>
      <c r="K653" s="115"/>
      <c r="L653" s="115"/>
      <c r="M653" s="115"/>
      <c r="N653" s="115"/>
      <c r="O653" s="115"/>
      <c r="P653" s="115"/>
    </row>
    <row r="654" spans="10:16" ht="12.5" x14ac:dyDescent="0.25">
      <c r="J654" s="115"/>
      <c r="K654" s="115"/>
      <c r="L654" s="115"/>
      <c r="M654" s="115"/>
      <c r="N654" s="115"/>
      <c r="O654" s="115"/>
      <c r="P654" s="115"/>
    </row>
    <row r="655" spans="10:16" ht="12.5" x14ac:dyDescent="0.25">
      <c r="J655" s="115"/>
      <c r="K655" s="115"/>
      <c r="L655" s="115"/>
      <c r="M655" s="115"/>
      <c r="N655" s="115"/>
      <c r="O655" s="115"/>
      <c r="P655" s="115"/>
    </row>
    <row r="656" spans="10:16" ht="12.5" x14ac:dyDescent="0.25">
      <c r="J656" s="115"/>
      <c r="K656" s="115"/>
      <c r="L656" s="115"/>
      <c r="M656" s="115"/>
      <c r="N656" s="115"/>
      <c r="O656" s="115"/>
      <c r="P656" s="115"/>
    </row>
    <row r="657" spans="10:16" ht="12.5" x14ac:dyDescent="0.25">
      <c r="J657" s="115"/>
      <c r="K657" s="115"/>
      <c r="L657" s="115"/>
      <c r="M657" s="115"/>
      <c r="N657" s="115"/>
      <c r="O657" s="115"/>
      <c r="P657" s="115"/>
    </row>
    <row r="658" spans="10:16" ht="12.5" x14ac:dyDescent="0.25">
      <c r="J658" s="115"/>
      <c r="K658" s="115"/>
      <c r="L658" s="115"/>
      <c r="M658" s="115"/>
      <c r="N658" s="115"/>
      <c r="O658" s="115"/>
      <c r="P658" s="115"/>
    </row>
    <row r="659" spans="10:16" ht="12.5" x14ac:dyDescent="0.25">
      <c r="J659" s="115"/>
      <c r="K659" s="115"/>
      <c r="L659" s="115"/>
      <c r="M659" s="115"/>
      <c r="N659" s="115"/>
      <c r="O659" s="115"/>
      <c r="P659" s="115"/>
    </row>
    <row r="660" spans="10:16" ht="12.5" x14ac:dyDescent="0.25">
      <c r="J660" s="115"/>
      <c r="K660" s="115"/>
      <c r="L660" s="115"/>
      <c r="M660" s="115"/>
      <c r="N660" s="115"/>
      <c r="O660" s="115"/>
      <c r="P660" s="115"/>
    </row>
    <row r="661" spans="10:16" ht="12.5" x14ac:dyDescent="0.25">
      <c r="J661" s="115"/>
      <c r="K661" s="115"/>
      <c r="L661" s="115"/>
      <c r="M661" s="115"/>
      <c r="N661" s="115"/>
      <c r="O661" s="115"/>
      <c r="P661" s="115"/>
    </row>
    <row r="662" spans="10:16" ht="12.5" x14ac:dyDescent="0.25">
      <c r="J662" s="115"/>
      <c r="K662" s="115"/>
      <c r="L662" s="115"/>
      <c r="M662" s="115"/>
      <c r="N662" s="115"/>
      <c r="O662" s="115"/>
      <c r="P662" s="115"/>
    </row>
    <row r="663" spans="10:16" ht="12.5" x14ac:dyDescent="0.25">
      <c r="J663" s="115"/>
      <c r="K663" s="115"/>
      <c r="L663" s="115"/>
      <c r="M663" s="115"/>
      <c r="N663" s="115"/>
      <c r="O663" s="115"/>
      <c r="P663" s="115"/>
    </row>
    <row r="664" spans="10:16" ht="12.5" x14ac:dyDescent="0.25">
      <c r="J664" s="115"/>
      <c r="K664" s="115"/>
      <c r="L664" s="115"/>
      <c r="M664" s="115"/>
      <c r="N664" s="115"/>
      <c r="O664" s="115"/>
      <c r="P664" s="115"/>
    </row>
    <row r="665" spans="10:16" ht="12.5" x14ac:dyDescent="0.25">
      <c r="J665" s="115"/>
      <c r="K665" s="115"/>
      <c r="L665" s="115"/>
      <c r="M665" s="115"/>
      <c r="N665" s="115"/>
      <c r="O665" s="115"/>
      <c r="P665" s="115"/>
    </row>
    <row r="666" spans="10:16" ht="12.5" x14ac:dyDescent="0.25">
      <c r="J666" s="115"/>
      <c r="K666" s="115"/>
      <c r="L666" s="115"/>
      <c r="M666" s="115"/>
      <c r="N666" s="115"/>
      <c r="O666" s="115"/>
      <c r="P666" s="115"/>
    </row>
    <row r="667" spans="10:16" ht="12.5" x14ac:dyDescent="0.25">
      <c r="J667" s="115"/>
      <c r="K667" s="115"/>
      <c r="L667" s="115"/>
      <c r="M667" s="115"/>
      <c r="N667" s="115"/>
      <c r="O667" s="115"/>
      <c r="P667" s="115"/>
    </row>
    <row r="668" spans="10:16" ht="12.5" x14ac:dyDescent="0.25">
      <c r="J668" s="115"/>
      <c r="K668" s="115"/>
      <c r="L668" s="115"/>
      <c r="M668" s="115"/>
      <c r="N668" s="115"/>
      <c r="O668" s="115"/>
      <c r="P668" s="115"/>
    </row>
    <row r="669" spans="10:16" ht="12.5" x14ac:dyDescent="0.25">
      <c r="J669" s="115"/>
      <c r="K669" s="115"/>
      <c r="L669" s="115"/>
      <c r="M669" s="115"/>
      <c r="N669" s="115"/>
      <c r="O669" s="115"/>
      <c r="P669" s="115"/>
    </row>
    <row r="670" spans="10:16" ht="12.5" x14ac:dyDescent="0.25">
      <c r="J670" s="115"/>
      <c r="K670" s="115"/>
      <c r="L670" s="115"/>
      <c r="M670" s="115"/>
      <c r="N670" s="115"/>
      <c r="O670" s="115"/>
      <c r="P670" s="115"/>
    </row>
    <row r="671" spans="10:16" ht="12.5" x14ac:dyDescent="0.25">
      <c r="J671" s="115"/>
      <c r="K671" s="115"/>
      <c r="L671" s="115"/>
      <c r="M671" s="115"/>
      <c r="N671" s="115"/>
      <c r="O671" s="115"/>
      <c r="P671" s="115"/>
    </row>
    <row r="672" spans="10:16" ht="12.5" x14ac:dyDescent="0.25">
      <c r="J672" s="115"/>
      <c r="K672" s="115"/>
      <c r="L672" s="115"/>
      <c r="M672" s="115"/>
      <c r="N672" s="115"/>
      <c r="O672" s="115"/>
      <c r="P672" s="115"/>
    </row>
    <row r="673" spans="10:16" ht="12.5" x14ac:dyDescent="0.25">
      <c r="J673" s="115"/>
      <c r="K673" s="115"/>
      <c r="L673" s="115"/>
      <c r="M673" s="115"/>
      <c r="N673" s="115"/>
      <c r="O673" s="115"/>
      <c r="P673" s="115"/>
    </row>
    <row r="674" spans="10:16" ht="12.5" x14ac:dyDescent="0.25">
      <c r="J674" s="115"/>
      <c r="K674" s="115"/>
      <c r="L674" s="115"/>
      <c r="M674" s="115"/>
      <c r="N674" s="115"/>
      <c r="O674" s="115"/>
      <c r="P674" s="115"/>
    </row>
    <row r="675" spans="10:16" ht="12.5" x14ac:dyDescent="0.25">
      <c r="J675" s="115"/>
      <c r="K675" s="115"/>
      <c r="L675" s="115"/>
      <c r="M675" s="115"/>
      <c r="N675" s="115"/>
      <c r="O675" s="115"/>
      <c r="P675" s="115"/>
    </row>
    <row r="676" spans="10:16" ht="12.5" x14ac:dyDescent="0.25">
      <c r="J676" s="115"/>
      <c r="K676" s="115"/>
      <c r="L676" s="115"/>
      <c r="M676" s="115"/>
      <c r="N676" s="115"/>
      <c r="O676" s="115"/>
      <c r="P676" s="115"/>
    </row>
    <row r="677" spans="10:16" ht="12.5" x14ac:dyDescent="0.25">
      <c r="J677" s="115"/>
      <c r="K677" s="115"/>
      <c r="L677" s="115"/>
      <c r="M677" s="115"/>
      <c r="N677" s="115"/>
      <c r="O677" s="115"/>
      <c r="P677" s="115"/>
    </row>
    <row r="678" spans="10:16" ht="12.5" x14ac:dyDescent="0.25">
      <c r="J678" s="115"/>
      <c r="K678" s="115"/>
      <c r="L678" s="115"/>
      <c r="M678" s="115"/>
      <c r="N678" s="115"/>
      <c r="O678" s="115"/>
      <c r="P678" s="115"/>
    </row>
    <row r="679" spans="10:16" ht="12.5" x14ac:dyDescent="0.25">
      <c r="J679" s="115"/>
      <c r="K679" s="115"/>
      <c r="L679" s="115"/>
      <c r="M679" s="115"/>
      <c r="N679" s="115"/>
      <c r="O679" s="115"/>
      <c r="P679" s="115"/>
    </row>
    <row r="680" spans="10:16" ht="12.5" x14ac:dyDescent="0.25">
      <c r="J680" s="115"/>
      <c r="K680" s="115"/>
      <c r="L680" s="115"/>
      <c r="M680" s="115"/>
      <c r="N680" s="115"/>
      <c r="O680" s="115"/>
      <c r="P680" s="115"/>
    </row>
    <row r="681" spans="10:16" ht="12.5" x14ac:dyDescent="0.25">
      <c r="J681" s="115"/>
      <c r="K681" s="115"/>
      <c r="L681" s="115"/>
      <c r="M681" s="115"/>
      <c r="N681" s="115"/>
      <c r="O681" s="115"/>
      <c r="P681" s="115"/>
    </row>
    <row r="682" spans="10:16" ht="12.5" x14ac:dyDescent="0.25">
      <c r="J682" s="115"/>
      <c r="K682" s="115"/>
      <c r="L682" s="115"/>
      <c r="M682" s="115"/>
      <c r="N682" s="115"/>
      <c r="O682" s="115"/>
      <c r="P682" s="115"/>
    </row>
    <row r="683" spans="10:16" ht="12.5" x14ac:dyDescent="0.25">
      <c r="J683" s="115"/>
      <c r="K683" s="115"/>
      <c r="L683" s="115"/>
      <c r="M683" s="115"/>
      <c r="N683" s="115"/>
      <c r="O683" s="115"/>
      <c r="P683" s="115"/>
    </row>
    <row r="684" spans="10:16" ht="12.5" x14ac:dyDescent="0.25">
      <c r="J684" s="115"/>
      <c r="K684" s="115"/>
      <c r="L684" s="115"/>
      <c r="M684" s="115"/>
      <c r="N684" s="115"/>
      <c r="O684" s="115"/>
      <c r="P684" s="115"/>
    </row>
    <row r="685" spans="10:16" ht="12.5" x14ac:dyDescent="0.25">
      <c r="J685" s="115"/>
      <c r="K685" s="115"/>
      <c r="L685" s="115"/>
      <c r="M685" s="115"/>
      <c r="N685" s="115"/>
      <c r="O685" s="115"/>
      <c r="P685" s="115"/>
    </row>
    <row r="686" spans="10:16" ht="12.5" x14ac:dyDescent="0.25">
      <c r="J686" s="115"/>
      <c r="K686" s="115"/>
      <c r="L686" s="115"/>
      <c r="M686" s="115"/>
      <c r="N686" s="115"/>
      <c r="O686" s="115"/>
      <c r="P686" s="115"/>
    </row>
    <row r="687" spans="10:16" ht="12.5" x14ac:dyDescent="0.25">
      <c r="J687" s="115"/>
      <c r="K687" s="115"/>
      <c r="L687" s="115"/>
      <c r="M687" s="115"/>
      <c r="N687" s="115"/>
      <c r="O687" s="115"/>
      <c r="P687" s="115"/>
    </row>
    <row r="688" spans="10:16" ht="12.5" x14ac:dyDescent="0.25">
      <c r="J688" s="115"/>
      <c r="K688" s="115"/>
      <c r="L688" s="115"/>
      <c r="M688" s="115"/>
      <c r="N688" s="115"/>
      <c r="O688" s="115"/>
      <c r="P688" s="115"/>
    </row>
    <row r="689" spans="10:16" ht="12.5" x14ac:dyDescent="0.25">
      <c r="J689" s="115"/>
      <c r="K689" s="115"/>
      <c r="L689" s="115"/>
      <c r="M689" s="115"/>
      <c r="N689" s="115"/>
      <c r="O689" s="115"/>
      <c r="P689" s="115"/>
    </row>
    <row r="690" spans="10:16" ht="12.5" x14ac:dyDescent="0.25">
      <c r="J690" s="115"/>
      <c r="K690" s="115"/>
      <c r="L690" s="115"/>
      <c r="M690" s="115"/>
      <c r="N690" s="115"/>
      <c r="O690" s="115"/>
      <c r="P690" s="115"/>
    </row>
    <row r="691" spans="10:16" ht="12.5" x14ac:dyDescent="0.25">
      <c r="J691" s="115"/>
      <c r="K691" s="115"/>
      <c r="L691" s="115"/>
      <c r="M691" s="115"/>
      <c r="N691" s="115"/>
      <c r="O691" s="115"/>
      <c r="P691" s="115"/>
    </row>
    <row r="692" spans="10:16" ht="12.5" x14ac:dyDescent="0.25">
      <c r="J692" s="115"/>
      <c r="K692" s="115"/>
      <c r="L692" s="115"/>
      <c r="M692" s="115"/>
      <c r="N692" s="115"/>
      <c r="O692" s="115"/>
      <c r="P692" s="115"/>
    </row>
    <row r="693" spans="10:16" ht="12.5" x14ac:dyDescent="0.25">
      <c r="J693" s="115"/>
      <c r="K693" s="115"/>
      <c r="L693" s="115"/>
      <c r="M693" s="115"/>
      <c r="N693" s="115"/>
      <c r="O693" s="115"/>
      <c r="P693" s="115"/>
    </row>
    <row r="694" spans="10:16" ht="12.5" x14ac:dyDescent="0.25">
      <c r="J694" s="115"/>
      <c r="K694" s="115"/>
      <c r="L694" s="115"/>
      <c r="M694" s="115"/>
      <c r="N694" s="115"/>
      <c r="O694" s="115"/>
      <c r="P694" s="115"/>
    </row>
    <row r="695" spans="10:16" ht="12.5" x14ac:dyDescent="0.25">
      <c r="J695" s="115"/>
      <c r="K695" s="115"/>
      <c r="L695" s="115"/>
      <c r="M695" s="115"/>
      <c r="N695" s="115"/>
      <c r="O695" s="115"/>
      <c r="P695" s="115"/>
    </row>
    <row r="696" spans="10:16" ht="12.5" x14ac:dyDescent="0.25">
      <c r="J696" s="115"/>
      <c r="K696" s="115"/>
      <c r="L696" s="115"/>
      <c r="M696" s="115"/>
      <c r="N696" s="115"/>
      <c r="O696" s="115"/>
      <c r="P696" s="115"/>
    </row>
    <row r="697" spans="10:16" ht="12.5" x14ac:dyDescent="0.25">
      <c r="J697" s="115"/>
      <c r="K697" s="115"/>
      <c r="L697" s="115"/>
      <c r="M697" s="115"/>
      <c r="N697" s="115"/>
      <c r="O697" s="115"/>
      <c r="P697" s="115"/>
    </row>
    <row r="698" spans="10:16" ht="12.5" x14ac:dyDescent="0.25">
      <c r="J698" s="115"/>
      <c r="K698" s="115"/>
      <c r="L698" s="115"/>
      <c r="M698" s="115"/>
      <c r="N698" s="115"/>
      <c r="O698" s="115"/>
      <c r="P698" s="115"/>
    </row>
    <row r="699" spans="10:16" ht="12.5" x14ac:dyDescent="0.25">
      <c r="J699" s="115"/>
      <c r="K699" s="115"/>
      <c r="L699" s="115"/>
      <c r="M699" s="115"/>
      <c r="N699" s="115"/>
      <c r="O699" s="115"/>
      <c r="P699" s="115"/>
    </row>
    <row r="700" spans="10:16" ht="12.5" x14ac:dyDescent="0.25">
      <c r="J700" s="115"/>
      <c r="K700" s="115"/>
      <c r="L700" s="115"/>
      <c r="M700" s="115"/>
      <c r="N700" s="115"/>
      <c r="O700" s="115"/>
      <c r="P700" s="115"/>
    </row>
    <row r="701" spans="10:16" ht="12.5" x14ac:dyDescent="0.25">
      <c r="J701" s="115"/>
      <c r="K701" s="115"/>
      <c r="L701" s="115"/>
      <c r="M701" s="115"/>
      <c r="N701" s="115"/>
      <c r="O701" s="115"/>
      <c r="P701" s="115"/>
    </row>
    <row r="702" spans="10:16" ht="12.5" x14ac:dyDescent="0.25">
      <c r="J702" s="115"/>
      <c r="K702" s="115"/>
      <c r="L702" s="115"/>
      <c r="M702" s="115"/>
      <c r="N702" s="115"/>
      <c r="O702" s="115"/>
      <c r="P702" s="115"/>
    </row>
    <row r="703" spans="10:16" ht="12.5" x14ac:dyDescent="0.25">
      <c r="J703" s="115"/>
      <c r="K703" s="115"/>
      <c r="L703" s="115"/>
      <c r="M703" s="115"/>
      <c r="N703" s="115"/>
      <c r="O703" s="115"/>
      <c r="P703" s="115"/>
    </row>
    <row r="704" spans="10:16" ht="12.5" x14ac:dyDescent="0.25">
      <c r="J704" s="115"/>
      <c r="K704" s="115"/>
      <c r="L704" s="115"/>
      <c r="M704" s="115"/>
      <c r="N704" s="115"/>
      <c r="O704" s="115"/>
      <c r="P704" s="115"/>
    </row>
    <row r="705" spans="10:16" ht="12.5" x14ac:dyDescent="0.25">
      <c r="J705" s="115"/>
      <c r="K705" s="115"/>
      <c r="L705" s="115"/>
      <c r="M705" s="115"/>
      <c r="N705" s="115"/>
      <c r="O705" s="115"/>
      <c r="P705" s="115"/>
    </row>
    <row r="706" spans="10:16" ht="12.5" x14ac:dyDescent="0.25">
      <c r="J706" s="115"/>
      <c r="K706" s="115"/>
      <c r="L706" s="115"/>
      <c r="M706" s="115"/>
      <c r="N706" s="115"/>
      <c r="O706" s="115"/>
      <c r="P706" s="115"/>
    </row>
    <row r="707" spans="10:16" ht="12.5" x14ac:dyDescent="0.25">
      <c r="J707" s="115"/>
      <c r="K707" s="115"/>
      <c r="L707" s="115"/>
      <c r="M707" s="115"/>
      <c r="N707" s="115"/>
      <c r="O707" s="115"/>
      <c r="P707" s="115"/>
    </row>
    <row r="708" spans="10:16" ht="12.5" x14ac:dyDescent="0.25">
      <c r="J708" s="115"/>
      <c r="K708" s="115"/>
      <c r="L708" s="115"/>
      <c r="M708" s="115"/>
      <c r="N708" s="115"/>
      <c r="O708" s="115"/>
      <c r="P708" s="115"/>
    </row>
    <row r="709" spans="10:16" ht="12.5" x14ac:dyDescent="0.25">
      <c r="J709" s="115"/>
      <c r="K709" s="115"/>
      <c r="L709" s="115"/>
      <c r="M709" s="115"/>
      <c r="N709" s="115"/>
      <c r="O709" s="115"/>
      <c r="P709" s="115"/>
    </row>
    <row r="710" spans="10:16" ht="12.5" x14ac:dyDescent="0.25">
      <c r="J710" s="115"/>
      <c r="K710" s="115"/>
      <c r="L710" s="115"/>
      <c r="M710" s="115"/>
      <c r="N710" s="115"/>
      <c r="O710" s="115"/>
      <c r="P710" s="115"/>
    </row>
    <row r="711" spans="10:16" ht="12.5" x14ac:dyDescent="0.25">
      <c r="J711" s="115"/>
      <c r="K711" s="115"/>
      <c r="L711" s="115"/>
      <c r="M711" s="115"/>
      <c r="N711" s="115"/>
      <c r="O711" s="115"/>
      <c r="P711" s="115"/>
    </row>
    <row r="712" spans="10:16" ht="12.5" x14ac:dyDescent="0.25">
      <c r="J712" s="115"/>
      <c r="K712" s="115"/>
      <c r="L712" s="115"/>
      <c r="M712" s="115"/>
      <c r="N712" s="115"/>
      <c r="O712" s="115"/>
      <c r="P712" s="115"/>
    </row>
    <row r="713" spans="10:16" ht="12.5" x14ac:dyDescent="0.25">
      <c r="J713" s="115"/>
      <c r="K713" s="115"/>
      <c r="L713" s="115"/>
      <c r="M713" s="115"/>
      <c r="N713" s="115"/>
      <c r="O713" s="115"/>
      <c r="P713" s="115"/>
    </row>
    <row r="714" spans="10:16" ht="12.5" x14ac:dyDescent="0.25">
      <c r="J714" s="115"/>
      <c r="K714" s="115"/>
      <c r="L714" s="115"/>
      <c r="M714" s="115"/>
      <c r="N714" s="115"/>
      <c r="O714" s="115"/>
      <c r="P714" s="115"/>
    </row>
    <row r="715" spans="10:16" ht="12.5" x14ac:dyDescent="0.25">
      <c r="J715" s="115"/>
      <c r="K715" s="115"/>
      <c r="L715" s="115"/>
      <c r="M715" s="115"/>
      <c r="N715" s="115"/>
      <c r="O715" s="115"/>
      <c r="P715" s="115"/>
    </row>
    <row r="716" spans="10:16" ht="12.5" x14ac:dyDescent="0.25">
      <c r="J716" s="115"/>
      <c r="K716" s="115"/>
      <c r="L716" s="115"/>
      <c r="M716" s="115"/>
      <c r="N716" s="115"/>
      <c r="O716" s="115"/>
      <c r="P716" s="115"/>
    </row>
    <row r="717" spans="10:16" ht="12.5" x14ac:dyDescent="0.25">
      <c r="J717" s="115"/>
      <c r="K717" s="115"/>
      <c r="L717" s="115"/>
      <c r="M717" s="115"/>
      <c r="N717" s="115"/>
      <c r="O717" s="115"/>
      <c r="P717" s="115"/>
    </row>
    <row r="718" spans="10:16" ht="12.5" x14ac:dyDescent="0.25">
      <c r="J718" s="115"/>
      <c r="K718" s="115"/>
      <c r="L718" s="115"/>
      <c r="M718" s="115"/>
      <c r="N718" s="115"/>
      <c r="O718" s="115"/>
      <c r="P718" s="115"/>
    </row>
    <row r="719" spans="10:16" ht="12.5" x14ac:dyDescent="0.25">
      <c r="J719" s="115"/>
      <c r="K719" s="115"/>
      <c r="L719" s="115"/>
      <c r="M719" s="115"/>
      <c r="N719" s="115"/>
      <c r="O719" s="115"/>
      <c r="P719" s="115"/>
    </row>
    <row r="720" spans="10:16" ht="12.5" x14ac:dyDescent="0.25">
      <c r="J720" s="115"/>
      <c r="K720" s="115"/>
      <c r="L720" s="115"/>
      <c r="M720" s="115"/>
      <c r="N720" s="115"/>
      <c r="O720" s="115"/>
      <c r="P720" s="115"/>
    </row>
    <row r="721" spans="10:16" ht="12.5" x14ac:dyDescent="0.25">
      <c r="J721" s="115"/>
      <c r="K721" s="115"/>
      <c r="L721" s="115"/>
      <c r="M721" s="115"/>
      <c r="N721" s="115"/>
      <c r="O721" s="115"/>
      <c r="P721" s="115"/>
    </row>
    <row r="722" spans="10:16" ht="12.5" x14ac:dyDescent="0.25">
      <c r="J722" s="115"/>
      <c r="K722" s="115"/>
      <c r="L722" s="115"/>
      <c r="M722" s="115"/>
      <c r="N722" s="115"/>
      <c r="O722" s="115"/>
      <c r="P722" s="115"/>
    </row>
    <row r="723" spans="10:16" ht="12.5" x14ac:dyDescent="0.25">
      <c r="J723" s="115"/>
      <c r="K723" s="115"/>
      <c r="L723" s="115"/>
      <c r="M723" s="115"/>
      <c r="N723" s="115"/>
      <c r="O723" s="115"/>
      <c r="P723" s="115"/>
    </row>
    <row r="724" spans="10:16" ht="12.5" x14ac:dyDescent="0.25">
      <c r="J724" s="115"/>
      <c r="K724" s="115"/>
      <c r="L724" s="115"/>
      <c r="M724" s="115"/>
      <c r="N724" s="115"/>
      <c r="O724" s="115"/>
      <c r="P724" s="115"/>
    </row>
    <row r="725" spans="10:16" ht="12.5" x14ac:dyDescent="0.25">
      <c r="J725" s="115"/>
      <c r="K725" s="115"/>
      <c r="L725" s="115"/>
      <c r="M725" s="115"/>
      <c r="N725" s="115"/>
      <c r="O725" s="115"/>
      <c r="P725" s="115"/>
    </row>
    <row r="726" spans="10:16" ht="12.5" x14ac:dyDescent="0.25">
      <c r="J726" s="115"/>
      <c r="K726" s="115"/>
      <c r="L726" s="115"/>
      <c r="M726" s="115"/>
      <c r="N726" s="115"/>
      <c r="O726" s="115"/>
      <c r="P726" s="115"/>
    </row>
    <row r="727" spans="10:16" ht="12.5" x14ac:dyDescent="0.25">
      <c r="J727" s="115"/>
      <c r="K727" s="115"/>
      <c r="L727" s="115"/>
      <c r="M727" s="115"/>
      <c r="N727" s="115"/>
      <c r="O727" s="115"/>
      <c r="P727" s="115"/>
    </row>
    <row r="728" spans="10:16" ht="12.5" x14ac:dyDescent="0.25">
      <c r="J728" s="115"/>
      <c r="K728" s="115"/>
      <c r="L728" s="115"/>
      <c r="M728" s="115"/>
      <c r="N728" s="115"/>
      <c r="O728" s="115"/>
      <c r="P728" s="115"/>
    </row>
    <row r="729" spans="10:16" ht="12.5" x14ac:dyDescent="0.25">
      <c r="J729" s="115"/>
      <c r="K729" s="115"/>
      <c r="L729" s="115"/>
      <c r="M729" s="115"/>
      <c r="N729" s="115"/>
      <c r="O729" s="115"/>
      <c r="P729" s="115"/>
    </row>
    <row r="730" spans="10:16" ht="12.5" x14ac:dyDescent="0.25">
      <c r="J730" s="115"/>
      <c r="K730" s="115"/>
      <c r="L730" s="115"/>
      <c r="M730" s="115"/>
      <c r="N730" s="115"/>
      <c r="O730" s="115"/>
      <c r="P730" s="115"/>
    </row>
    <row r="731" spans="10:16" ht="12.5" x14ac:dyDescent="0.25">
      <c r="J731" s="115"/>
      <c r="K731" s="115"/>
      <c r="L731" s="115"/>
      <c r="M731" s="115"/>
      <c r="N731" s="115"/>
      <c r="O731" s="115"/>
      <c r="P731" s="115"/>
    </row>
    <row r="732" spans="10:16" ht="12.5" x14ac:dyDescent="0.25">
      <c r="J732" s="115"/>
      <c r="K732" s="115"/>
      <c r="L732" s="115"/>
      <c r="M732" s="115"/>
      <c r="N732" s="115"/>
      <c r="O732" s="115"/>
      <c r="P732" s="115"/>
    </row>
    <row r="733" spans="10:16" ht="12.5" x14ac:dyDescent="0.25">
      <c r="J733" s="115"/>
      <c r="K733" s="115"/>
      <c r="L733" s="115"/>
      <c r="M733" s="115"/>
      <c r="N733" s="115"/>
      <c r="O733" s="115"/>
      <c r="P733" s="115"/>
    </row>
    <row r="734" spans="10:16" ht="12.5" x14ac:dyDescent="0.25">
      <c r="J734" s="115"/>
      <c r="K734" s="115"/>
      <c r="L734" s="115"/>
      <c r="M734" s="115"/>
      <c r="N734" s="115"/>
      <c r="O734" s="115"/>
      <c r="P734" s="115"/>
    </row>
    <row r="735" spans="10:16" ht="12.5" x14ac:dyDescent="0.25">
      <c r="J735" s="115"/>
      <c r="K735" s="115"/>
      <c r="L735" s="115"/>
      <c r="M735" s="115"/>
      <c r="N735" s="115"/>
      <c r="O735" s="115"/>
      <c r="P735" s="115"/>
    </row>
    <row r="736" spans="10:16" ht="12.5" x14ac:dyDescent="0.25">
      <c r="J736" s="115"/>
      <c r="K736" s="115"/>
      <c r="L736" s="115"/>
      <c r="M736" s="115"/>
      <c r="N736" s="115"/>
      <c r="O736" s="115"/>
      <c r="P736" s="115"/>
    </row>
    <row r="737" spans="10:16" ht="12.5" x14ac:dyDescent="0.25">
      <c r="J737" s="115"/>
      <c r="K737" s="115"/>
      <c r="L737" s="115"/>
      <c r="M737" s="115"/>
      <c r="N737" s="115"/>
      <c r="O737" s="115"/>
      <c r="P737" s="115"/>
    </row>
    <row r="738" spans="10:16" ht="12.5" x14ac:dyDescent="0.25">
      <c r="J738" s="115"/>
      <c r="K738" s="115"/>
      <c r="L738" s="115"/>
      <c r="M738" s="115"/>
      <c r="N738" s="115"/>
      <c r="O738" s="115"/>
      <c r="P738" s="115"/>
    </row>
    <row r="739" spans="10:16" ht="12.5" x14ac:dyDescent="0.25">
      <c r="J739" s="115"/>
      <c r="K739" s="115"/>
      <c r="L739" s="115"/>
      <c r="M739" s="115"/>
      <c r="N739" s="115"/>
      <c r="O739" s="115"/>
      <c r="P739" s="115"/>
    </row>
    <row r="740" spans="10:16" ht="12.5" x14ac:dyDescent="0.25">
      <c r="J740" s="115"/>
      <c r="K740" s="115"/>
      <c r="L740" s="115"/>
      <c r="M740" s="115"/>
      <c r="N740" s="115"/>
      <c r="O740" s="115"/>
      <c r="P740" s="115"/>
    </row>
    <row r="741" spans="10:16" ht="12.5" x14ac:dyDescent="0.25">
      <c r="J741" s="115"/>
      <c r="K741" s="115"/>
      <c r="L741" s="115"/>
      <c r="M741" s="115"/>
      <c r="N741" s="115"/>
      <c r="O741" s="115"/>
      <c r="P741" s="115"/>
    </row>
    <row r="742" spans="10:16" ht="12.5" x14ac:dyDescent="0.25">
      <c r="J742" s="115"/>
      <c r="K742" s="115"/>
      <c r="L742" s="115"/>
      <c r="M742" s="115"/>
      <c r="N742" s="115"/>
      <c r="O742" s="115"/>
      <c r="P742" s="115"/>
    </row>
    <row r="743" spans="10:16" ht="12.5" x14ac:dyDescent="0.25">
      <c r="J743" s="115"/>
      <c r="K743" s="115"/>
      <c r="L743" s="115"/>
      <c r="M743" s="115"/>
      <c r="N743" s="115"/>
      <c r="O743" s="115"/>
      <c r="P743" s="115"/>
    </row>
    <row r="744" spans="10:16" ht="12.5" x14ac:dyDescent="0.25">
      <c r="J744" s="115"/>
      <c r="K744" s="115"/>
      <c r="L744" s="115"/>
      <c r="M744" s="115"/>
      <c r="N744" s="115"/>
      <c r="O744" s="115"/>
      <c r="P744" s="115"/>
    </row>
    <row r="745" spans="10:16" ht="12.5" x14ac:dyDescent="0.25">
      <c r="J745" s="115"/>
      <c r="K745" s="115"/>
      <c r="L745" s="115"/>
      <c r="M745" s="115"/>
      <c r="N745" s="115"/>
      <c r="O745" s="115"/>
      <c r="P745" s="115"/>
    </row>
    <row r="746" spans="10:16" ht="12.5" x14ac:dyDescent="0.25">
      <c r="J746" s="115"/>
      <c r="K746" s="115"/>
      <c r="L746" s="115"/>
      <c r="M746" s="115"/>
      <c r="N746" s="115"/>
      <c r="O746" s="115"/>
      <c r="P746" s="115"/>
    </row>
    <row r="747" spans="10:16" ht="12.5" x14ac:dyDescent="0.25">
      <c r="J747" s="115"/>
      <c r="K747" s="115"/>
      <c r="L747" s="115"/>
      <c r="M747" s="115"/>
      <c r="N747" s="115"/>
      <c r="O747" s="115"/>
      <c r="P747" s="115"/>
    </row>
    <row r="748" spans="10:16" ht="12.5" x14ac:dyDescent="0.25">
      <c r="J748" s="115"/>
      <c r="K748" s="115"/>
      <c r="L748" s="115"/>
      <c r="M748" s="115"/>
      <c r="N748" s="115"/>
      <c r="O748" s="115"/>
      <c r="P748" s="115"/>
    </row>
    <row r="749" spans="10:16" ht="12.5" x14ac:dyDescent="0.25">
      <c r="J749" s="115"/>
      <c r="K749" s="115"/>
      <c r="L749" s="115"/>
      <c r="M749" s="115"/>
      <c r="N749" s="115"/>
      <c r="O749" s="115"/>
      <c r="P749" s="115"/>
    </row>
    <row r="750" spans="10:16" ht="12.5" x14ac:dyDescent="0.25">
      <c r="J750" s="115"/>
      <c r="K750" s="115"/>
      <c r="L750" s="115"/>
      <c r="M750" s="115"/>
      <c r="N750" s="115"/>
      <c r="O750" s="115"/>
      <c r="P750" s="115"/>
    </row>
    <row r="751" spans="10:16" ht="12.5" x14ac:dyDescent="0.25">
      <c r="J751" s="115"/>
      <c r="K751" s="115"/>
      <c r="L751" s="115"/>
      <c r="M751" s="115"/>
      <c r="N751" s="115"/>
      <c r="O751" s="115"/>
      <c r="P751" s="115"/>
    </row>
    <row r="752" spans="10:16" ht="12.5" x14ac:dyDescent="0.25">
      <c r="J752" s="115"/>
      <c r="K752" s="115"/>
      <c r="L752" s="115"/>
      <c r="M752" s="115"/>
      <c r="N752" s="115"/>
      <c r="O752" s="115"/>
      <c r="P752" s="115"/>
    </row>
    <row r="753" spans="10:16" ht="12.5" x14ac:dyDescent="0.25">
      <c r="J753" s="115"/>
      <c r="K753" s="115"/>
      <c r="L753" s="115"/>
      <c r="M753" s="115"/>
      <c r="N753" s="115"/>
      <c r="O753" s="115"/>
      <c r="P753" s="115"/>
    </row>
    <row r="754" spans="10:16" ht="12.5" x14ac:dyDescent="0.25">
      <c r="J754" s="115"/>
      <c r="K754" s="115"/>
      <c r="L754" s="115"/>
      <c r="M754" s="115"/>
      <c r="N754" s="115"/>
      <c r="O754" s="115"/>
      <c r="P754" s="115"/>
    </row>
    <row r="755" spans="10:16" ht="12.5" x14ac:dyDescent="0.25">
      <c r="J755" s="115"/>
      <c r="K755" s="115"/>
      <c r="L755" s="115"/>
      <c r="M755" s="115"/>
      <c r="N755" s="115"/>
      <c r="O755" s="115"/>
      <c r="P755" s="115"/>
    </row>
    <row r="756" spans="10:16" ht="12.5" x14ac:dyDescent="0.25">
      <c r="J756" s="115"/>
      <c r="K756" s="115"/>
      <c r="L756" s="115"/>
      <c r="M756" s="115"/>
      <c r="N756" s="115"/>
      <c r="O756" s="115"/>
      <c r="P756" s="115"/>
    </row>
    <row r="757" spans="10:16" ht="12.5" x14ac:dyDescent="0.25">
      <c r="J757" s="115"/>
      <c r="K757" s="115"/>
      <c r="L757" s="115"/>
      <c r="M757" s="115"/>
      <c r="N757" s="115"/>
      <c r="O757" s="115"/>
      <c r="P757" s="115"/>
    </row>
    <row r="758" spans="10:16" ht="12.5" x14ac:dyDescent="0.25">
      <c r="J758" s="115"/>
      <c r="K758" s="115"/>
      <c r="L758" s="115"/>
      <c r="M758" s="115"/>
      <c r="N758" s="115"/>
      <c r="O758" s="115"/>
      <c r="P758" s="115"/>
    </row>
    <row r="759" spans="10:16" ht="12.5" x14ac:dyDescent="0.25">
      <c r="J759" s="115"/>
      <c r="K759" s="115"/>
      <c r="L759" s="115"/>
      <c r="M759" s="115"/>
      <c r="N759" s="115"/>
      <c r="O759" s="115"/>
      <c r="P759" s="115"/>
    </row>
    <row r="760" spans="10:16" ht="12.5" x14ac:dyDescent="0.25">
      <c r="J760" s="115"/>
      <c r="K760" s="115"/>
      <c r="L760" s="115"/>
      <c r="M760" s="115"/>
      <c r="N760" s="115"/>
      <c r="O760" s="115"/>
      <c r="P760" s="115"/>
    </row>
    <row r="761" spans="10:16" ht="12.5" x14ac:dyDescent="0.25">
      <c r="J761" s="115"/>
      <c r="K761" s="115"/>
      <c r="L761" s="115"/>
      <c r="M761" s="115"/>
      <c r="N761" s="115"/>
      <c r="O761" s="115"/>
      <c r="P761" s="115"/>
    </row>
    <row r="762" spans="10:16" ht="12.5" x14ac:dyDescent="0.25">
      <c r="J762" s="115"/>
      <c r="K762" s="115"/>
      <c r="L762" s="115"/>
      <c r="M762" s="115"/>
      <c r="N762" s="115"/>
      <c r="O762" s="115"/>
      <c r="P762" s="115"/>
    </row>
    <row r="763" spans="10:16" ht="12.5" x14ac:dyDescent="0.25">
      <c r="J763" s="115"/>
      <c r="K763" s="115"/>
      <c r="L763" s="115"/>
      <c r="M763" s="115"/>
      <c r="N763" s="115"/>
      <c r="O763" s="115"/>
      <c r="P763" s="115"/>
    </row>
    <row r="764" spans="10:16" ht="12.5" x14ac:dyDescent="0.25">
      <c r="J764" s="115"/>
      <c r="K764" s="115"/>
      <c r="L764" s="115"/>
      <c r="M764" s="115"/>
      <c r="N764" s="115"/>
      <c r="O764" s="115"/>
      <c r="P764" s="115"/>
    </row>
    <row r="765" spans="10:16" ht="12.5" x14ac:dyDescent="0.25">
      <c r="J765" s="115"/>
      <c r="K765" s="115"/>
      <c r="L765" s="115"/>
      <c r="M765" s="115"/>
      <c r="N765" s="115"/>
      <c r="O765" s="115"/>
      <c r="P765" s="115"/>
    </row>
    <row r="766" spans="10:16" ht="12.5" x14ac:dyDescent="0.25">
      <c r="J766" s="115"/>
      <c r="K766" s="115"/>
      <c r="L766" s="115"/>
      <c r="M766" s="115"/>
      <c r="N766" s="115"/>
      <c r="O766" s="115"/>
      <c r="P766" s="115"/>
    </row>
    <row r="767" spans="10:16" ht="12.5" x14ac:dyDescent="0.25">
      <c r="J767" s="115"/>
      <c r="K767" s="115"/>
      <c r="L767" s="115"/>
      <c r="M767" s="115"/>
      <c r="N767" s="115"/>
      <c r="O767" s="115"/>
      <c r="P767" s="115"/>
    </row>
    <row r="768" spans="10:16" ht="12.5" x14ac:dyDescent="0.25">
      <c r="J768" s="115"/>
      <c r="K768" s="115"/>
      <c r="L768" s="115"/>
      <c r="M768" s="115"/>
      <c r="N768" s="115"/>
      <c r="O768" s="115"/>
      <c r="P768" s="115"/>
    </row>
    <row r="769" spans="10:16" ht="12.5" x14ac:dyDescent="0.25">
      <c r="J769" s="115"/>
      <c r="K769" s="115"/>
      <c r="L769" s="115"/>
      <c r="M769" s="115"/>
      <c r="N769" s="115"/>
      <c r="O769" s="115"/>
      <c r="P769" s="115"/>
    </row>
    <row r="770" spans="10:16" ht="12.5" x14ac:dyDescent="0.25">
      <c r="J770" s="115"/>
      <c r="K770" s="115"/>
      <c r="L770" s="115"/>
      <c r="M770" s="115"/>
      <c r="N770" s="115"/>
      <c r="O770" s="115"/>
      <c r="P770" s="115"/>
    </row>
    <row r="771" spans="10:16" ht="12.5" x14ac:dyDescent="0.25">
      <c r="J771" s="115"/>
      <c r="K771" s="115"/>
      <c r="L771" s="115"/>
      <c r="M771" s="115"/>
      <c r="N771" s="115"/>
      <c r="O771" s="115"/>
      <c r="P771" s="115"/>
    </row>
    <row r="772" spans="10:16" ht="12.5" x14ac:dyDescent="0.25">
      <c r="J772" s="115"/>
      <c r="K772" s="115"/>
      <c r="L772" s="115"/>
      <c r="M772" s="115"/>
      <c r="N772" s="115"/>
      <c r="O772" s="115"/>
      <c r="P772" s="115"/>
    </row>
    <row r="773" spans="10:16" ht="12.5" x14ac:dyDescent="0.25">
      <c r="J773" s="115"/>
      <c r="K773" s="115"/>
      <c r="L773" s="115"/>
      <c r="M773" s="115"/>
      <c r="N773" s="115"/>
      <c r="O773" s="115"/>
      <c r="P773" s="115"/>
    </row>
    <row r="774" spans="10:16" ht="12.5" x14ac:dyDescent="0.25">
      <c r="J774" s="115"/>
      <c r="K774" s="115"/>
      <c r="L774" s="115"/>
      <c r="M774" s="115"/>
      <c r="N774" s="115"/>
      <c r="O774" s="115"/>
      <c r="P774" s="115"/>
    </row>
    <row r="775" spans="10:16" ht="12.5" x14ac:dyDescent="0.25">
      <c r="J775" s="115"/>
      <c r="K775" s="115"/>
      <c r="L775" s="115"/>
      <c r="M775" s="115"/>
      <c r="N775" s="115"/>
      <c r="O775" s="115"/>
      <c r="P775" s="115"/>
    </row>
    <row r="776" spans="10:16" ht="12.5" x14ac:dyDescent="0.25">
      <c r="J776" s="115"/>
      <c r="K776" s="115"/>
      <c r="L776" s="115"/>
      <c r="M776" s="115"/>
      <c r="N776" s="115"/>
      <c r="O776" s="115"/>
      <c r="P776" s="115"/>
    </row>
    <row r="777" spans="10:16" ht="12.5" x14ac:dyDescent="0.25">
      <c r="J777" s="115"/>
      <c r="K777" s="115"/>
      <c r="L777" s="115"/>
      <c r="M777" s="115"/>
      <c r="N777" s="115"/>
      <c r="O777" s="115"/>
      <c r="P777" s="115"/>
    </row>
    <row r="778" spans="10:16" ht="12.5" x14ac:dyDescent="0.25">
      <c r="J778" s="115"/>
      <c r="K778" s="115"/>
      <c r="L778" s="115"/>
      <c r="M778" s="115"/>
      <c r="N778" s="115"/>
      <c r="O778" s="115"/>
      <c r="P778" s="115"/>
    </row>
    <row r="779" spans="10:16" ht="12.5" x14ac:dyDescent="0.25">
      <c r="J779" s="115"/>
      <c r="K779" s="115"/>
      <c r="L779" s="115"/>
      <c r="M779" s="115"/>
      <c r="N779" s="115"/>
      <c r="O779" s="115"/>
      <c r="P779" s="115"/>
    </row>
    <row r="780" spans="10:16" ht="12.5" x14ac:dyDescent="0.25">
      <c r="J780" s="115"/>
      <c r="K780" s="115"/>
      <c r="L780" s="115"/>
      <c r="M780" s="115"/>
      <c r="N780" s="115"/>
      <c r="O780" s="115"/>
      <c r="P780" s="115"/>
    </row>
    <row r="781" spans="10:16" ht="12.5" x14ac:dyDescent="0.25">
      <c r="J781" s="115"/>
      <c r="K781" s="115"/>
      <c r="L781" s="115"/>
      <c r="M781" s="115"/>
      <c r="N781" s="115"/>
      <c r="O781" s="115"/>
      <c r="P781" s="115"/>
    </row>
    <row r="782" spans="10:16" ht="12.5" x14ac:dyDescent="0.25">
      <c r="J782" s="115"/>
      <c r="K782" s="115"/>
      <c r="L782" s="115"/>
      <c r="M782" s="115"/>
      <c r="N782" s="115"/>
      <c r="O782" s="115"/>
      <c r="P782" s="115"/>
    </row>
    <row r="783" spans="10:16" ht="12.5" x14ac:dyDescent="0.25">
      <c r="J783" s="115"/>
      <c r="K783" s="115"/>
      <c r="L783" s="115"/>
      <c r="M783" s="115"/>
      <c r="N783" s="115"/>
      <c r="O783" s="115"/>
      <c r="P783" s="115"/>
    </row>
    <row r="784" spans="10:16" ht="12.5" x14ac:dyDescent="0.25">
      <c r="J784" s="115"/>
      <c r="K784" s="115"/>
      <c r="L784" s="115"/>
      <c r="M784" s="115"/>
      <c r="N784" s="115"/>
      <c r="O784" s="115"/>
      <c r="P784" s="115"/>
    </row>
    <row r="785" spans="10:16" ht="12.5" x14ac:dyDescent="0.25">
      <c r="J785" s="115"/>
      <c r="K785" s="115"/>
      <c r="L785" s="115"/>
      <c r="M785" s="115"/>
      <c r="N785" s="115"/>
      <c r="O785" s="115"/>
      <c r="P785" s="115"/>
    </row>
    <row r="786" spans="10:16" ht="12.5" x14ac:dyDescent="0.25">
      <c r="J786" s="115"/>
      <c r="K786" s="115"/>
      <c r="L786" s="115"/>
      <c r="M786" s="115"/>
      <c r="N786" s="115"/>
      <c r="O786" s="115"/>
      <c r="P786" s="115"/>
    </row>
    <row r="787" spans="10:16" ht="12.5" x14ac:dyDescent="0.25">
      <c r="J787" s="115"/>
      <c r="K787" s="115"/>
      <c r="L787" s="115"/>
      <c r="M787" s="115"/>
      <c r="N787" s="115"/>
      <c r="O787" s="115"/>
      <c r="P787" s="115"/>
    </row>
    <row r="788" spans="10:16" ht="12.5" x14ac:dyDescent="0.25">
      <c r="J788" s="115"/>
      <c r="K788" s="115"/>
      <c r="L788" s="115"/>
      <c r="M788" s="115"/>
      <c r="N788" s="115"/>
      <c r="O788" s="115"/>
      <c r="P788" s="115"/>
    </row>
    <row r="789" spans="10:16" ht="12.5" x14ac:dyDescent="0.25">
      <c r="J789" s="115"/>
      <c r="K789" s="115"/>
      <c r="L789" s="115"/>
      <c r="M789" s="115"/>
      <c r="N789" s="115"/>
      <c r="O789" s="115"/>
      <c r="P789" s="115"/>
    </row>
    <row r="790" spans="10:16" ht="12.5" x14ac:dyDescent="0.25">
      <c r="J790" s="115"/>
      <c r="K790" s="115"/>
      <c r="L790" s="115"/>
      <c r="M790" s="115"/>
      <c r="N790" s="115"/>
      <c r="O790" s="115"/>
      <c r="P790" s="115"/>
    </row>
    <row r="791" spans="10:16" ht="12.5" x14ac:dyDescent="0.25">
      <c r="J791" s="115"/>
      <c r="K791" s="115"/>
      <c r="L791" s="115"/>
      <c r="M791" s="115"/>
      <c r="N791" s="115"/>
      <c r="O791" s="115"/>
      <c r="P791" s="115"/>
    </row>
    <row r="792" spans="10:16" ht="12.5" x14ac:dyDescent="0.25">
      <c r="J792" s="115"/>
      <c r="K792" s="115"/>
      <c r="L792" s="115"/>
      <c r="M792" s="115"/>
      <c r="N792" s="115"/>
      <c r="O792" s="115"/>
      <c r="P792" s="115"/>
    </row>
    <row r="793" spans="10:16" ht="12.5" x14ac:dyDescent="0.25">
      <c r="J793" s="115"/>
      <c r="K793" s="115"/>
      <c r="L793" s="115"/>
      <c r="M793" s="115"/>
      <c r="N793" s="115"/>
      <c r="O793" s="115"/>
      <c r="P793" s="115"/>
    </row>
    <row r="794" spans="10:16" ht="12.5" x14ac:dyDescent="0.25">
      <c r="J794" s="115"/>
      <c r="K794" s="115"/>
      <c r="L794" s="115"/>
      <c r="M794" s="115"/>
      <c r="N794" s="115"/>
      <c r="O794" s="115"/>
      <c r="P794" s="115"/>
    </row>
    <row r="795" spans="10:16" ht="12.5" x14ac:dyDescent="0.25">
      <c r="J795" s="115"/>
      <c r="K795" s="115"/>
      <c r="L795" s="115"/>
      <c r="M795" s="115"/>
      <c r="N795" s="115"/>
      <c r="O795" s="115"/>
      <c r="P795" s="115"/>
    </row>
    <row r="796" spans="10:16" ht="12.5" x14ac:dyDescent="0.25">
      <c r="J796" s="115"/>
      <c r="K796" s="115"/>
      <c r="L796" s="115"/>
      <c r="M796" s="115"/>
      <c r="N796" s="115"/>
      <c r="O796" s="115"/>
      <c r="P796" s="115"/>
    </row>
    <row r="797" spans="10:16" ht="12.5" x14ac:dyDescent="0.25">
      <c r="J797" s="115"/>
      <c r="K797" s="115"/>
      <c r="L797" s="115"/>
      <c r="M797" s="115"/>
      <c r="N797" s="115"/>
      <c r="O797" s="115"/>
      <c r="P797" s="115"/>
    </row>
    <row r="798" spans="10:16" ht="12.5" x14ac:dyDescent="0.25">
      <c r="J798" s="115"/>
      <c r="K798" s="115"/>
      <c r="L798" s="115"/>
      <c r="M798" s="115"/>
      <c r="N798" s="115"/>
      <c r="O798" s="115"/>
      <c r="P798" s="115"/>
    </row>
    <row r="799" spans="10:16" ht="12.5" x14ac:dyDescent="0.25">
      <c r="J799" s="115"/>
      <c r="K799" s="115"/>
      <c r="L799" s="115"/>
      <c r="M799" s="115"/>
      <c r="N799" s="115"/>
      <c r="O799" s="115"/>
      <c r="P799" s="115"/>
    </row>
    <row r="800" spans="10:16" ht="12.5" x14ac:dyDescent="0.25">
      <c r="J800" s="115"/>
      <c r="K800" s="115"/>
      <c r="L800" s="115"/>
      <c r="M800" s="115"/>
      <c r="N800" s="115"/>
      <c r="O800" s="115"/>
      <c r="P800" s="115"/>
    </row>
    <row r="801" spans="10:16" ht="12.5" x14ac:dyDescent="0.25">
      <c r="J801" s="115"/>
      <c r="K801" s="115"/>
      <c r="L801" s="115"/>
      <c r="M801" s="115"/>
      <c r="N801" s="115"/>
      <c r="O801" s="115"/>
      <c r="P801" s="115"/>
    </row>
    <row r="802" spans="10:16" ht="12.5" x14ac:dyDescent="0.25">
      <c r="J802" s="115"/>
      <c r="K802" s="115"/>
      <c r="L802" s="115"/>
      <c r="M802" s="115"/>
      <c r="N802" s="115"/>
      <c r="O802" s="115"/>
      <c r="P802" s="115"/>
    </row>
    <row r="803" spans="10:16" ht="12.5" x14ac:dyDescent="0.25">
      <c r="J803" s="115"/>
      <c r="K803" s="115"/>
      <c r="L803" s="115"/>
      <c r="M803" s="115"/>
      <c r="N803" s="115"/>
      <c r="O803" s="115"/>
      <c r="P803" s="115"/>
    </row>
    <row r="804" spans="10:16" ht="12.5" x14ac:dyDescent="0.25">
      <c r="J804" s="115"/>
      <c r="K804" s="115"/>
      <c r="L804" s="115"/>
      <c r="M804" s="115"/>
      <c r="N804" s="115"/>
      <c r="O804" s="115"/>
      <c r="P804" s="115"/>
    </row>
    <row r="805" spans="10:16" ht="12.5" x14ac:dyDescent="0.25">
      <c r="J805" s="115"/>
      <c r="K805" s="115"/>
      <c r="L805" s="115"/>
      <c r="M805" s="115"/>
      <c r="N805" s="115"/>
      <c r="O805" s="115"/>
      <c r="P805" s="115"/>
    </row>
    <row r="806" spans="10:16" ht="12.5" x14ac:dyDescent="0.25">
      <c r="J806" s="115"/>
      <c r="K806" s="115"/>
      <c r="L806" s="115"/>
      <c r="M806" s="115"/>
      <c r="N806" s="115"/>
      <c r="O806" s="115"/>
      <c r="P806" s="115"/>
    </row>
    <row r="807" spans="10:16" ht="12.5" x14ac:dyDescent="0.25">
      <c r="J807" s="115"/>
      <c r="K807" s="115"/>
      <c r="L807" s="115"/>
      <c r="M807" s="115"/>
      <c r="N807" s="115"/>
      <c r="O807" s="115"/>
      <c r="P807" s="115"/>
    </row>
    <row r="808" spans="10:16" ht="12.5" x14ac:dyDescent="0.25">
      <c r="J808" s="115"/>
      <c r="K808" s="115"/>
      <c r="L808" s="115"/>
      <c r="M808" s="115"/>
      <c r="N808" s="115"/>
      <c r="O808" s="115"/>
      <c r="P808" s="115"/>
    </row>
    <row r="809" spans="10:16" ht="12.5" x14ac:dyDescent="0.25">
      <c r="J809" s="115"/>
      <c r="K809" s="115"/>
      <c r="L809" s="115"/>
      <c r="M809" s="115"/>
      <c r="N809" s="115"/>
      <c r="O809" s="115"/>
      <c r="P809" s="115"/>
    </row>
    <row r="810" spans="10:16" ht="12.5" x14ac:dyDescent="0.25">
      <c r="J810" s="115"/>
      <c r="K810" s="115"/>
      <c r="L810" s="115"/>
      <c r="M810" s="115"/>
      <c r="N810" s="115"/>
      <c r="O810" s="115"/>
      <c r="P810" s="115"/>
    </row>
    <row r="811" spans="10:16" ht="12.5" x14ac:dyDescent="0.25">
      <c r="J811" s="115"/>
      <c r="K811" s="115"/>
      <c r="L811" s="115"/>
      <c r="M811" s="115"/>
      <c r="N811" s="115"/>
      <c r="O811" s="115"/>
      <c r="P811" s="115"/>
    </row>
    <row r="812" spans="10:16" ht="12.5" x14ac:dyDescent="0.25">
      <c r="J812" s="115"/>
      <c r="K812" s="115"/>
      <c r="L812" s="115"/>
      <c r="M812" s="115"/>
      <c r="N812" s="115"/>
      <c r="O812" s="115"/>
      <c r="P812" s="115"/>
    </row>
    <row r="813" spans="10:16" ht="12.5" x14ac:dyDescent="0.25">
      <c r="J813" s="115"/>
      <c r="K813" s="115"/>
      <c r="L813" s="115"/>
      <c r="M813" s="115"/>
      <c r="N813" s="115"/>
      <c r="O813" s="115"/>
      <c r="P813" s="115"/>
    </row>
    <row r="814" spans="10:16" ht="12.5" x14ac:dyDescent="0.25">
      <c r="J814" s="115"/>
      <c r="K814" s="115"/>
      <c r="L814" s="115"/>
      <c r="M814" s="115"/>
      <c r="N814" s="115"/>
      <c r="O814" s="115"/>
      <c r="P814" s="115"/>
    </row>
    <row r="815" spans="10:16" ht="12.5" x14ac:dyDescent="0.25">
      <c r="J815" s="115"/>
      <c r="K815" s="115"/>
      <c r="L815" s="115"/>
      <c r="M815" s="115"/>
      <c r="N815" s="115"/>
      <c r="O815" s="115"/>
      <c r="P815" s="115"/>
    </row>
    <row r="816" spans="10:16" ht="12.5" x14ac:dyDescent="0.25">
      <c r="J816" s="115"/>
      <c r="K816" s="115"/>
      <c r="L816" s="115"/>
      <c r="M816" s="115"/>
      <c r="N816" s="115"/>
      <c r="O816" s="115"/>
      <c r="P816" s="115"/>
    </row>
    <row r="817" spans="10:16" ht="12.5" x14ac:dyDescent="0.25">
      <c r="J817" s="115"/>
      <c r="K817" s="115"/>
      <c r="L817" s="115"/>
      <c r="M817" s="115"/>
      <c r="N817" s="115"/>
      <c r="O817" s="115"/>
      <c r="P817" s="115"/>
    </row>
    <row r="818" spans="10:16" ht="12.5" x14ac:dyDescent="0.25">
      <c r="J818" s="115"/>
      <c r="K818" s="115"/>
      <c r="L818" s="115"/>
      <c r="M818" s="115"/>
      <c r="N818" s="115"/>
      <c r="O818" s="115"/>
      <c r="P818" s="115"/>
    </row>
    <row r="819" spans="10:16" ht="12.5" x14ac:dyDescent="0.25">
      <c r="J819" s="115"/>
      <c r="K819" s="115"/>
      <c r="L819" s="115"/>
      <c r="M819" s="115"/>
      <c r="N819" s="115"/>
      <c r="O819" s="115"/>
      <c r="P819" s="115"/>
    </row>
    <row r="820" spans="10:16" ht="12.5" x14ac:dyDescent="0.25">
      <c r="J820" s="115"/>
      <c r="K820" s="115"/>
      <c r="L820" s="115"/>
      <c r="M820" s="115"/>
      <c r="N820" s="115"/>
      <c r="O820" s="115"/>
      <c r="P820" s="115"/>
    </row>
    <row r="821" spans="10:16" ht="12.5" x14ac:dyDescent="0.25">
      <c r="J821" s="115"/>
      <c r="K821" s="115"/>
      <c r="L821" s="115"/>
      <c r="M821" s="115"/>
      <c r="N821" s="115"/>
      <c r="O821" s="115"/>
      <c r="P821" s="115"/>
    </row>
    <row r="822" spans="10:16" ht="12.5" x14ac:dyDescent="0.25">
      <c r="J822" s="115"/>
      <c r="K822" s="115"/>
      <c r="L822" s="115"/>
      <c r="M822" s="115"/>
      <c r="N822" s="115"/>
      <c r="O822" s="115"/>
      <c r="P822" s="115"/>
    </row>
    <row r="823" spans="10:16" ht="12.5" x14ac:dyDescent="0.25">
      <c r="J823" s="115"/>
      <c r="K823" s="115"/>
      <c r="L823" s="115"/>
      <c r="M823" s="115"/>
      <c r="N823" s="115"/>
      <c r="O823" s="115"/>
      <c r="P823" s="115"/>
    </row>
    <row r="824" spans="10:16" ht="12.5" x14ac:dyDescent="0.25">
      <c r="J824" s="115"/>
      <c r="K824" s="115"/>
      <c r="L824" s="115"/>
      <c r="M824" s="115"/>
      <c r="N824" s="115"/>
      <c r="O824" s="115"/>
      <c r="P824" s="115"/>
    </row>
    <row r="825" spans="10:16" ht="12.5" x14ac:dyDescent="0.25">
      <c r="J825" s="115"/>
      <c r="K825" s="115"/>
      <c r="L825" s="115"/>
      <c r="M825" s="115"/>
      <c r="N825" s="115"/>
      <c r="O825" s="115"/>
      <c r="P825" s="115"/>
    </row>
    <row r="826" spans="10:16" ht="12.5" x14ac:dyDescent="0.25">
      <c r="J826" s="115"/>
      <c r="K826" s="115"/>
      <c r="L826" s="115"/>
      <c r="M826" s="115"/>
      <c r="N826" s="115"/>
      <c r="O826" s="115"/>
      <c r="P826" s="115"/>
    </row>
    <row r="827" spans="10:16" ht="12.5" x14ac:dyDescent="0.25">
      <c r="J827" s="115"/>
      <c r="K827" s="115"/>
      <c r="L827" s="115"/>
      <c r="M827" s="115"/>
      <c r="N827" s="115"/>
      <c r="O827" s="115"/>
      <c r="P827" s="115"/>
    </row>
    <row r="828" spans="10:16" ht="12.5" x14ac:dyDescent="0.25">
      <c r="J828" s="115"/>
      <c r="K828" s="115"/>
      <c r="L828" s="115"/>
      <c r="M828" s="115"/>
      <c r="N828" s="115"/>
      <c r="O828" s="115"/>
      <c r="P828" s="115"/>
    </row>
    <row r="829" spans="10:16" ht="12.5" x14ac:dyDescent="0.25">
      <c r="J829" s="115"/>
      <c r="K829" s="115"/>
      <c r="L829" s="115"/>
      <c r="M829" s="115"/>
      <c r="N829" s="115"/>
      <c r="O829" s="115"/>
      <c r="P829" s="115"/>
    </row>
    <row r="830" spans="10:16" ht="12.5" x14ac:dyDescent="0.25">
      <c r="J830" s="115"/>
      <c r="K830" s="115"/>
      <c r="L830" s="115"/>
      <c r="M830" s="115"/>
      <c r="N830" s="115"/>
      <c r="O830" s="115"/>
      <c r="P830" s="115"/>
    </row>
    <row r="831" spans="10:16" ht="12.5" x14ac:dyDescent="0.25">
      <c r="J831" s="115"/>
      <c r="K831" s="115"/>
      <c r="L831" s="115"/>
      <c r="M831" s="115"/>
      <c r="N831" s="115"/>
      <c r="O831" s="115"/>
      <c r="P831" s="115"/>
    </row>
    <row r="832" spans="10:16" ht="12.5" x14ac:dyDescent="0.25">
      <c r="J832" s="115"/>
      <c r="K832" s="115"/>
      <c r="L832" s="115"/>
      <c r="M832" s="115"/>
      <c r="N832" s="115"/>
      <c r="O832" s="115"/>
      <c r="P832" s="115"/>
    </row>
    <row r="833" spans="10:16" ht="12.5" x14ac:dyDescent="0.25">
      <c r="J833" s="115"/>
      <c r="K833" s="115"/>
      <c r="L833" s="115"/>
      <c r="M833" s="115"/>
      <c r="N833" s="115"/>
      <c r="O833" s="115"/>
      <c r="P833" s="115"/>
    </row>
    <row r="834" spans="10:16" ht="12.5" x14ac:dyDescent="0.25">
      <c r="J834" s="115"/>
      <c r="K834" s="115"/>
      <c r="L834" s="115"/>
      <c r="M834" s="115"/>
      <c r="N834" s="115"/>
      <c r="O834" s="115"/>
      <c r="P834" s="115"/>
    </row>
    <row r="835" spans="10:16" ht="12.5" x14ac:dyDescent="0.25">
      <c r="J835" s="115"/>
      <c r="K835" s="115"/>
      <c r="L835" s="115"/>
      <c r="M835" s="115"/>
      <c r="N835" s="115"/>
      <c r="O835" s="115"/>
      <c r="P835" s="115"/>
    </row>
    <row r="836" spans="10:16" ht="12.5" x14ac:dyDescent="0.25">
      <c r="J836" s="115"/>
      <c r="K836" s="115"/>
      <c r="L836" s="115"/>
      <c r="M836" s="115"/>
      <c r="N836" s="115"/>
      <c r="O836" s="115"/>
      <c r="P836" s="115"/>
    </row>
    <row r="837" spans="10:16" ht="12.5" x14ac:dyDescent="0.25">
      <c r="J837" s="115"/>
      <c r="K837" s="115"/>
      <c r="L837" s="115"/>
      <c r="M837" s="115"/>
      <c r="N837" s="115"/>
      <c r="O837" s="115"/>
      <c r="P837" s="115"/>
    </row>
    <row r="838" spans="10:16" ht="12.5" x14ac:dyDescent="0.25">
      <c r="J838" s="115"/>
      <c r="K838" s="115"/>
      <c r="L838" s="115"/>
      <c r="M838" s="115"/>
      <c r="N838" s="115"/>
      <c r="O838" s="115"/>
      <c r="P838" s="115"/>
    </row>
    <row r="839" spans="10:16" ht="12.5" x14ac:dyDescent="0.25">
      <c r="J839" s="115"/>
      <c r="K839" s="115"/>
      <c r="L839" s="115"/>
      <c r="M839" s="115"/>
      <c r="N839" s="115"/>
      <c r="O839" s="115"/>
      <c r="P839" s="115"/>
    </row>
    <row r="840" spans="10:16" ht="12.5" x14ac:dyDescent="0.25">
      <c r="J840" s="115"/>
      <c r="K840" s="115"/>
      <c r="L840" s="115"/>
      <c r="M840" s="115"/>
      <c r="N840" s="115"/>
      <c r="O840" s="115"/>
      <c r="P840" s="115"/>
    </row>
    <row r="841" spans="10:16" ht="12.5" x14ac:dyDescent="0.25">
      <c r="J841" s="115"/>
      <c r="K841" s="115"/>
      <c r="L841" s="115"/>
      <c r="M841" s="115"/>
      <c r="N841" s="115"/>
      <c r="O841" s="115"/>
      <c r="P841" s="115"/>
    </row>
    <row r="842" spans="10:16" ht="12.5" x14ac:dyDescent="0.25">
      <c r="J842" s="115"/>
      <c r="K842" s="115"/>
      <c r="L842" s="115"/>
      <c r="M842" s="115"/>
      <c r="N842" s="115"/>
      <c r="O842" s="115"/>
      <c r="P842" s="115"/>
    </row>
    <row r="843" spans="10:16" ht="12.5" x14ac:dyDescent="0.25">
      <c r="J843" s="115"/>
      <c r="K843" s="115"/>
      <c r="L843" s="115"/>
      <c r="M843" s="115"/>
      <c r="N843" s="115"/>
      <c r="O843" s="115"/>
      <c r="P843" s="115"/>
    </row>
    <row r="844" spans="10:16" ht="12.5" x14ac:dyDescent="0.25">
      <c r="J844" s="115"/>
      <c r="K844" s="115"/>
      <c r="L844" s="115"/>
      <c r="M844" s="115"/>
      <c r="N844" s="115"/>
      <c r="O844" s="115"/>
      <c r="P844" s="115"/>
    </row>
    <row r="845" spans="10:16" ht="12.5" x14ac:dyDescent="0.25">
      <c r="J845" s="115"/>
      <c r="K845" s="115"/>
      <c r="L845" s="115"/>
      <c r="M845" s="115"/>
      <c r="N845" s="115"/>
      <c r="O845" s="115"/>
      <c r="P845" s="115"/>
    </row>
    <row r="846" spans="10:16" ht="12.5" x14ac:dyDescent="0.25">
      <c r="J846" s="115"/>
      <c r="K846" s="115"/>
      <c r="L846" s="115"/>
      <c r="M846" s="115"/>
      <c r="N846" s="115"/>
      <c r="O846" s="115"/>
      <c r="P846" s="115"/>
    </row>
    <row r="847" spans="10:16" ht="12.5" x14ac:dyDescent="0.25">
      <c r="J847" s="115"/>
      <c r="K847" s="115"/>
      <c r="L847" s="115"/>
      <c r="M847" s="115"/>
      <c r="N847" s="115"/>
      <c r="O847" s="115"/>
      <c r="P847" s="115"/>
    </row>
    <row r="848" spans="10:16" ht="12.5" x14ac:dyDescent="0.25">
      <c r="J848" s="115"/>
      <c r="K848" s="115"/>
      <c r="L848" s="115"/>
      <c r="M848" s="115"/>
      <c r="N848" s="115"/>
      <c r="O848" s="115"/>
      <c r="P848" s="115"/>
    </row>
    <row r="849" spans="10:16" ht="12.5" x14ac:dyDescent="0.25">
      <c r="J849" s="115"/>
      <c r="K849" s="115"/>
      <c r="L849" s="115"/>
      <c r="M849" s="115"/>
      <c r="N849" s="115"/>
      <c r="O849" s="115"/>
      <c r="P849" s="115"/>
    </row>
    <row r="850" spans="10:16" ht="12.5" x14ac:dyDescent="0.25">
      <c r="J850" s="115"/>
      <c r="K850" s="115"/>
      <c r="L850" s="115"/>
      <c r="M850" s="115"/>
      <c r="N850" s="115"/>
      <c r="O850" s="115"/>
      <c r="P850" s="115"/>
    </row>
    <row r="851" spans="10:16" ht="12.5" x14ac:dyDescent="0.25">
      <c r="J851" s="115"/>
      <c r="K851" s="115"/>
      <c r="L851" s="115"/>
      <c r="M851" s="115"/>
      <c r="N851" s="115"/>
      <c r="O851" s="115"/>
      <c r="P851" s="115"/>
    </row>
    <row r="852" spans="10:16" ht="12.5" x14ac:dyDescent="0.25">
      <c r="J852" s="115"/>
      <c r="K852" s="115"/>
      <c r="L852" s="115"/>
      <c r="M852" s="115"/>
      <c r="N852" s="115"/>
      <c r="O852" s="115"/>
      <c r="P852" s="115"/>
    </row>
    <row r="853" spans="10:16" ht="12.5" x14ac:dyDescent="0.25">
      <c r="J853" s="115"/>
      <c r="K853" s="115"/>
      <c r="L853" s="115"/>
      <c r="M853" s="115"/>
      <c r="N853" s="115"/>
      <c r="O853" s="115"/>
      <c r="P853" s="115"/>
    </row>
    <row r="854" spans="10:16" ht="12.5" x14ac:dyDescent="0.25">
      <c r="J854" s="115"/>
      <c r="K854" s="115"/>
      <c r="L854" s="115"/>
      <c r="M854" s="115"/>
      <c r="N854" s="115"/>
      <c r="O854" s="115"/>
      <c r="P854" s="115"/>
    </row>
    <row r="855" spans="10:16" ht="12.5" x14ac:dyDescent="0.25">
      <c r="J855" s="115"/>
      <c r="K855" s="115"/>
      <c r="L855" s="115"/>
      <c r="M855" s="115"/>
      <c r="N855" s="115"/>
      <c r="O855" s="115"/>
      <c r="P855" s="115"/>
    </row>
    <row r="856" spans="10:16" ht="12.5" x14ac:dyDescent="0.25">
      <c r="J856" s="115"/>
      <c r="K856" s="115"/>
      <c r="L856" s="115"/>
      <c r="M856" s="115"/>
      <c r="N856" s="115"/>
      <c r="O856" s="115"/>
      <c r="P856" s="115"/>
    </row>
    <row r="857" spans="10:16" ht="12.5" x14ac:dyDescent="0.25">
      <c r="J857" s="115"/>
      <c r="K857" s="115"/>
      <c r="L857" s="115"/>
      <c r="M857" s="115"/>
      <c r="N857" s="115"/>
      <c r="O857" s="115"/>
      <c r="P857" s="115"/>
    </row>
    <row r="858" spans="10:16" ht="12.5" x14ac:dyDescent="0.25">
      <c r="J858" s="115"/>
      <c r="K858" s="115"/>
      <c r="L858" s="115"/>
      <c r="M858" s="115"/>
      <c r="N858" s="115"/>
      <c r="O858" s="115"/>
      <c r="P858" s="115"/>
    </row>
    <row r="859" spans="10:16" ht="12.5" x14ac:dyDescent="0.25">
      <c r="J859" s="115"/>
      <c r="K859" s="115"/>
      <c r="L859" s="115"/>
      <c r="M859" s="115"/>
      <c r="N859" s="115"/>
      <c r="O859" s="115"/>
      <c r="P859" s="115"/>
    </row>
    <row r="860" spans="10:16" ht="12.5" x14ac:dyDescent="0.25">
      <c r="J860" s="115"/>
      <c r="K860" s="115"/>
      <c r="L860" s="115"/>
      <c r="M860" s="115"/>
      <c r="N860" s="115"/>
      <c r="O860" s="115"/>
      <c r="P860" s="115"/>
    </row>
    <row r="861" spans="10:16" ht="12.5" x14ac:dyDescent="0.25">
      <c r="J861" s="115"/>
      <c r="K861" s="115"/>
      <c r="L861" s="115"/>
      <c r="M861" s="115"/>
      <c r="N861" s="115"/>
      <c r="O861" s="115"/>
      <c r="P861" s="115"/>
    </row>
    <row r="862" spans="10:16" ht="12.5" x14ac:dyDescent="0.25">
      <c r="J862" s="115"/>
      <c r="K862" s="115"/>
      <c r="L862" s="115"/>
      <c r="M862" s="115"/>
      <c r="N862" s="115"/>
      <c r="O862" s="115"/>
      <c r="P862" s="115"/>
    </row>
    <row r="863" spans="10:16" ht="12.5" x14ac:dyDescent="0.25">
      <c r="J863" s="115"/>
      <c r="K863" s="115"/>
      <c r="L863" s="115"/>
      <c r="M863" s="115"/>
      <c r="N863" s="115"/>
      <c r="O863" s="115"/>
      <c r="P863" s="115"/>
    </row>
    <row r="864" spans="10:16" ht="12.5" x14ac:dyDescent="0.25">
      <c r="J864" s="115"/>
      <c r="K864" s="115"/>
      <c r="L864" s="115"/>
      <c r="M864" s="115"/>
      <c r="N864" s="115"/>
      <c r="O864" s="115"/>
      <c r="P864" s="115"/>
    </row>
    <row r="865" spans="10:16" ht="12.5" x14ac:dyDescent="0.25">
      <c r="J865" s="115"/>
      <c r="K865" s="115"/>
      <c r="L865" s="115"/>
      <c r="M865" s="115"/>
      <c r="N865" s="115"/>
      <c r="O865" s="115"/>
      <c r="P865" s="115"/>
    </row>
    <row r="866" spans="10:16" ht="12.5" x14ac:dyDescent="0.25">
      <c r="J866" s="115"/>
      <c r="K866" s="115"/>
      <c r="L866" s="115"/>
      <c r="M866" s="115"/>
      <c r="N866" s="115"/>
      <c r="O866" s="115"/>
      <c r="P866" s="115"/>
    </row>
    <row r="867" spans="10:16" ht="12.5" x14ac:dyDescent="0.25">
      <c r="J867" s="115"/>
      <c r="K867" s="115"/>
      <c r="L867" s="115"/>
      <c r="M867" s="115"/>
      <c r="N867" s="115"/>
      <c r="O867" s="115"/>
      <c r="P867" s="115"/>
    </row>
    <row r="868" spans="10:16" ht="12.5" x14ac:dyDescent="0.25">
      <c r="J868" s="115"/>
      <c r="K868" s="115"/>
      <c r="L868" s="115"/>
      <c r="M868" s="115"/>
      <c r="N868" s="115"/>
      <c r="O868" s="115"/>
      <c r="P868" s="115"/>
    </row>
    <row r="869" spans="10:16" ht="12.5" x14ac:dyDescent="0.25">
      <c r="J869" s="115"/>
      <c r="K869" s="115"/>
      <c r="L869" s="115"/>
      <c r="M869" s="115"/>
      <c r="N869" s="115"/>
      <c r="O869" s="115"/>
      <c r="P869" s="115"/>
    </row>
    <row r="870" spans="10:16" ht="12.5" x14ac:dyDescent="0.25">
      <c r="J870" s="115"/>
      <c r="K870" s="115"/>
      <c r="L870" s="115"/>
      <c r="M870" s="115"/>
      <c r="N870" s="115"/>
      <c r="O870" s="115"/>
      <c r="P870" s="115"/>
    </row>
    <row r="871" spans="10:16" ht="12.5" x14ac:dyDescent="0.25">
      <c r="J871" s="115"/>
      <c r="K871" s="115"/>
      <c r="L871" s="115"/>
      <c r="M871" s="115"/>
      <c r="N871" s="115"/>
      <c r="O871" s="115"/>
      <c r="P871" s="115"/>
    </row>
    <row r="872" spans="10:16" ht="12.5" x14ac:dyDescent="0.25">
      <c r="J872" s="115"/>
      <c r="K872" s="115"/>
      <c r="L872" s="115"/>
      <c r="M872" s="115"/>
      <c r="N872" s="115"/>
      <c r="O872" s="115"/>
      <c r="P872" s="115"/>
    </row>
    <row r="873" spans="10:16" ht="12.5" x14ac:dyDescent="0.25">
      <c r="J873" s="115"/>
      <c r="K873" s="115"/>
      <c r="L873" s="115"/>
      <c r="M873" s="115"/>
      <c r="N873" s="115"/>
      <c r="O873" s="115"/>
      <c r="P873" s="115"/>
    </row>
    <row r="874" spans="10:16" ht="12.5" x14ac:dyDescent="0.25">
      <c r="J874" s="115"/>
      <c r="K874" s="115"/>
      <c r="L874" s="115"/>
      <c r="M874" s="115"/>
      <c r="N874" s="115"/>
      <c r="O874" s="115"/>
      <c r="P874" s="115"/>
    </row>
    <row r="875" spans="10:16" ht="12.5" x14ac:dyDescent="0.25">
      <c r="J875" s="115"/>
      <c r="K875" s="115"/>
      <c r="L875" s="115"/>
      <c r="M875" s="115"/>
      <c r="N875" s="115"/>
      <c r="O875" s="115"/>
      <c r="P875" s="115"/>
    </row>
    <row r="876" spans="10:16" ht="12.5" x14ac:dyDescent="0.25">
      <c r="J876" s="115"/>
      <c r="K876" s="115"/>
      <c r="L876" s="115"/>
      <c r="M876" s="115"/>
      <c r="N876" s="115"/>
      <c r="O876" s="115"/>
      <c r="P876" s="115"/>
    </row>
    <row r="877" spans="10:16" ht="12.5" x14ac:dyDescent="0.25">
      <c r="J877" s="115"/>
      <c r="K877" s="115"/>
      <c r="L877" s="115"/>
      <c r="M877" s="115"/>
      <c r="N877" s="115"/>
      <c r="O877" s="115"/>
      <c r="P877" s="115"/>
    </row>
    <row r="878" spans="10:16" ht="12.5" x14ac:dyDescent="0.25">
      <c r="J878" s="115"/>
      <c r="K878" s="115"/>
      <c r="L878" s="115"/>
      <c r="M878" s="115"/>
      <c r="N878" s="115"/>
      <c r="O878" s="115"/>
      <c r="P878" s="115"/>
    </row>
    <row r="879" spans="10:16" ht="12.5" x14ac:dyDescent="0.25">
      <c r="J879" s="115"/>
      <c r="K879" s="115"/>
      <c r="L879" s="115"/>
      <c r="M879" s="115"/>
      <c r="N879" s="115"/>
      <c r="O879" s="115"/>
      <c r="P879" s="115"/>
    </row>
    <row r="880" spans="10:16" ht="12.5" x14ac:dyDescent="0.25">
      <c r="J880" s="115"/>
      <c r="K880" s="115"/>
      <c r="L880" s="115"/>
      <c r="M880" s="115"/>
      <c r="N880" s="115"/>
      <c r="O880" s="115"/>
      <c r="P880" s="115"/>
    </row>
    <row r="881" spans="10:16" ht="12.5" x14ac:dyDescent="0.25">
      <c r="J881" s="115"/>
      <c r="K881" s="115"/>
      <c r="L881" s="115"/>
      <c r="M881" s="115"/>
      <c r="N881" s="115"/>
      <c r="O881" s="115"/>
      <c r="P881" s="115"/>
    </row>
    <row r="882" spans="10:16" ht="12.5" x14ac:dyDescent="0.25">
      <c r="J882" s="115"/>
      <c r="K882" s="115"/>
      <c r="L882" s="115"/>
      <c r="M882" s="115"/>
      <c r="N882" s="115"/>
      <c r="O882" s="115"/>
      <c r="P882" s="115"/>
    </row>
    <row r="883" spans="10:16" ht="12.5" x14ac:dyDescent="0.25">
      <c r="J883" s="115"/>
      <c r="K883" s="115"/>
      <c r="L883" s="115"/>
      <c r="M883" s="115"/>
      <c r="N883" s="115"/>
      <c r="O883" s="115"/>
      <c r="P883" s="115"/>
    </row>
    <row r="884" spans="10:16" ht="12.5" x14ac:dyDescent="0.25">
      <c r="J884" s="115"/>
      <c r="K884" s="115"/>
      <c r="L884" s="115"/>
      <c r="M884" s="115"/>
      <c r="N884" s="115"/>
      <c r="O884" s="115"/>
      <c r="P884" s="115"/>
    </row>
    <row r="885" spans="10:16" ht="12.5" x14ac:dyDescent="0.25">
      <c r="J885" s="115"/>
      <c r="K885" s="115"/>
      <c r="L885" s="115"/>
      <c r="M885" s="115"/>
      <c r="N885" s="115"/>
      <c r="O885" s="115"/>
      <c r="P885" s="115"/>
    </row>
    <row r="886" spans="10:16" ht="12.5" x14ac:dyDescent="0.25">
      <c r="J886" s="115"/>
      <c r="K886" s="115"/>
      <c r="L886" s="115"/>
      <c r="M886" s="115"/>
      <c r="N886" s="115"/>
      <c r="O886" s="115"/>
      <c r="P886" s="115"/>
    </row>
    <row r="887" spans="10:16" ht="12.5" x14ac:dyDescent="0.25">
      <c r="J887" s="115"/>
      <c r="K887" s="115"/>
      <c r="L887" s="115"/>
      <c r="M887" s="115"/>
      <c r="N887" s="115"/>
      <c r="O887" s="115"/>
      <c r="P887" s="115"/>
    </row>
    <row r="888" spans="10:16" ht="12.5" x14ac:dyDescent="0.25">
      <c r="J888" s="115"/>
      <c r="K888" s="115"/>
      <c r="L888" s="115"/>
      <c r="M888" s="115"/>
      <c r="N888" s="115"/>
      <c r="O888" s="115"/>
      <c r="P888" s="115"/>
    </row>
    <row r="889" spans="10:16" ht="12.5" x14ac:dyDescent="0.25">
      <c r="J889" s="115"/>
      <c r="K889" s="115"/>
      <c r="L889" s="115"/>
      <c r="M889" s="115"/>
      <c r="N889" s="115"/>
      <c r="O889" s="115"/>
      <c r="P889" s="115"/>
    </row>
    <row r="890" spans="10:16" ht="12.5" x14ac:dyDescent="0.25">
      <c r="J890" s="115"/>
      <c r="K890" s="115"/>
      <c r="L890" s="115"/>
      <c r="M890" s="115"/>
      <c r="N890" s="115"/>
      <c r="O890" s="115"/>
      <c r="P890" s="115"/>
    </row>
    <row r="891" spans="10:16" ht="12.5" x14ac:dyDescent="0.25">
      <c r="J891" s="115"/>
      <c r="K891" s="115"/>
      <c r="L891" s="115"/>
      <c r="M891" s="115"/>
      <c r="N891" s="115"/>
      <c r="O891" s="115"/>
      <c r="P891" s="115"/>
    </row>
    <row r="892" spans="10:16" ht="12.5" x14ac:dyDescent="0.25">
      <c r="J892" s="115"/>
      <c r="K892" s="115"/>
      <c r="L892" s="115"/>
      <c r="M892" s="115"/>
      <c r="N892" s="115"/>
      <c r="O892" s="115"/>
      <c r="P892" s="115"/>
    </row>
    <row r="893" spans="10:16" ht="12.5" x14ac:dyDescent="0.25">
      <c r="J893" s="115"/>
      <c r="K893" s="115"/>
      <c r="L893" s="115"/>
      <c r="M893" s="115"/>
      <c r="N893" s="115"/>
      <c r="O893" s="115"/>
      <c r="P893" s="115"/>
    </row>
    <row r="894" spans="10:16" ht="12.5" x14ac:dyDescent="0.25">
      <c r="J894" s="115"/>
      <c r="K894" s="115"/>
      <c r="L894" s="115"/>
      <c r="M894" s="115"/>
      <c r="N894" s="115"/>
      <c r="O894" s="115"/>
      <c r="P894" s="115"/>
    </row>
    <row r="895" spans="10:16" ht="12.5" x14ac:dyDescent="0.25">
      <c r="J895" s="115"/>
      <c r="K895" s="115"/>
      <c r="L895" s="115"/>
      <c r="M895" s="115"/>
      <c r="N895" s="115"/>
      <c r="O895" s="115"/>
      <c r="P895" s="115"/>
    </row>
    <row r="896" spans="10:16" ht="12.5" x14ac:dyDescent="0.25">
      <c r="J896" s="115"/>
      <c r="K896" s="115"/>
      <c r="L896" s="115"/>
      <c r="M896" s="115"/>
      <c r="N896" s="115"/>
      <c r="O896" s="115"/>
      <c r="P896" s="115"/>
    </row>
    <row r="897" spans="10:16" ht="12.5" x14ac:dyDescent="0.25">
      <c r="J897" s="115"/>
      <c r="K897" s="115"/>
      <c r="L897" s="115"/>
      <c r="M897" s="115"/>
      <c r="N897" s="115"/>
      <c r="O897" s="115"/>
      <c r="P897" s="115"/>
    </row>
    <row r="898" spans="10:16" ht="12.5" x14ac:dyDescent="0.25">
      <c r="J898" s="115"/>
      <c r="K898" s="115"/>
      <c r="L898" s="115"/>
      <c r="M898" s="115"/>
      <c r="N898" s="115"/>
      <c r="O898" s="115"/>
      <c r="P898" s="115"/>
    </row>
    <row r="899" spans="10:16" ht="12.5" x14ac:dyDescent="0.25">
      <c r="J899" s="115"/>
      <c r="K899" s="115"/>
      <c r="L899" s="115"/>
      <c r="M899" s="115"/>
      <c r="N899" s="115"/>
      <c r="O899" s="115"/>
      <c r="P899" s="115"/>
    </row>
    <row r="900" spans="10:16" ht="12.5" x14ac:dyDescent="0.25">
      <c r="J900" s="115"/>
      <c r="K900" s="115"/>
      <c r="L900" s="115"/>
      <c r="M900" s="115"/>
      <c r="N900" s="115"/>
      <c r="O900" s="115"/>
      <c r="P900" s="115"/>
    </row>
    <row r="901" spans="10:16" ht="12.5" x14ac:dyDescent="0.25">
      <c r="J901" s="115"/>
      <c r="K901" s="115"/>
      <c r="L901" s="115"/>
      <c r="M901" s="115"/>
      <c r="N901" s="115"/>
      <c r="O901" s="115"/>
      <c r="P901" s="115"/>
    </row>
    <row r="902" spans="10:16" ht="12.5" x14ac:dyDescent="0.25">
      <c r="J902" s="115"/>
      <c r="K902" s="115"/>
      <c r="L902" s="115"/>
      <c r="M902" s="115"/>
      <c r="N902" s="115"/>
      <c r="O902" s="115"/>
      <c r="P902" s="115"/>
    </row>
    <row r="903" spans="10:16" ht="12.5" x14ac:dyDescent="0.25">
      <c r="J903" s="115"/>
      <c r="K903" s="115"/>
      <c r="L903" s="115"/>
      <c r="M903" s="115"/>
      <c r="N903" s="115"/>
      <c r="O903" s="115"/>
      <c r="P903" s="115"/>
    </row>
    <row r="904" spans="10:16" ht="12.5" x14ac:dyDescent="0.25">
      <c r="J904" s="115"/>
      <c r="K904" s="115"/>
      <c r="L904" s="115"/>
      <c r="M904" s="115"/>
      <c r="N904" s="115"/>
      <c r="O904" s="115"/>
      <c r="P904" s="115"/>
    </row>
    <row r="905" spans="10:16" ht="12.5" x14ac:dyDescent="0.25">
      <c r="J905" s="115"/>
      <c r="K905" s="115"/>
      <c r="L905" s="115"/>
      <c r="M905" s="115"/>
      <c r="N905" s="115"/>
      <c r="O905" s="115"/>
      <c r="P905" s="115"/>
    </row>
    <row r="906" spans="10:16" ht="12.5" x14ac:dyDescent="0.25">
      <c r="J906" s="115"/>
      <c r="K906" s="115"/>
      <c r="L906" s="115"/>
      <c r="M906" s="115"/>
      <c r="N906" s="115"/>
      <c r="O906" s="115"/>
      <c r="P906" s="115"/>
    </row>
    <row r="907" spans="10:16" ht="12.5" x14ac:dyDescent="0.25">
      <c r="J907" s="115"/>
      <c r="K907" s="115"/>
      <c r="L907" s="115"/>
      <c r="M907" s="115"/>
      <c r="N907" s="115"/>
      <c r="O907" s="115"/>
      <c r="P907" s="115"/>
    </row>
    <row r="908" spans="10:16" ht="12.5" x14ac:dyDescent="0.25">
      <c r="J908" s="115"/>
      <c r="K908" s="115"/>
      <c r="L908" s="115"/>
      <c r="M908" s="115"/>
      <c r="N908" s="115"/>
      <c r="O908" s="115"/>
      <c r="P908" s="115"/>
    </row>
    <row r="909" spans="10:16" ht="12.5" x14ac:dyDescent="0.25">
      <c r="J909" s="115"/>
      <c r="K909" s="115"/>
      <c r="L909" s="115"/>
      <c r="M909" s="115"/>
      <c r="N909" s="115"/>
      <c r="O909" s="115"/>
      <c r="P909" s="115"/>
    </row>
    <row r="910" spans="10:16" ht="12.5" x14ac:dyDescent="0.25">
      <c r="J910" s="115"/>
      <c r="K910" s="115"/>
      <c r="L910" s="115"/>
      <c r="M910" s="115"/>
      <c r="N910" s="115"/>
      <c r="O910" s="115"/>
      <c r="P910" s="115"/>
    </row>
    <row r="911" spans="10:16" ht="12.5" x14ac:dyDescent="0.25">
      <c r="J911" s="115"/>
      <c r="K911" s="115"/>
      <c r="L911" s="115"/>
      <c r="M911" s="115"/>
      <c r="N911" s="115"/>
      <c r="O911" s="115"/>
      <c r="P911" s="115"/>
    </row>
    <row r="912" spans="10:16" ht="12.5" x14ac:dyDescent="0.25">
      <c r="J912" s="115"/>
      <c r="K912" s="115"/>
      <c r="L912" s="115"/>
      <c r="M912" s="115"/>
      <c r="N912" s="115"/>
      <c r="O912" s="115"/>
      <c r="P912" s="115"/>
    </row>
    <row r="913" spans="10:16" ht="12.5" x14ac:dyDescent="0.25">
      <c r="J913" s="115"/>
      <c r="K913" s="115"/>
      <c r="L913" s="115"/>
      <c r="M913" s="115"/>
      <c r="N913" s="115"/>
      <c r="O913" s="115"/>
      <c r="P913" s="115"/>
    </row>
    <row r="914" spans="10:16" ht="12.5" x14ac:dyDescent="0.25">
      <c r="J914" s="115"/>
      <c r="K914" s="115"/>
      <c r="L914" s="115"/>
      <c r="M914" s="115"/>
      <c r="N914" s="115"/>
      <c r="O914" s="115"/>
      <c r="P914" s="115"/>
    </row>
    <row r="915" spans="10:16" ht="12.5" x14ac:dyDescent="0.25">
      <c r="J915" s="115"/>
      <c r="K915" s="115"/>
      <c r="L915" s="115"/>
      <c r="M915" s="115"/>
      <c r="N915" s="115"/>
      <c r="O915" s="115"/>
      <c r="P915" s="115"/>
    </row>
    <row r="916" spans="10:16" ht="12.5" x14ac:dyDescent="0.25">
      <c r="J916" s="115"/>
      <c r="K916" s="115"/>
      <c r="L916" s="115"/>
      <c r="M916" s="115"/>
      <c r="N916" s="115"/>
      <c r="O916" s="115"/>
      <c r="P916" s="115"/>
    </row>
    <row r="917" spans="10:16" ht="12.5" x14ac:dyDescent="0.25">
      <c r="J917" s="115"/>
      <c r="K917" s="115"/>
      <c r="L917" s="115"/>
      <c r="M917" s="115"/>
      <c r="N917" s="115"/>
      <c r="O917" s="115"/>
      <c r="P917" s="115"/>
    </row>
    <row r="918" spans="10:16" ht="12.5" x14ac:dyDescent="0.25">
      <c r="J918" s="115"/>
      <c r="K918" s="115"/>
      <c r="L918" s="115"/>
      <c r="M918" s="115"/>
      <c r="N918" s="115"/>
      <c r="O918" s="115"/>
      <c r="P918" s="115"/>
    </row>
    <row r="919" spans="10:16" ht="12.5" x14ac:dyDescent="0.25">
      <c r="J919" s="115"/>
      <c r="K919" s="115"/>
      <c r="L919" s="115"/>
      <c r="M919" s="115"/>
      <c r="N919" s="115"/>
      <c r="O919" s="115"/>
      <c r="P919" s="115"/>
    </row>
    <row r="920" spans="10:16" ht="12.5" x14ac:dyDescent="0.25">
      <c r="J920" s="115"/>
      <c r="K920" s="115"/>
      <c r="L920" s="115"/>
      <c r="M920" s="115"/>
      <c r="N920" s="115"/>
      <c r="O920" s="115"/>
      <c r="P920" s="115"/>
    </row>
    <row r="921" spans="10:16" ht="12.5" x14ac:dyDescent="0.25">
      <c r="J921" s="115"/>
      <c r="K921" s="115"/>
      <c r="L921" s="115"/>
      <c r="M921" s="115"/>
      <c r="N921" s="115"/>
      <c r="O921" s="115"/>
      <c r="P921" s="115"/>
    </row>
    <row r="922" spans="10:16" ht="12.5" x14ac:dyDescent="0.25">
      <c r="J922" s="115"/>
      <c r="K922" s="115"/>
      <c r="L922" s="115"/>
      <c r="M922" s="115"/>
      <c r="N922" s="115"/>
      <c r="O922" s="115"/>
      <c r="P922" s="115"/>
    </row>
    <row r="923" spans="10:16" ht="12.5" x14ac:dyDescent="0.25">
      <c r="J923" s="115"/>
      <c r="K923" s="115"/>
      <c r="L923" s="115"/>
      <c r="M923" s="115"/>
      <c r="N923" s="115"/>
      <c r="O923" s="115"/>
      <c r="P923" s="115"/>
    </row>
    <row r="924" spans="10:16" ht="12.5" x14ac:dyDescent="0.25">
      <c r="J924" s="115"/>
      <c r="K924" s="115"/>
      <c r="L924" s="115"/>
      <c r="M924" s="115"/>
      <c r="N924" s="115"/>
      <c r="O924" s="115"/>
      <c r="P924" s="115"/>
    </row>
    <row r="925" spans="10:16" ht="12.5" x14ac:dyDescent="0.25">
      <c r="J925" s="115"/>
      <c r="K925" s="115"/>
      <c r="L925" s="115"/>
      <c r="M925" s="115"/>
      <c r="N925" s="115"/>
      <c r="O925" s="115"/>
      <c r="P925" s="115"/>
    </row>
    <row r="926" spans="10:16" ht="12.5" x14ac:dyDescent="0.25">
      <c r="J926" s="115"/>
      <c r="K926" s="115"/>
      <c r="L926" s="115"/>
      <c r="M926" s="115"/>
      <c r="N926" s="115"/>
      <c r="O926" s="115"/>
      <c r="P926" s="115"/>
    </row>
    <row r="927" spans="10:16" ht="12.5" x14ac:dyDescent="0.25">
      <c r="J927" s="115"/>
      <c r="K927" s="115"/>
      <c r="L927" s="115"/>
      <c r="M927" s="115"/>
      <c r="N927" s="115"/>
      <c r="O927" s="115"/>
      <c r="P927" s="115"/>
    </row>
    <row r="928" spans="10:16" ht="12.5" x14ac:dyDescent="0.25">
      <c r="J928" s="115"/>
      <c r="K928" s="115"/>
      <c r="L928" s="115"/>
      <c r="M928" s="115"/>
      <c r="N928" s="115"/>
      <c r="O928" s="115"/>
      <c r="P928" s="115"/>
    </row>
    <row r="929" spans="10:16" ht="12.5" x14ac:dyDescent="0.25">
      <c r="J929" s="115"/>
      <c r="K929" s="115"/>
      <c r="L929" s="115"/>
      <c r="M929" s="115"/>
      <c r="N929" s="115"/>
      <c r="O929" s="115"/>
      <c r="P929" s="115"/>
    </row>
    <row r="930" spans="10:16" ht="12.5" x14ac:dyDescent="0.25">
      <c r="J930" s="115"/>
      <c r="K930" s="115"/>
      <c r="L930" s="115"/>
      <c r="M930" s="115"/>
      <c r="N930" s="115"/>
      <c r="O930" s="115"/>
      <c r="P930" s="115"/>
    </row>
    <row r="931" spans="10:16" ht="12.5" x14ac:dyDescent="0.25">
      <c r="J931" s="115"/>
      <c r="K931" s="115"/>
      <c r="L931" s="115"/>
      <c r="M931" s="115"/>
      <c r="N931" s="115"/>
      <c r="O931" s="115"/>
      <c r="P931" s="115"/>
    </row>
    <row r="932" spans="10:16" ht="12.5" x14ac:dyDescent="0.25">
      <c r="J932" s="115"/>
      <c r="K932" s="115"/>
      <c r="L932" s="115"/>
      <c r="M932" s="115"/>
      <c r="N932" s="115"/>
      <c r="O932" s="115"/>
      <c r="P932" s="115"/>
    </row>
    <row r="933" spans="10:16" ht="12.5" x14ac:dyDescent="0.25">
      <c r="J933" s="115"/>
      <c r="K933" s="115"/>
      <c r="L933" s="115"/>
      <c r="M933" s="115"/>
      <c r="N933" s="115"/>
      <c r="O933" s="115"/>
      <c r="P933" s="115"/>
    </row>
    <row r="934" spans="10:16" ht="12.5" x14ac:dyDescent="0.25">
      <c r="J934" s="115"/>
      <c r="K934" s="115"/>
      <c r="L934" s="115"/>
      <c r="M934" s="115"/>
      <c r="N934" s="115"/>
      <c r="O934" s="115"/>
      <c r="P934" s="115"/>
    </row>
    <row r="935" spans="10:16" ht="12.5" x14ac:dyDescent="0.25">
      <c r="J935" s="115"/>
      <c r="K935" s="115"/>
      <c r="L935" s="115"/>
      <c r="M935" s="115"/>
      <c r="N935" s="115"/>
      <c r="O935" s="115"/>
      <c r="P935" s="115"/>
    </row>
    <row r="936" spans="10:16" ht="12.5" x14ac:dyDescent="0.25">
      <c r="J936" s="115"/>
      <c r="K936" s="115"/>
      <c r="L936" s="115"/>
      <c r="M936" s="115"/>
      <c r="N936" s="115"/>
      <c r="O936" s="115"/>
      <c r="P936" s="115"/>
    </row>
    <row r="937" spans="10:16" ht="12.5" x14ac:dyDescent="0.25">
      <c r="J937" s="115"/>
      <c r="K937" s="115"/>
      <c r="L937" s="115"/>
      <c r="M937" s="115"/>
      <c r="N937" s="115"/>
      <c r="O937" s="115"/>
      <c r="P937" s="115"/>
    </row>
    <row r="938" spans="10:16" ht="12.5" x14ac:dyDescent="0.25">
      <c r="J938" s="115"/>
      <c r="K938" s="115"/>
      <c r="L938" s="115"/>
      <c r="M938" s="115"/>
      <c r="N938" s="115"/>
      <c r="O938" s="115"/>
      <c r="P938" s="115"/>
    </row>
    <row r="939" spans="10:16" ht="12.5" x14ac:dyDescent="0.25">
      <c r="J939" s="115"/>
      <c r="K939" s="115"/>
      <c r="L939" s="115"/>
      <c r="M939" s="115"/>
      <c r="N939" s="115"/>
      <c r="O939" s="115"/>
      <c r="P939" s="115"/>
    </row>
    <row r="940" spans="10:16" ht="12.5" x14ac:dyDescent="0.25">
      <c r="J940" s="115"/>
      <c r="K940" s="115"/>
      <c r="L940" s="115"/>
      <c r="M940" s="115"/>
      <c r="N940" s="115"/>
      <c r="O940" s="115"/>
      <c r="P940" s="115"/>
    </row>
    <row r="941" spans="10:16" ht="12.5" x14ac:dyDescent="0.25">
      <c r="J941" s="115"/>
      <c r="K941" s="115"/>
      <c r="L941" s="115"/>
      <c r="M941" s="115"/>
      <c r="N941" s="115"/>
      <c r="O941" s="115"/>
      <c r="P941" s="115"/>
    </row>
    <row r="942" spans="10:16" ht="12.5" x14ac:dyDescent="0.25">
      <c r="J942" s="115"/>
      <c r="K942" s="115"/>
      <c r="L942" s="115"/>
      <c r="M942" s="115"/>
      <c r="N942" s="115"/>
      <c r="O942" s="115"/>
      <c r="P942" s="115"/>
    </row>
    <row r="943" spans="10:16" ht="12.5" x14ac:dyDescent="0.25">
      <c r="J943" s="115"/>
      <c r="K943" s="115"/>
      <c r="L943" s="115"/>
      <c r="M943" s="115"/>
      <c r="N943" s="115"/>
      <c r="O943" s="115"/>
      <c r="P943" s="115"/>
    </row>
    <row r="944" spans="10:16" ht="12.5" x14ac:dyDescent="0.25">
      <c r="J944" s="115"/>
      <c r="K944" s="115"/>
      <c r="L944" s="115"/>
      <c r="M944" s="115"/>
      <c r="N944" s="115"/>
      <c r="O944" s="115"/>
      <c r="P944" s="115"/>
    </row>
    <row r="945" spans="10:16" ht="12.5" x14ac:dyDescent="0.25">
      <c r="J945" s="115"/>
      <c r="K945" s="115"/>
      <c r="L945" s="115"/>
      <c r="M945" s="115"/>
      <c r="N945" s="115"/>
      <c r="O945" s="115"/>
      <c r="P945" s="115"/>
    </row>
    <row r="946" spans="10:16" ht="12.5" x14ac:dyDescent="0.25">
      <c r="J946" s="115"/>
      <c r="K946" s="115"/>
      <c r="L946" s="115"/>
      <c r="M946" s="115"/>
      <c r="N946" s="115"/>
      <c r="O946" s="115"/>
      <c r="P946" s="115"/>
    </row>
    <row r="947" spans="10:16" ht="12.5" x14ac:dyDescent="0.25">
      <c r="J947" s="115"/>
      <c r="K947" s="115"/>
      <c r="L947" s="115"/>
      <c r="M947" s="115"/>
      <c r="N947" s="115"/>
      <c r="O947" s="115"/>
      <c r="P947" s="115"/>
    </row>
    <row r="948" spans="10:16" ht="12.5" x14ac:dyDescent="0.25">
      <c r="J948" s="115"/>
      <c r="K948" s="115"/>
      <c r="L948" s="115"/>
      <c r="M948" s="115"/>
      <c r="N948" s="115"/>
      <c r="O948" s="115"/>
      <c r="P948" s="115"/>
    </row>
    <row r="949" spans="10:16" ht="12.5" x14ac:dyDescent="0.25">
      <c r="J949" s="115"/>
      <c r="K949" s="115"/>
      <c r="L949" s="115"/>
      <c r="M949" s="115"/>
      <c r="N949" s="115"/>
      <c r="O949" s="115"/>
      <c r="P949" s="115"/>
    </row>
    <row r="950" spans="10:16" ht="12.5" x14ac:dyDescent="0.25">
      <c r="J950" s="115"/>
      <c r="K950" s="115"/>
      <c r="L950" s="115"/>
      <c r="M950" s="115"/>
      <c r="N950" s="115"/>
      <c r="O950" s="115"/>
      <c r="P950" s="115"/>
    </row>
    <row r="951" spans="10:16" ht="12.5" x14ac:dyDescent="0.25">
      <c r="J951" s="115"/>
      <c r="K951" s="115"/>
      <c r="L951" s="115"/>
      <c r="M951" s="115"/>
      <c r="N951" s="115"/>
      <c r="O951" s="115"/>
      <c r="P951" s="115"/>
    </row>
    <row r="952" spans="10:16" ht="12.5" x14ac:dyDescent="0.25">
      <c r="J952" s="115"/>
      <c r="K952" s="115"/>
      <c r="L952" s="115"/>
      <c r="M952" s="115"/>
      <c r="N952" s="115"/>
      <c r="O952" s="115"/>
      <c r="P952" s="115"/>
    </row>
    <row r="953" spans="10:16" ht="12.5" x14ac:dyDescent="0.25">
      <c r="J953" s="115"/>
      <c r="K953" s="115"/>
      <c r="L953" s="115"/>
      <c r="M953" s="115"/>
      <c r="N953" s="115"/>
      <c r="O953" s="115"/>
      <c r="P953" s="115"/>
    </row>
    <row r="954" spans="10:16" ht="12.5" x14ac:dyDescent="0.25">
      <c r="J954" s="115"/>
      <c r="K954" s="115"/>
      <c r="L954" s="115"/>
      <c r="M954" s="115"/>
      <c r="N954" s="115"/>
      <c r="O954" s="115"/>
      <c r="P954" s="115"/>
    </row>
    <row r="955" spans="10:16" ht="12.5" x14ac:dyDescent="0.25">
      <c r="J955" s="115"/>
      <c r="K955" s="115"/>
      <c r="L955" s="115"/>
      <c r="M955" s="115"/>
      <c r="N955" s="115"/>
      <c r="O955" s="115"/>
      <c r="P955" s="115"/>
    </row>
    <row r="956" spans="10:16" ht="12.5" x14ac:dyDescent="0.25">
      <c r="J956" s="115"/>
      <c r="K956" s="115"/>
      <c r="L956" s="115"/>
      <c r="M956" s="115"/>
      <c r="N956" s="115"/>
      <c r="O956" s="115"/>
      <c r="P956" s="115"/>
    </row>
    <row r="957" spans="10:16" ht="12.5" x14ac:dyDescent="0.25">
      <c r="J957" s="115"/>
      <c r="K957" s="115"/>
      <c r="L957" s="115"/>
      <c r="M957" s="115"/>
      <c r="N957" s="115"/>
      <c r="O957" s="115"/>
      <c r="P957" s="115"/>
    </row>
    <row r="958" spans="10:16" ht="12.5" x14ac:dyDescent="0.25">
      <c r="J958" s="115"/>
      <c r="K958" s="115"/>
      <c r="L958" s="115"/>
      <c r="M958" s="115"/>
      <c r="N958" s="115"/>
      <c r="O958" s="115"/>
      <c r="P958" s="115"/>
    </row>
    <row r="959" spans="10:16" ht="12.5" x14ac:dyDescent="0.25">
      <c r="J959" s="115"/>
      <c r="K959" s="115"/>
      <c r="L959" s="115"/>
      <c r="M959" s="115"/>
      <c r="N959" s="115"/>
      <c r="O959" s="115"/>
      <c r="P959" s="115"/>
    </row>
    <row r="960" spans="10:16" ht="12.5" x14ac:dyDescent="0.25">
      <c r="J960" s="115"/>
      <c r="K960" s="115"/>
      <c r="L960" s="115"/>
      <c r="M960" s="115"/>
      <c r="N960" s="115"/>
      <c r="O960" s="115"/>
      <c r="P960" s="115"/>
    </row>
    <row r="961" spans="10:16" ht="12.5" x14ac:dyDescent="0.25">
      <c r="J961" s="115"/>
      <c r="K961" s="115"/>
      <c r="L961" s="115"/>
      <c r="M961" s="115"/>
      <c r="N961" s="115"/>
      <c r="O961" s="115"/>
      <c r="P961" s="115"/>
    </row>
    <row r="962" spans="10:16" ht="12.5" x14ac:dyDescent="0.25">
      <c r="J962" s="115"/>
      <c r="K962" s="115"/>
      <c r="L962" s="115"/>
      <c r="M962" s="115"/>
      <c r="N962" s="115"/>
      <c r="O962" s="115"/>
      <c r="P962" s="115"/>
    </row>
    <row r="963" spans="10:16" ht="12.5" x14ac:dyDescent="0.25">
      <c r="J963" s="115"/>
      <c r="K963" s="115"/>
      <c r="L963" s="115"/>
      <c r="M963" s="115"/>
      <c r="N963" s="115"/>
      <c r="O963" s="115"/>
      <c r="P963" s="115"/>
    </row>
    <row r="964" spans="10:16" ht="12.5" x14ac:dyDescent="0.25">
      <c r="J964" s="115"/>
      <c r="K964" s="115"/>
      <c r="L964" s="115"/>
      <c r="M964" s="115"/>
      <c r="N964" s="115"/>
      <c r="O964" s="115"/>
      <c r="P964" s="115"/>
    </row>
    <row r="965" spans="10:16" ht="12.5" x14ac:dyDescent="0.25">
      <c r="J965" s="115"/>
      <c r="K965" s="115"/>
      <c r="L965" s="115"/>
      <c r="M965" s="115"/>
      <c r="N965" s="115"/>
      <c r="O965" s="115"/>
      <c r="P965" s="115"/>
    </row>
    <row r="966" spans="10:16" ht="12.5" x14ac:dyDescent="0.25">
      <c r="J966" s="115"/>
      <c r="K966" s="115"/>
      <c r="L966" s="115"/>
      <c r="M966" s="115"/>
      <c r="N966" s="115"/>
      <c r="O966" s="115"/>
      <c r="P966" s="115"/>
    </row>
    <row r="967" spans="10:16" ht="12.5" x14ac:dyDescent="0.25">
      <c r="J967" s="115"/>
      <c r="K967" s="115"/>
      <c r="L967" s="115"/>
      <c r="M967" s="115"/>
      <c r="N967" s="115"/>
      <c r="O967" s="115"/>
      <c r="P967" s="115"/>
    </row>
    <row r="968" spans="10:16" ht="12.5" x14ac:dyDescent="0.25">
      <c r="J968" s="115"/>
      <c r="K968" s="115"/>
      <c r="L968" s="115"/>
      <c r="M968" s="115"/>
      <c r="N968" s="115"/>
      <c r="O968" s="115"/>
      <c r="P968" s="115"/>
    </row>
    <row r="969" spans="10:16" ht="12.5" x14ac:dyDescent="0.25">
      <c r="J969" s="115"/>
      <c r="K969" s="115"/>
      <c r="L969" s="115"/>
      <c r="M969" s="115"/>
      <c r="N969" s="115"/>
      <c r="O969" s="115"/>
      <c r="P969" s="115"/>
    </row>
    <row r="970" spans="10:16" ht="12.5" x14ac:dyDescent="0.25">
      <c r="J970" s="115"/>
      <c r="K970" s="115"/>
      <c r="L970" s="115"/>
      <c r="M970" s="115"/>
      <c r="N970" s="115"/>
      <c r="O970" s="115"/>
      <c r="P970" s="115"/>
    </row>
    <row r="971" spans="10:16" ht="12.5" x14ac:dyDescent="0.25">
      <c r="J971" s="115"/>
      <c r="K971" s="115"/>
      <c r="L971" s="115"/>
      <c r="M971" s="115"/>
      <c r="N971" s="115"/>
      <c r="O971" s="115"/>
      <c r="P971" s="115"/>
    </row>
    <row r="972" spans="10:16" ht="12.5" x14ac:dyDescent="0.25">
      <c r="J972" s="115"/>
      <c r="K972" s="115"/>
      <c r="L972" s="115"/>
      <c r="M972" s="115"/>
      <c r="N972" s="115"/>
      <c r="O972" s="115"/>
      <c r="P972" s="115"/>
    </row>
    <row r="973" spans="10:16" ht="12.5" x14ac:dyDescent="0.25">
      <c r="J973" s="115"/>
      <c r="K973" s="115"/>
      <c r="L973" s="115"/>
      <c r="M973" s="115"/>
      <c r="N973" s="115"/>
      <c r="O973" s="115"/>
      <c r="P973" s="115"/>
    </row>
    <row r="974" spans="10:16" ht="12.5" x14ac:dyDescent="0.25">
      <c r="J974" s="115"/>
      <c r="K974" s="115"/>
      <c r="L974" s="115"/>
      <c r="M974" s="115"/>
      <c r="N974" s="115"/>
      <c r="O974" s="115"/>
      <c r="P974" s="115"/>
    </row>
    <row r="975" spans="10:16" ht="12.5" x14ac:dyDescent="0.25">
      <c r="J975" s="115"/>
      <c r="K975" s="115"/>
      <c r="L975" s="115"/>
      <c r="M975" s="115"/>
      <c r="N975" s="115"/>
      <c r="O975" s="115"/>
      <c r="P975" s="115"/>
    </row>
    <row r="976" spans="10:16" ht="12.5" x14ac:dyDescent="0.25">
      <c r="J976" s="115"/>
      <c r="K976" s="115"/>
      <c r="L976" s="115"/>
      <c r="M976" s="115"/>
      <c r="N976" s="115"/>
      <c r="O976" s="115"/>
      <c r="P976" s="115"/>
    </row>
    <row r="977" spans="10:16" ht="12.5" x14ac:dyDescent="0.25">
      <c r="J977" s="115"/>
      <c r="K977" s="115"/>
      <c r="L977" s="115"/>
      <c r="M977" s="115"/>
      <c r="N977" s="115"/>
      <c r="O977" s="115"/>
      <c r="P977" s="115"/>
    </row>
    <row r="978" spans="10:16" ht="12.5" x14ac:dyDescent="0.25">
      <c r="J978" s="115"/>
      <c r="K978" s="115"/>
      <c r="L978" s="115"/>
      <c r="M978" s="115"/>
      <c r="N978" s="115"/>
      <c r="O978" s="115"/>
      <c r="P978" s="115"/>
    </row>
    <row r="979" spans="10:16" ht="12.5" x14ac:dyDescent="0.25">
      <c r="J979" s="115"/>
      <c r="K979" s="115"/>
      <c r="L979" s="115"/>
      <c r="M979" s="115"/>
      <c r="N979" s="115"/>
      <c r="O979" s="115"/>
      <c r="P979" s="115"/>
    </row>
    <row r="980" spans="10:16" ht="12.5" x14ac:dyDescent="0.25">
      <c r="J980" s="115"/>
      <c r="K980" s="115"/>
      <c r="L980" s="115"/>
      <c r="M980" s="115"/>
      <c r="N980" s="115"/>
      <c r="O980" s="115"/>
      <c r="P980" s="115"/>
    </row>
    <row r="981" spans="10:16" ht="12.5" x14ac:dyDescent="0.25">
      <c r="J981" s="115"/>
      <c r="K981" s="115"/>
      <c r="L981" s="115"/>
      <c r="M981" s="115"/>
      <c r="N981" s="115"/>
      <c r="O981" s="115"/>
      <c r="P981" s="115"/>
    </row>
    <row r="982" spans="10:16" ht="12.5" x14ac:dyDescent="0.25">
      <c r="J982" s="115"/>
      <c r="K982" s="115"/>
      <c r="L982" s="115"/>
      <c r="M982" s="115"/>
      <c r="N982" s="115"/>
      <c r="O982" s="115"/>
      <c r="P982" s="115"/>
    </row>
    <row r="983" spans="10:16" ht="12.5" x14ac:dyDescent="0.25">
      <c r="J983" s="115"/>
      <c r="K983" s="115"/>
      <c r="L983" s="115"/>
      <c r="M983" s="115"/>
      <c r="N983" s="115"/>
      <c r="O983" s="115"/>
      <c r="P983" s="115"/>
    </row>
    <row r="984" spans="10:16" ht="12.5" x14ac:dyDescent="0.25">
      <c r="J984" s="115"/>
      <c r="K984" s="115"/>
      <c r="L984" s="115"/>
      <c r="M984" s="115"/>
      <c r="N984" s="115"/>
      <c r="O984" s="115"/>
      <c r="P984" s="115"/>
    </row>
    <row r="985" spans="10:16" ht="12.5" x14ac:dyDescent="0.25">
      <c r="J985" s="115"/>
      <c r="K985" s="115"/>
      <c r="L985" s="115"/>
      <c r="M985" s="115"/>
      <c r="N985" s="115"/>
      <c r="O985" s="115"/>
      <c r="P985" s="115"/>
    </row>
    <row r="986" spans="10:16" ht="12.5" x14ac:dyDescent="0.25">
      <c r="J986" s="115"/>
      <c r="K986" s="115"/>
      <c r="L986" s="115"/>
      <c r="M986" s="115"/>
      <c r="N986" s="115"/>
      <c r="O986" s="115"/>
      <c r="P986" s="115"/>
    </row>
    <row r="987" spans="10:16" ht="12.5" x14ac:dyDescent="0.25">
      <c r="J987" s="115"/>
      <c r="K987" s="115"/>
      <c r="L987" s="115"/>
      <c r="M987" s="115"/>
      <c r="N987" s="115"/>
      <c r="O987" s="115"/>
      <c r="P987" s="115"/>
    </row>
    <row r="988" spans="10:16" ht="12.5" x14ac:dyDescent="0.25">
      <c r="J988" s="115"/>
      <c r="K988" s="115"/>
      <c r="L988" s="115"/>
      <c r="M988" s="115"/>
      <c r="N988" s="115"/>
      <c r="O988" s="115"/>
      <c r="P988" s="115"/>
    </row>
    <row r="989" spans="10:16" ht="12.5" x14ac:dyDescent="0.25">
      <c r="J989" s="115"/>
      <c r="K989" s="115"/>
      <c r="L989" s="115"/>
      <c r="M989" s="115"/>
      <c r="N989" s="115"/>
      <c r="O989" s="115"/>
      <c r="P989" s="115"/>
    </row>
    <row r="990" spans="10:16" ht="12.5" x14ac:dyDescent="0.25">
      <c r="J990" s="115"/>
      <c r="K990" s="115"/>
      <c r="L990" s="115"/>
      <c r="M990" s="115"/>
      <c r="N990" s="115"/>
      <c r="O990" s="115"/>
      <c r="P990" s="115"/>
    </row>
    <row r="991" spans="10:16" ht="12.5" x14ac:dyDescent="0.25">
      <c r="J991" s="115"/>
      <c r="K991" s="115"/>
      <c r="L991" s="115"/>
      <c r="M991" s="115"/>
      <c r="N991" s="115"/>
      <c r="O991" s="115"/>
      <c r="P991" s="115"/>
    </row>
    <row r="992" spans="10:16" ht="12.5" x14ac:dyDescent="0.25">
      <c r="J992" s="115"/>
      <c r="K992" s="115"/>
      <c r="L992" s="115"/>
      <c r="M992" s="115"/>
      <c r="N992" s="115"/>
      <c r="O992" s="115"/>
      <c r="P992" s="115"/>
    </row>
    <row r="993" spans="10:16" ht="12.5" x14ac:dyDescent="0.25">
      <c r="J993" s="115"/>
      <c r="K993" s="115"/>
      <c r="L993" s="115"/>
      <c r="M993" s="115"/>
      <c r="N993" s="115"/>
      <c r="O993" s="115"/>
      <c r="P993" s="115"/>
    </row>
    <row r="994" spans="10:16" ht="12.5" x14ac:dyDescent="0.25">
      <c r="J994" s="115"/>
      <c r="K994" s="115"/>
      <c r="L994" s="115"/>
      <c r="M994" s="115"/>
      <c r="N994" s="115"/>
      <c r="O994" s="115"/>
      <c r="P994" s="115"/>
    </row>
    <row r="995" spans="10:16" ht="12.5" x14ac:dyDescent="0.25">
      <c r="J995" s="115"/>
      <c r="K995" s="115"/>
      <c r="L995" s="115"/>
      <c r="M995" s="115"/>
      <c r="N995" s="115"/>
      <c r="O995" s="115"/>
      <c r="P995" s="115"/>
    </row>
    <row r="996" spans="10:16" ht="12.5" x14ac:dyDescent="0.25">
      <c r="J996" s="115"/>
      <c r="K996" s="115"/>
      <c r="L996" s="115"/>
      <c r="M996" s="115"/>
      <c r="N996" s="115"/>
      <c r="O996" s="115"/>
      <c r="P996" s="115"/>
    </row>
    <row r="997" spans="10:16" ht="12.5" x14ac:dyDescent="0.25">
      <c r="J997" s="115"/>
      <c r="K997" s="115"/>
      <c r="L997" s="115"/>
      <c r="M997" s="115"/>
      <c r="N997" s="115"/>
      <c r="O997" s="115"/>
      <c r="P997" s="115"/>
    </row>
    <row r="998" spans="10:16" ht="12.5" x14ac:dyDescent="0.25">
      <c r="J998" s="115"/>
      <c r="K998" s="115"/>
      <c r="L998" s="115"/>
      <c r="M998" s="115"/>
      <c r="N998" s="115"/>
      <c r="O998" s="115"/>
      <c r="P998" s="115"/>
    </row>
    <row r="999" spans="10:16" ht="12.5" x14ac:dyDescent="0.25">
      <c r="J999" s="115"/>
      <c r="K999" s="115"/>
      <c r="L999" s="115"/>
      <c r="M999" s="115"/>
      <c r="N999" s="115"/>
      <c r="O999" s="115"/>
      <c r="P999" s="115"/>
    </row>
    <row r="1000" spans="10:16" ht="12.5" x14ac:dyDescent="0.25">
      <c r="J1000" s="115"/>
      <c r="K1000" s="115"/>
      <c r="L1000" s="115"/>
      <c r="M1000" s="115"/>
      <c r="N1000" s="115"/>
      <c r="O1000" s="115"/>
      <c r="P1000" s="115"/>
    </row>
    <row r="1001" spans="10:16" ht="12.5" x14ac:dyDescent="0.25">
      <c r="J1001" s="115"/>
      <c r="K1001" s="115"/>
      <c r="L1001" s="115"/>
      <c r="M1001" s="115"/>
      <c r="N1001" s="115"/>
      <c r="O1001" s="115"/>
      <c r="P1001" s="115"/>
    </row>
    <row r="1002" spans="10:16" ht="12.5" x14ac:dyDescent="0.25">
      <c r="J1002" s="115"/>
      <c r="K1002" s="115"/>
      <c r="L1002" s="115"/>
      <c r="M1002" s="115"/>
      <c r="N1002" s="115"/>
      <c r="O1002" s="115"/>
      <c r="P1002" s="115"/>
    </row>
    <row r="1003" spans="10:16" ht="12.5" x14ac:dyDescent="0.25">
      <c r="J1003" s="115"/>
      <c r="K1003" s="115"/>
      <c r="L1003" s="115"/>
      <c r="M1003" s="115"/>
      <c r="N1003" s="115"/>
      <c r="O1003" s="115"/>
      <c r="P1003" s="115"/>
    </row>
    <row r="1004" spans="10:16" ht="12.5" x14ac:dyDescent="0.25">
      <c r="J1004" s="115"/>
      <c r="K1004" s="115"/>
      <c r="L1004" s="115"/>
      <c r="M1004" s="115"/>
      <c r="N1004" s="115"/>
      <c r="O1004" s="115"/>
      <c r="P1004" s="115"/>
    </row>
    <row r="1005" spans="10:16" ht="12.5" x14ac:dyDescent="0.25">
      <c r="J1005" s="115"/>
      <c r="K1005" s="115"/>
      <c r="L1005" s="115"/>
      <c r="M1005" s="115"/>
      <c r="N1005" s="115"/>
      <c r="O1005" s="115"/>
      <c r="P1005" s="115"/>
    </row>
    <row r="1006" spans="10:16" ht="12.5" x14ac:dyDescent="0.25">
      <c r="J1006" s="115"/>
      <c r="K1006" s="115"/>
      <c r="L1006" s="115"/>
      <c r="M1006" s="115"/>
      <c r="N1006" s="115"/>
      <c r="O1006" s="115"/>
      <c r="P1006" s="115"/>
    </row>
    <row r="1007" spans="10:16" ht="12.5" x14ac:dyDescent="0.25">
      <c r="J1007" s="115"/>
      <c r="K1007" s="115"/>
      <c r="L1007" s="115"/>
      <c r="M1007" s="115"/>
      <c r="N1007" s="115"/>
      <c r="O1007" s="115"/>
      <c r="P1007" s="115"/>
    </row>
    <row r="1008" spans="10:16" ht="12.5" x14ac:dyDescent="0.25">
      <c r="J1008" s="115"/>
      <c r="K1008" s="115"/>
      <c r="L1008" s="115"/>
      <c r="M1008" s="115"/>
      <c r="N1008" s="115"/>
      <c r="O1008" s="115"/>
      <c r="P1008" s="115"/>
    </row>
    <row r="1009" spans="10:16" ht="12.5" x14ac:dyDescent="0.25">
      <c r="J1009" s="115"/>
      <c r="K1009" s="115"/>
      <c r="L1009" s="115"/>
      <c r="M1009" s="115"/>
      <c r="N1009" s="115"/>
      <c r="O1009" s="115"/>
      <c r="P1009" s="115"/>
    </row>
    <row r="1010" spans="10:16" ht="12.5" x14ac:dyDescent="0.25">
      <c r="J1010" s="115"/>
      <c r="K1010" s="115"/>
      <c r="L1010" s="115"/>
      <c r="M1010" s="115"/>
      <c r="N1010" s="115"/>
      <c r="O1010" s="115"/>
      <c r="P1010" s="115"/>
    </row>
    <row r="1011" spans="10:16" ht="12.5" x14ac:dyDescent="0.25">
      <c r="J1011" s="115"/>
      <c r="K1011" s="115"/>
      <c r="L1011" s="115"/>
      <c r="M1011" s="115"/>
      <c r="N1011" s="115"/>
      <c r="O1011" s="115"/>
      <c r="P1011" s="115"/>
    </row>
    <row r="1012" spans="10:16" ht="12.5" x14ac:dyDescent="0.25">
      <c r="J1012" s="115"/>
      <c r="K1012" s="115"/>
      <c r="L1012" s="115"/>
      <c r="M1012" s="115"/>
      <c r="N1012" s="115"/>
      <c r="O1012" s="115"/>
      <c r="P1012" s="115"/>
    </row>
    <row r="1013" spans="10:16" ht="12.5" x14ac:dyDescent="0.25">
      <c r="J1013" s="115"/>
      <c r="K1013" s="115"/>
      <c r="L1013" s="115"/>
      <c r="M1013" s="115"/>
      <c r="N1013" s="115"/>
      <c r="O1013" s="115"/>
      <c r="P1013" s="115"/>
    </row>
    <row r="1014" spans="10:16" ht="12.5" x14ac:dyDescent="0.25">
      <c r="J1014" s="115"/>
      <c r="K1014" s="115"/>
      <c r="L1014" s="115"/>
      <c r="M1014" s="115"/>
      <c r="N1014" s="115"/>
      <c r="O1014" s="115"/>
      <c r="P1014" s="115"/>
    </row>
    <row r="1015" spans="10:16" ht="12.5" x14ac:dyDescent="0.25">
      <c r="J1015" s="115"/>
      <c r="K1015" s="115"/>
      <c r="L1015" s="115"/>
      <c r="M1015" s="115"/>
      <c r="N1015" s="115"/>
      <c r="O1015" s="115"/>
      <c r="P1015" s="115"/>
    </row>
    <row r="1016" spans="10:16" ht="12.5" x14ac:dyDescent="0.25">
      <c r="J1016" s="115"/>
      <c r="K1016" s="115"/>
      <c r="L1016" s="115"/>
      <c r="M1016" s="115"/>
      <c r="N1016" s="115"/>
      <c r="O1016" s="115"/>
      <c r="P1016" s="115"/>
    </row>
    <row r="1017" spans="10:16" ht="12.5" x14ac:dyDescent="0.25">
      <c r="J1017" s="115"/>
      <c r="K1017" s="115"/>
      <c r="L1017" s="115"/>
      <c r="M1017" s="115"/>
      <c r="N1017" s="115"/>
      <c r="O1017" s="115"/>
      <c r="P1017" s="115"/>
    </row>
    <row r="1018" spans="10:16" ht="12.5" x14ac:dyDescent="0.25">
      <c r="J1018" s="115"/>
      <c r="K1018" s="115"/>
      <c r="L1018" s="115"/>
      <c r="M1018" s="115"/>
      <c r="N1018" s="115"/>
      <c r="O1018" s="115"/>
      <c r="P1018" s="115"/>
    </row>
    <row r="1019" spans="10:16" ht="12.5" x14ac:dyDescent="0.25">
      <c r="J1019" s="115"/>
      <c r="K1019" s="115"/>
      <c r="L1019" s="115"/>
      <c r="M1019" s="115"/>
      <c r="N1019" s="115"/>
      <c r="O1019" s="115"/>
      <c r="P1019" s="115"/>
    </row>
    <row r="1020" spans="10:16" ht="12.5" x14ac:dyDescent="0.25">
      <c r="J1020" s="115"/>
      <c r="K1020" s="115"/>
      <c r="L1020" s="115"/>
      <c r="M1020" s="115"/>
      <c r="N1020" s="115"/>
      <c r="O1020" s="115"/>
      <c r="P1020" s="115"/>
    </row>
    <row r="1021" spans="10:16" ht="12.5" x14ac:dyDescent="0.25">
      <c r="J1021" s="115"/>
      <c r="K1021" s="115"/>
      <c r="L1021" s="115"/>
      <c r="M1021" s="115"/>
      <c r="N1021" s="115"/>
      <c r="O1021" s="115"/>
      <c r="P1021" s="115"/>
    </row>
    <row r="1022" spans="10:16" ht="12.5" x14ac:dyDescent="0.25">
      <c r="J1022" s="115"/>
      <c r="K1022" s="115"/>
      <c r="L1022" s="115"/>
      <c r="M1022" s="115"/>
      <c r="N1022" s="115"/>
      <c r="O1022" s="115"/>
      <c r="P1022" s="115"/>
    </row>
    <row r="1023" spans="10:16" ht="12.5" x14ac:dyDescent="0.25">
      <c r="J1023" s="115"/>
      <c r="K1023" s="115"/>
      <c r="L1023" s="115"/>
      <c r="M1023" s="115"/>
      <c r="N1023" s="115"/>
      <c r="O1023" s="115"/>
      <c r="P1023" s="115"/>
    </row>
    <row r="1024" spans="10:16" ht="12.5" x14ac:dyDescent="0.25">
      <c r="J1024" s="115"/>
      <c r="K1024" s="115"/>
      <c r="L1024" s="115"/>
      <c r="M1024" s="115"/>
      <c r="N1024" s="115"/>
      <c r="O1024" s="115"/>
      <c r="P1024" s="115"/>
    </row>
    <row r="1025" spans="10:16" ht="12.5" x14ac:dyDescent="0.25">
      <c r="J1025" s="115"/>
      <c r="K1025" s="115"/>
      <c r="L1025" s="115"/>
      <c r="M1025" s="115"/>
      <c r="N1025" s="115"/>
      <c r="O1025" s="115"/>
      <c r="P1025" s="115"/>
    </row>
    <row r="1026" spans="10:16" ht="12.5" x14ac:dyDescent="0.25">
      <c r="J1026" s="115"/>
      <c r="K1026" s="115"/>
      <c r="L1026" s="115"/>
      <c r="M1026" s="115"/>
      <c r="N1026" s="115"/>
      <c r="O1026" s="115"/>
      <c r="P1026" s="115"/>
    </row>
    <row r="1027" spans="10:16" ht="12.5" x14ac:dyDescent="0.25">
      <c r="J1027" s="115"/>
      <c r="K1027" s="115"/>
      <c r="L1027" s="115"/>
      <c r="M1027" s="115"/>
      <c r="N1027" s="115"/>
      <c r="O1027" s="115"/>
      <c r="P1027" s="115"/>
    </row>
    <row r="1028" spans="10:16" ht="12.5" x14ac:dyDescent="0.25">
      <c r="J1028" s="115"/>
      <c r="K1028" s="115"/>
      <c r="L1028" s="115"/>
      <c r="M1028" s="115"/>
      <c r="N1028" s="115"/>
      <c r="O1028" s="115"/>
      <c r="P1028" s="115"/>
    </row>
    <row r="1029" spans="10:16" ht="12.5" x14ac:dyDescent="0.25">
      <c r="J1029" s="115"/>
      <c r="K1029" s="115"/>
      <c r="L1029" s="115"/>
      <c r="M1029" s="115"/>
      <c r="N1029" s="115"/>
      <c r="O1029" s="115"/>
      <c r="P1029" s="115"/>
    </row>
    <row r="1030" spans="10:16" ht="12.5" x14ac:dyDescent="0.25">
      <c r="J1030" s="115"/>
      <c r="K1030" s="115"/>
      <c r="L1030" s="115"/>
      <c r="M1030" s="115"/>
      <c r="N1030" s="115"/>
      <c r="O1030" s="115"/>
      <c r="P1030" s="115"/>
    </row>
    <row r="1031" spans="10:16" ht="12.5" x14ac:dyDescent="0.25">
      <c r="J1031" s="115"/>
      <c r="K1031" s="115"/>
      <c r="L1031" s="115"/>
      <c r="M1031" s="115"/>
      <c r="N1031" s="115"/>
      <c r="O1031" s="115"/>
      <c r="P1031" s="115"/>
    </row>
    <row r="1032" spans="10:16" ht="12.5" x14ac:dyDescent="0.25">
      <c r="J1032" s="115"/>
      <c r="K1032" s="115"/>
      <c r="L1032" s="115"/>
      <c r="M1032" s="115"/>
      <c r="N1032" s="115"/>
      <c r="O1032" s="115"/>
      <c r="P1032" s="115"/>
    </row>
    <row r="1033" spans="10:16" ht="12.5" x14ac:dyDescent="0.25">
      <c r="J1033" s="115"/>
      <c r="K1033" s="115"/>
      <c r="L1033" s="115"/>
      <c r="M1033" s="115"/>
      <c r="N1033" s="115"/>
      <c r="O1033" s="115"/>
      <c r="P1033" s="115"/>
    </row>
    <row r="1034" spans="10:16" ht="12.5" x14ac:dyDescent="0.25">
      <c r="J1034" s="115"/>
      <c r="K1034" s="115"/>
      <c r="L1034" s="115"/>
      <c r="M1034" s="115"/>
      <c r="N1034" s="115"/>
      <c r="O1034" s="115"/>
      <c r="P1034" s="115"/>
    </row>
    <row r="1035" spans="10:16" ht="12.5" x14ac:dyDescent="0.25">
      <c r="J1035" s="115"/>
      <c r="K1035" s="115"/>
      <c r="L1035" s="115"/>
      <c r="M1035" s="115"/>
      <c r="N1035" s="115"/>
      <c r="O1035" s="115"/>
      <c r="P1035" s="115"/>
    </row>
    <row r="1036" spans="10:16" ht="12.5" x14ac:dyDescent="0.25">
      <c r="J1036" s="115"/>
      <c r="K1036" s="115"/>
      <c r="L1036" s="115"/>
      <c r="M1036" s="115"/>
      <c r="N1036" s="115"/>
      <c r="O1036" s="115"/>
      <c r="P1036" s="115"/>
    </row>
    <row r="1037" spans="10:16" ht="12.5" x14ac:dyDescent="0.25">
      <c r="J1037" s="115"/>
      <c r="K1037" s="115"/>
      <c r="L1037" s="115"/>
      <c r="M1037" s="115"/>
      <c r="N1037" s="115"/>
      <c r="O1037" s="115"/>
      <c r="P1037" s="115"/>
    </row>
    <row r="1038" spans="10:16" ht="12.5" x14ac:dyDescent="0.25">
      <c r="J1038" s="115"/>
      <c r="K1038" s="115"/>
      <c r="L1038" s="115"/>
      <c r="M1038" s="115"/>
      <c r="N1038" s="115"/>
      <c r="O1038" s="115"/>
      <c r="P1038" s="115"/>
    </row>
    <row r="1039" spans="10:16" ht="12.5" x14ac:dyDescent="0.25">
      <c r="J1039" s="115"/>
      <c r="K1039" s="115"/>
      <c r="L1039" s="115"/>
      <c r="M1039" s="115"/>
      <c r="N1039" s="115"/>
      <c r="O1039" s="115"/>
      <c r="P1039" s="115"/>
    </row>
    <row r="1040" spans="10:16" ht="12.5" x14ac:dyDescent="0.25">
      <c r="J1040" s="115"/>
      <c r="K1040" s="115"/>
      <c r="L1040" s="115"/>
      <c r="M1040" s="115"/>
      <c r="N1040" s="115"/>
      <c r="O1040" s="115"/>
      <c r="P1040" s="115"/>
    </row>
    <row r="1041" spans="10:16" ht="12.5" x14ac:dyDescent="0.25">
      <c r="J1041" s="115"/>
      <c r="K1041" s="115"/>
      <c r="L1041" s="115"/>
      <c r="M1041" s="115"/>
      <c r="N1041" s="115"/>
      <c r="O1041" s="115"/>
      <c r="P1041" s="115"/>
    </row>
    <row r="1042" spans="10:16" ht="12.5" x14ac:dyDescent="0.25">
      <c r="J1042" s="115"/>
      <c r="K1042" s="115"/>
      <c r="L1042" s="115"/>
      <c r="M1042" s="115"/>
      <c r="N1042" s="115"/>
      <c r="O1042" s="115"/>
      <c r="P1042" s="115"/>
    </row>
    <row r="1043" spans="10:16" ht="12.5" x14ac:dyDescent="0.25">
      <c r="J1043" s="115"/>
      <c r="K1043" s="115"/>
      <c r="L1043" s="115"/>
      <c r="M1043" s="115"/>
      <c r="N1043" s="115"/>
      <c r="O1043" s="115"/>
      <c r="P1043" s="115"/>
    </row>
    <row r="1044" spans="10:16" ht="12.5" x14ac:dyDescent="0.25">
      <c r="J1044" s="115"/>
      <c r="K1044" s="115"/>
      <c r="L1044" s="115"/>
      <c r="M1044" s="115"/>
      <c r="N1044" s="115"/>
      <c r="O1044" s="115"/>
      <c r="P1044" s="115"/>
    </row>
  </sheetData>
  <mergeCells count="419">
    <mergeCell ref="D114:I114"/>
    <mergeCell ref="K114:L114"/>
    <mergeCell ref="K117:L117"/>
    <mergeCell ref="K118:L118"/>
    <mergeCell ref="K119:L119"/>
    <mergeCell ref="M119:N119"/>
    <mergeCell ref="O119:P119"/>
    <mergeCell ref="Q119:V119"/>
    <mergeCell ref="D120:N120"/>
    <mergeCell ref="O120:P120"/>
    <mergeCell ref="M114:N114"/>
    <mergeCell ref="O114:P114"/>
    <mergeCell ref="Q114:V114"/>
    <mergeCell ref="K115:L115"/>
    <mergeCell ref="M115:N115"/>
    <mergeCell ref="O115:P115"/>
    <mergeCell ref="Q115:V115"/>
    <mergeCell ref="K112:L112"/>
    <mergeCell ref="M112:N112"/>
    <mergeCell ref="K113:L113"/>
    <mergeCell ref="M113:N113"/>
    <mergeCell ref="O113:P113"/>
    <mergeCell ref="K109:L109"/>
    <mergeCell ref="M109:N109"/>
    <mergeCell ref="O109:P109"/>
    <mergeCell ref="Q109:V109"/>
    <mergeCell ref="D110:I110"/>
    <mergeCell ref="O112:P112"/>
    <mergeCell ref="Q112:V112"/>
    <mergeCell ref="Q113:V113"/>
    <mergeCell ref="O110:P110"/>
    <mergeCell ref="Q110:V110"/>
    <mergeCell ref="K111:L111"/>
    <mergeCell ref="M111:N111"/>
    <mergeCell ref="O111:P111"/>
    <mergeCell ref="Q111:V111"/>
    <mergeCell ref="D112:I112"/>
    <mergeCell ref="O117:P117"/>
    <mergeCell ref="Q117:V117"/>
    <mergeCell ref="M118:N118"/>
    <mergeCell ref="O118:P118"/>
    <mergeCell ref="D116:I116"/>
    <mergeCell ref="K116:L116"/>
    <mergeCell ref="M116:N116"/>
    <mergeCell ref="O116:P116"/>
    <mergeCell ref="Q116:V116"/>
    <mergeCell ref="M117:N117"/>
    <mergeCell ref="D118:I118"/>
    <mergeCell ref="Q118:V118"/>
    <mergeCell ref="O108:P108"/>
    <mergeCell ref="Q108:V108"/>
    <mergeCell ref="K106:L106"/>
    <mergeCell ref="M106:N106"/>
    <mergeCell ref="K107:L107"/>
    <mergeCell ref="M107:N107"/>
    <mergeCell ref="O107:P107"/>
    <mergeCell ref="Q107:V107"/>
    <mergeCell ref="D108:I108"/>
    <mergeCell ref="K108:L108"/>
    <mergeCell ref="M108:N108"/>
    <mergeCell ref="O106:P106"/>
    <mergeCell ref="Q106:V106"/>
    <mergeCell ref="K104:L104"/>
    <mergeCell ref="M104:N104"/>
    <mergeCell ref="K105:L105"/>
    <mergeCell ref="M105:N105"/>
    <mergeCell ref="O105:P105"/>
    <mergeCell ref="Q105:V105"/>
    <mergeCell ref="D106:I106"/>
    <mergeCell ref="K100:L100"/>
    <mergeCell ref="M100:N100"/>
    <mergeCell ref="K101:L101"/>
    <mergeCell ref="M101:N101"/>
    <mergeCell ref="O101:P101"/>
    <mergeCell ref="Q101:V101"/>
    <mergeCell ref="D102:I102"/>
    <mergeCell ref="O104:P104"/>
    <mergeCell ref="Q104:V104"/>
    <mergeCell ref="K102:L102"/>
    <mergeCell ref="M102:N102"/>
    <mergeCell ref="K103:L103"/>
    <mergeCell ref="M103:N103"/>
    <mergeCell ref="O103:P103"/>
    <mergeCell ref="Q103:V103"/>
    <mergeCell ref="D104:I104"/>
    <mergeCell ref="D90:I90"/>
    <mergeCell ref="K90:L90"/>
    <mergeCell ref="K110:L110"/>
    <mergeCell ref="M110:N110"/>
    <mergeCell ref="O98:P98"/>
    <mergeCell ref="Q98:V98"/>
    <mergeCell ref="K96:L96"/>
    <mergeCell ref="M96:N96"/>
    <mergeCell ref="K97:L97"/>
    <mergeCell ref="M97:N97"/>
    <mergeCell ref="O97:P97"/>
    <mergeCell ref="Q97:V97"/>
    <mergeCell ref="D98:I98"/>
    <mergeCell ref="O100:P100"/>
    <mergeCell ref="Q100:V100"/>
    <mergeCell ref="K98:L98"/>
    <mergeCell ref="M98:N98"/>
    <mergeCell ref="K99:L99"/>
    <mergeCell ref="M99:N99"/>
    <mergeCell ref="O99:P99"/>
    <mergeCell ref="Q99:V99"/>
    <mergeCell ref="D100:I100"/>
    <mergeCell ref="O102:P102"/>
    <mergeCell ref="Q102:V102"/>
    <mergeCell ref="M90:N90"/>
    <mergeCell ref="O90:P90"/>
    <mergeCell ref="Q90:V90"/>
    <mergeCell ref="K91:L91"/>
    <mergeCell ref="M91:N91"/>
    <mergeCell ref="O91:P91"/>
    <mergeCell ref="Q91:V91"/>
    <mergeCell ref="K88:L88"/>
    <mergeCell ref="M88:N88"/>
    <mergeCell ref="K89:L89"/>
    <mergeCell ref="M89:N89"/>
    <mergeCell ref="O89:P89"/>
    <mergeCell ref="K85:L85"/>
    <mergeCell ref="M85:N85"/>
    <mergeCell ref="O85:P85"/>
    <mergeCell ref="Q85:V85"/>
    <mergeCell ref="D86:I86"/>
    <mergeCell ref="O88:P88"/>
    <mergeCell ref="Q88:V88"/>
    <mergeCell ref="Q89:V89"/>
    <mergeCell ref="O86:P86"/>
    <mergeCell ref="Q86:V86"/>
    <mergeCell ref="K87:L87"/>
    <mergeCell ref="M87:N87"/>
    <mergeCell ref="O87:P87"/>
    <mergeCell ref="Q87:V87"/>
    <mergeCell ref="D88:I88"/>
    <mergeCell ref="O96:P96"/>
    <mergeCell ref="Q96:V96"/>
    <mergeCell ref="K93:L93"/>
    <mergeCell ref="K94:L94"/>
    <mergeCell ref="K95:L95"/>
    <mergeCell ref="M95:N95"/>
    <mergeCell ref="O95:P95"/>
    <mergeCell ref="Q95:V95"/>
    <mergeCell ref="D96:I96"/>
    <mergeCell ref="O93:P93"/>
    <mergeCell ref="Q93:V93"/>
    <mergeCell ref="M94:N94"/>
    <mergeCell ref="O94:P94"/>
    <mergeCell ref="D92:I92"/>
    <mergeCell ref="K92:L92"/>
    <mergeCell ref="M92:N92"/>
    <mergeCell ref="O92:P92"/>
    <mergeCell ref="Q92:V92"/>
    <mergeCell ref="M93:N93"/>
    <mergeCell ref="D94:I94"/>
    <mergeCell ref="Q94:V94"/>
    <mergeCell ref="O84:P84"/>
    <mergeCell ref="Q84:V84"/>
    <mergeCell ref="K82:L82"/>
    <mergeCell ref="M82:N82"/>
    <mergeCell ref="K83:L83"/>
    <mergeCell ref="M83:N83"/>
    <mergeCell ref="O83:P83"/>
    <mergeCell ref="Q83:V83"/>
    <mergeCell ref="D84:I84"/>
    <mergeCell ref="K84:L84"/>
    <mergeCell ref="M84:N84"/>
    <mergeCell ref="O82:P82"/>
    <mergeCell ref="Q82:V82"/>
    <mergeCell ref="K80:L80"/>
    <mergeCell ref="M80:N80"/>
    <mergeCell ref="K81:L81"/>
    <mergeCell ref="M81:N81"/>
    <mergeCell ref="O81:P81"/>
    <mergeCell ref="Q81:V81"/>
    <mergeCell ref="D82:I82"/>
    <mergeCell ref="O80:P80"/>
    <mergeCell ref="Q80:V80"/>
    <mergeCell ref="K78:L78"/>
    <mergeCell ref="M78:N78"/>
    <mergeCell ref="K79:L79"/>
    <mergeCell ref="M79:N79"/>
    <mergeCell ref="O79:P79"/>
    <mergeCell ref="Q79:V79"/>
    <mergeCell ref="D80:I80"/>
    <mergeCell ref="O78:P78"/>
    <mergeCell ref="Q78:V78"/>
    <mergeCell ref="K76:L76"/>
    <mergeCell ref="M76:N76"/>
    <mergeCell ref="K77:L77"/>
    <mergeCell ref="M77:N77"/>
    <mergeCell ref="O77:P77"/>
    <mergeCell ref="Q77:V77"/>
    <mergeCell ref="D78:I78"/>
    <mergeCell ref="O64:P64"/>
    <mergeCell ref="Q64:V64"/>
    <mergeCell ref="Q65:V65"/>
    <mergeCell ref="M66:N66"/>
    <mergeCell ref="O66:P66"/>
    <mergeCell ref="Q66:V66"/>
    <mergeCell ref="K86:L86"/>
    <mergeCell ref="M86:N86"/>
    <mergeCell ref="D62:I62"/>
    <mergeCell ref="D63:I63"/>
    <mergeCell ref="K63:L63"/>
    <mergeCell ref="M63:N63"/>
    <mergeCell ref="O63:P63"/>
    <mergeCell ref="Q63:V63"/>
    <mergeCell ref="D64:I64"/>
    <mergeCell ref="K64:L64"/>
    <mergeCell ref="M64:N64"/>
    <mergeCell ref="K65:L65"/>
    <mergeCell ref="M65:N65"/>
    <mergeCell ref="O65:P65"/>
    <mergeCell ref="D66:I66"/>
    <mergeCell ref="K66:L66"/>
    <mergeCell ref="K71:L71"/>
    <mergeCell ref="D72:I72"/>
    <mergeCell ref="M62:N62"/>
    <mergeCell ref="O62:P62"/>
    <mergeCell ref="D61:I61"/>
    <mergeCell ref="K61:L61"/>
    <mergeCell ref="M61:N61"/>
    <mergeCell ref="O61:P61"/>
    <mergeCell ref="Q61:V61"/>
    <mergeCell ref="K62:L62"/>
    <mergeCell ref="Q62:V62"/>
    <mergeCell ref="O60:P60"/>
    <mergeCell ref="Q60:V60"/>
    <mergeCell ref="D58:I58"/>
    <mergeCell ref="D59:I59"/>
    <mergeCell ref="K59:L59"/>
    <mergeCell ref="M59:N59"/>
    <mergeCell ref="O59:P59"/>
    <mergeCell ref="Q59:V59"/>
    <mergeCell ref="D60:I60"/>
    <mergeCell ref="D74:I74"/>
    <mergeCell ref="K74:L74"/>
    <mergeCell ref="Q74:V74"/>
    <mergeCell ref="O76:P76"/>
    <mergeCell ref="Q76:V76"/>
    <mergeCell ref="M74:N74"/>
    <mergeCell ref="O74:P74"/>
    <mergeCell ref="K75:L75"/>
    <mergeCell ref="M75:N75"/>
    <mergeCell ref="O75:P75"/>
    <mergeCell ref="Q75:V75"/>
    <mergeCell ref="D76:I76"/>
    <mergeCell ref="K69:L69"/>
    <mergeCell ref="M69:N69"/>
    <mergeCell ref="O69:P69"/>
    <mergeCell ref="Q69:V69"/>
    <mergeCell ref="D70:I70"/>
    <mergeCell ref="K70:L70"/>
    <mergeCell ref="K73:L73"/>
    <mergeCell ref="M73:N73"/>
    <mergeCell ref="O73:P73"/>
    <mergeCell ref="Q73:V73"/>
    <mergeCell ref="K72:L72"/>
    <mergeCell ref="M72:N72"/>
    <mergeCell ref="O72:P72"/>
    <mergeCell ref="M70:N70"/>
    <mergeCell ref="O70:P70"/>
    <mergeCell ref="Q70:V70"/>
    <mergeCell ref="M71:N71"/>
    <mergeCell ref="O71:P71"/>
    <mergeCell ref="Q71:V71"/>
    <mergeCell ref="Q72:V72"/>
    <mergeCell ref="K67:L67"/>
    <mergeCell ref="M67:N67"/>
    <mergeCell ref="O67:P67"/>
    <mergeCell ref="Q67:V67"/>
    <mergeCell ref="D68:I68"/>
    <mergeCell ref="K68:L68"/>
    <mergeCell ref="M68:N68"/>
    <mergeCell ref="O68:P68"/>
    <mergeCell ref="Q68:V68"/>
    <mergeCell ref="Z39:AA39"/>
    <mergeCell ref="Z40:AA40"/>
    <mergeCell ref="T37:U37"/>
    <mergeCell ref="X37:Y37"/>
    <mergeCell ref="X38:Y38"/>
    <mergeCell ref="Z38:AA38"/>
    <mergeCell ref="T39:U39"/>
    <mergeCell ref="X39:Y40"/>
    <mergeCell ref="T40:V40"/>
    <mergeCell ref="F37:G37"/>
    <mergeCell ref="D50:F50"/>
    <mergeCell ref="D51:F51"/>
    <mergeCell ref="D52:G52"/>
    <mergeCell ref="D53:G53"/>
    <mergeCell ref="D42:H43"/>
    <mergeCell ref="D44:F44"/>
    <mergeCell ref="D45:F45"/>
    <mergeCell ref="D46:F46"/>
    <mergeCell ref="D47:F47"/>
    <mergeCell ref="D48:F48"/>
    <mergeCell ref="D49:F49"/>
    <mergeCell ref="Z14:AA14"/>
    <mergeCell ref="D12:H13"/>
    <mergeCell ref="J12:P13"/>
    <mergeCell ref="X12:AA12"/>
    <mergeCell ref="X13:Y13"/>
    <mergeCell ref="Z13:AA13"/>
    <mergeCell ref="D14:G14"/>
    <mergeCell ref="J14:K14"/>
    <mergeCell ref="X27:Y27"/>
    <mergeCell ref="T23:U23"/>
    <mergeCell ref="T24:U24"/>
    <mergeCell ref="T25:U25"/>
    <mergeCell ref="T26:U26"/>
    <mergeCell ref="X26:AA26"/>
    <mergeCell ref="T27:U27"/>
    <mergeCell ref="R22:S22"/>
    <mergeCell ref="R23:S23"/>
    <mergeCell ref="R24:S24"/>
    <mergeCell ref="R25:S25"/>
    <mergeCell ref="R26:S26"/>
    <mergeCell ref="R27:S27"/>
    <mergeCell ref="D25:F25"/>
    <mergeCell ref="D26:F26"/>
    <mergeCell ref="D27:F27"/>
    <mergeCell ref="D2:E2"/>
    <mergeCell ref="G2:L2"/>
    <mergeCell ref="D3:E3"/>
    <mergeCell ref="N3:Q5"/>
    <mergeCell ref="H4:I4"/>
    <mergeCell ref="J4:K4"/>
    <mergeCell ref="H5:I5"/>
    <mergeCell ref="R12:V13"/>
    <mergeCell ref="R14:S14"/>
    <mergeCell ref="T14:U14"/>
    <mergeCell ref="K60:L60"/>
    <mergeCell ref="M60:N60"/>
    <mergeCell ref="J5:K5"/>
    <mergeCell ref="S5:X5"/>
    <mergeCell ref="U8:V8"/>
    <mergeCell ref="W8:X8"/>
    <mergeCell ref="N6:Q6"/>
    <mergeCell ref="N7:P7"/>
    <mergeCell ref="S7:T7"/>
    <mergeCell ref="U7:V7"/>
    <mergeCell ref="W7:X7"/>
    <mergeCell ref="N8:P8"/>
    <mergeCell ref="S8:T8"/>
    <mergeCell ref="X14:Y14"/>
    <mergeCell ref="X28:Y28"/>
    <mergeCell ref="T28:U28"/>
    <mergeCell ref="R31:S31"/>
    <mergeCell ref="R33:S33"/>
    <mergeCell ref="R29:S29"/>
    <mergeCell ref="X34:AA34"/>
    <mergeCell ref="X35:Y35"/>
    <mergeCell ref="Z35:AA35"/>
    <mergeCell ref="T29:U29"/>
    <mergeCell ref="X29:Y29"/>
    <mergeCell ref="D23:H24"/>
    <mergeCell ref="T33:U33"/>
    <mergeCell ref="T34:U34"/>
    <mergeCell ref="R35:S35"/>
    <mergeCell ref="T35:U35"/>
    <mergeCell ref="T36:U36"/>
    <mergeCell ref="X36:AA36"/>
    <mergeCell ref="R37:S37"/>
    <mergeCell ref="Z37:AA37"/>
    <mergeCell ref="T30:U30"/>
    <mergeCell ref="X30:Y30"/>
    <mergeCell ref="T31:U31"/>
    <mergeCell ref="T32:U32"/>
    <mergeCell ref="X32:AA33"/>
    <mergeCell ref="D28:F28"/>
    <mergeCell ref="D29:F29"/>
    <mergeCell ref="D30:F30"/>
    <mergeCell ref="D31:F31"/>
    <mergeCell ref="D32:F32"/>
    <mergeCell ref="D33:F33"/>
    <mergeCell ref="D34:F34"/>
    <mergeCell ref="D35:F35"/>
    <mergeCell ref="D36:E37"/>
    <mergeCell ref="F36:G36"/>
    <mergeCell ref="R21:S21"/>
    <mergeCell ref="T21:U21"/>
    <mergeCell ref="T22:U22"/>
    <mergeCell ref="D16:G16"/>
    <mergeCell ref="D17:G17"/>
    <mergeCell ref="D18:G18"/>
    <mergeCell ref="D19:G19"/>
    <mergeCell ref="D20:G20"/>
    <mergeCell ref="D21:G21"/>
    <mergeCell ref="R17:S17"/>
    <mergeCell ref="T17:U17"/>
    <mergeCell ref="Z17:AA17"/>
    <mergeCell ref="R18:S18"/>
    <mergeCell ref="T18:U18"/>
    <mergeCell ref="R19:S19"/>
    <mergeCell ref="T19:U19"/>
    <mergeCell ref="R20:S20"/>
    <mergeCell ref="T20:U20"/>
    <mergeCell ref="D15:G15"/>
    <mergeCell ref="R15:S15"/>
    <mergeCell ref="T15:U15"/>
    <mergeCell ref="Z15:AA15"/>
    <mergeCell ref="R16:S16"/>
    <mergeCell ref="T16:U16"/>
    <mergeCell ref="Z16:AA16"/>
    <mergeCell ref="X15:Y15"/>
    <mergeCell ref="X16:Y16"/>
    <mergeCell ref="D39:F40"/>
    <mergeCell ref="G39:H40"/>
    <mergeCell ref="R39:S39"/>
    <mergeCell ref="R40:S40"/>
    <mergeCell ref="J42:R42"/>
    <mergeCell ref="T42:V42"/>
    <mergeCell ref="D56:V57"/>
    <mergeCell ref="K58:L58"/>
    <mergeCell ref="Q58:V58"/>
    <mergeCell ref="M58:N58"/>
    <mergeCell ref="O58:P58"/>
  </mergeCells>
  <conditionalFormatting sqref="Z39:AA40">
    <cfRule type="cellIs" dxfId="39" priority="1" operator="greaterThanOrEqual">
      <formula>0</formula>
    </cfRule>
    <cfRule type="cellIs" dxfId="38" priority="3" operator="lessThan">
      <formula>0</formula>
    </cfRule>
    <cfRule type="containsText" dxfId="37" priority="4" operator="containsText" text="falta">
      <formula>NOT(ISERROR(SEARCH(("falta"),(Z39))))</formula>
    </cfRule>
  </conditionalFormatting>
  <conditionalFormatting sqref="Z40:AA40">
    <cfRule type="containsText" dxfId="36" priority="2" operator="containsText" text="sobra">
      <formula>NOT(ISERROR(SEARCH(("sobra"),(Z40))))</formula>
    </cfRule>
  </conditionalFormatting>
  <dataValidations count="3">
    <dataValidation type="list" allowBlank="1" showErrorMessage="1" sqref="G45:G51" xr:uid="{00000000-0002-0000-0400-000000000000}">
      <formula1>"Ahorro,Inversión"</formula1>
    </dataValidation>
    <dataValidation type="list" allowBlank="1" showErrorMessage="1" sqref="K59:K119" xr:uid="{00000000-0002-0000-0400-000001000000}">
      <formula1>"Transporte,Alimentación,Restaurantes,Delivery,Bares,Ropa,Belleza,Gasolina,Hogar,Tarjeta de crédito,Ocio,Pequeñas compras,Tasas/Impuestos,Viajes/vacaciones,Tecnología,Reparaciones,Salud,Higiene,Cursos/Formación/Trabajo,Mascotas,Familia,Otros,Préstamos"</formula1>
    </dataValidation>
    <dataValidation type="list" allowBlank="1" showErrorMessage="1" sqref="N15:N39 M59:M119" xr:uid="{00000000-0002-0000-0400-000002000000}">
      <formula1>"Transferencia,Tarjeta de débito,Efectivo,Tarjeta de crédito"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D1044"/>
  <sheetViews>
    <sheetView workbookViewId="0"/>
  </sheetViews>
  <sheetFormatPr baseColWidth="10" defaultColWidth="12.6328125" defaultRowHeight="15.75" customHeight="1" x14ac:dyDescent="0.25"/>
  <cols>
    <col min="7" max="7" width="13.7265625" customWidth="1"/>
    <col min="14" max="14" width="17.6328125" customWidth="1"/>
  </cols>
  <sheetData>
    <row r="1" spans="1:30" ht="15.7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8"/>
      <c r="O1" s="28"/>
      <c r="P1" s="28"/>
      <c r="Q1" s="28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x14ac:dyDescent="0.3">
      <c r="A2" s="2"/>
      <c r="B2" s="2"/>
      <c r="C2" s="2"/>
      <c r="D2" s="254" t="s">
        <v>45</v>
      </c>
      <c r="E2" s="200"/>
      <c r="F2" s="11"/>
      <c r="G2" s="244" t="s">
        <v>46</v>
      </c>
      <c r="H2" s="245"/>
      <c r="I2" s="245"/>
      <c r="J2" s="245"/>
      <c r="K2" s="245"/>
      <c r="L2" s="246"/>
      <c r="M2" s="29"/>
      <c r="N2" s="11"/>
      <c r="O2" s="11"/>
      <c r="P2" s="11"/>
      <c r="Q2" s="11"/>
      <c r="R2" s="11"/>
      <c r="S2" s="11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5.75" customHeight="1" x14ac:dyDescent="0.4">
      <c r="A3" s="2"/>
      <c r="B3" s="2"/>
      <c r="C3" s="2"/>
      <c r="D3" s="255">
        <f>CTAS!H3</f>
        <v>0</v>
      </c>
      <c r="E3" s="236"/>
      <c r="F3" s="2"/>
      <c r="G3" s="2"/>
      <c r="H3" s="2"/>
      <c r="I3" s="2"/>
      <c r="J3" s="2"/>
      <c r="K3" s="2"/>
      <c r="L3" s="2"/>
      <c r="M3" s="11"/>
      <c r="N3" s="256" t="s">
        <v>3</v>
      </c>
      <c r="O3" s="209"/>
      <c r="P3" s="209"/>
      <c r="Q3" s="129"/>
      <c r="R3" s="30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3">
      <c r="A4" s="2"/>
      <c r="B4" s="2"/>
      <c r="C4" s="2"/>
      <c r="D4" s="28"/>
      <c r="E4" s="28"/>
      <c r="F4" s="2"/>
      <c r="G4" s="28"/>
      <c r="H4" s="259" t="s">
        <v>15</v>
      </c>
      <c r="I4" s="224"/>
      <c r="J4" s="260" t="s">
        <v>47</v>
      </c>
      <c r="K4" s="119"/>
      <c r="L4" s="31" t="s">
        <v>14</v>
      </c>
      <c r="M4" s="32"/>
      <c r="N4" s="257"/>
      <c r="O4" s="197"/>
      <c r="P4" s="197"/>
      <c r="Q4" s="258"/>
      <c r="R4" s="30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x14ac:dyDescent="0.3">
      <c r="A5" s="2"/>
      <c r="B5" s="2"/>
      <c r="C5" s="2"/>
      <c r="D5" s="2"/>
      <c r="E5" s="2"/>
      <c r="F5" s="2"/>
      <c r="G5" s="33" t="s">
        <v>48</v>
      </c>
      <c r="H5" s="261">
        <f>H37</f>
        <v>0</v>
      </c>
      <c r="I5" s="219"/>
      <c r="J5" s="243">
        <f>G39</f>
        <v>0</v>
      </c>
      <c r="K5" s="201"/>
      <c r="L5" s="34">
        <f>H5+J5</f>
        <v>0</v>
      </c>
      <c r="M5" s="32"/>
      <c r="N5" s="257"/>
      <c r="O5" s="197"/>
      <c r="P5" s="197"/>
      <c r="Q5" s="258"/>
      <c r="R5" s="29"/>
      <c r="S5" s="244" t="s">
        <v>49</v>
      </c>
      <c r="T5" s="245"/>
      <c r="U5" s="245"/>
      <c r="V5" s="245"/>
      <c r="W5" s="245"/>
      <c r="X5" s="246"/>
      <c r="Y5" s="30"/>
      <c r="Z5" s="2"/>
      <c r="AA5" s="2"/>
      <c r="AB5" s="2"/>
      <c r="AC5" s="2"/>
      <c r="AD5" s="2"/>
    </row>
    <row r="6" spans="1:30" ht="15.75" customHeight="1" x14ac:dyDescent="0.25">
      <c r="A6" s="2"/>
      <c r="B6" s="2"/>
      <c r="C6" s="2"/>
      <c r="D6" s="35"/>
      <c r="E6" s="35"/>
      <c r="F6" s="2"/>
      <c r="G6" s="35"/>
      <c r="H6" s="2"/>
      <c r="I6" s="36"/>
      <c r="J6" s="37"/>
      <c r="K6" s="37"/>
      <c r="L6" s="37"/>
      <c r="M6" s="38"/>
      <c r="N6" s="248">
        <v>2026</v>
      </c>
      <c r="O6" s="218"/>
      <c r="P6" s="218"/>
      <c r="Q6" s="249"/>
      <c r="R6" s="30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x14ac:dyDescent="0.3">
      <c r="A7" s="2"/>
      <c r="B7" s="2"/>
      <c r="C7" s="2"/>
      <c r="D7" s="2"/>
      <c r="E7" s="2"/>
      <c r="F7" s="2"/>
      <c r="G7" s="2"/>
      <c r="H7" s="39" t="s">
        <v>50</v>
      </c>
      <c r="I7" s="39" t="s">
        <v>51</v>
      </c>
      <c r="J7" s="7" t="s">
        <v>19</v>
      </c>
      <c r="K7" s="7" t="s">
        <v>52</v>
      </c>
      <c r="L7" s="7" t="s">
        <v>14</v>
      </c>
      <c r="M7" s="40"/>
      <c r="N7" s="250" t="s">
        <v>53</v>
      </c>
      <c r="O7" s="224"/>
      <c r="P7" s="227"/>
      <c r="Q7" s="41">
        <v>46113</v>
      </c>
      <c r="R7" s="30"/>
      <c r="S7" s="251" t="s">
        <v>54</v>
      </c>
      <c r="T7" s="219"/>
      <c r="U7" s="252" t="s">
        <v>55</v>
      </c>
      <c r="V7" s="219"/>
      <c r="W7" s="253" t="s">
        <v>56</v>
      </c>
      <c r="X7" s="219"/>
      <c r="Y7" s="2"/>
      <c r="Z7" s="2"/>
      <c r="AA7" s="2"/>
      <c r="AB7" s="2"/>
      <c r="AC7" s="2"/>
      <c r="AD7" s="2"/>
    </row>
    <row r="8" spans="1:30" x14ac:dyDescent="0.3">
      <c r="A8" s="2"/>
      <c r="B8" s="2"/>
      <c r="C8" s="2"/>
      <c r="D8" s="2"/>
      <c r="E8" s="2"/>
      <c r="F8" s="2"/>
      <c r="G8" s="42" t="s">
        <v>55</v>
      </c>
      <c r="H8" s="43">
        <f>M40</f>
        <v>0</v>
      </c>
      <c r="I8" s="44">
        <f>O120</f>
        <v>0</v>
      </c>
      <c r="J8" s="45">
        <f>H52</f>
        <v>0</v>
      </c>
      <c r="K8" s="45">
        <f>H53</f>
        <v>0</v>
      </c>
      <c r="L8" s="46">
        <f>SUM(H8:K8)</f>
        <v>0</v>
      </c>
      <c r="M8" s="40"/>
      <c r="N8" s="250" t="s">
        <v>57</v>
      </c>
      <c r="O8" s="224"/>
      <c r="P8" s="227"/>
      <c r="Q8" s="41">
        <v>46142</v>
      </c>
      <c r="R8" s="30"/>
      <c r="S8" s="247">
        <f>L5</f>
        <v>0</v>
      </c>
      <c r="T8" s="142"/>
      <c r="U8" s="247">
        <f>L8</f>
        <v>0</v>
      </c>
      <c r="V8" s="142"/>
      <c r="W8" s="247">
        <f>S8-U8</f>
        <v>0</v>
      </c>
      <c r="X8" s="142"/>
      <c r="Y8" s="2"/>
      <c r="Z8" s="2"/>
      <c r="AA8" s="2"/>
      <c r="AB8" s="2"/>
      <c r="AC8" s="2"/>
      <c r="AD8" s="2"/>
    </row>
    <row r="9" spans="1:30" ht="15.75" customHeight="1" x14ac:dyDescent="0.25">
      <c r="A9" s="2"/>
      <c r="B9" s="2"/>
      <c r="C9" s="2"/>
      <c r="D9" s="47"/>
      <c r="E9" s="47"/>
      <c r="F9" s="2"/>
      <c r="G9" s="2"/>
      <c r="H9" s="35"/>
      <c r="I9" s="35"/>
      <c r="J9" s="48"/>
      <c r="K9" s="48"/>
      <c r="L9" s="48"/>
      <c r="M9" s="49"/>
      <c r="N9" s="49"/>
      <c r="O9" s="49"/>
      <c r="P9" s="49"/>
      <c r="Q9" s="49"/>
      <c r="R9" s="49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15.75" customHeight="1" x14ac:dyDescent="0.25">
      <c r="A10" s="2"/>
      <c r="B10" s="2"/>
      <c r="C10" s="2"/>
      <c r="D10" s="35"/>
      <c r="E10" s="35"/>
      <c r="F10" s="2"/>
      <c r="G10" s="2"/>
      <c r="H10" s="2"/>
      <c r="I10" s="2"/>
      <c r="J10" s="49"/>
      <c r="K10" s="49"/>
      <c r="L10" s="49"/>
      <c r="M10" s="49"/>
      <c r="N10" s="49"/>
      <c r="O10" s="49"/>
      <c r="P10" s="49"/>
      <c r="Q10" s="49"/>
      <c r="R10" s="49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15.75" customHeight="1" x14ac:dyDescent="0.25">
      <c r="A11" s="2"/>
      <c r="B11" s="2"/>
      <c r="C11" s="2"/>
      <c r="D11" s="28"/>
      <c r="E11" s="28"/>
      <c r="F11" s="28"/>
      <c r="G11" s="28"/>
      <c r="H11" s="28"/>
      <c r="I11" s="2"/>
      <c r="J11" s="50"/>
      <c r="K11" s="50"/>
      <c r="L11" s="50"/>
      <c r="M11" s="50"/>
      <c r="N11" s="50"/>
      <c r="O11" s="50"/>
      <c r="P11" s="50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15.75" customHeight="1" x14ac:dyDescent="0.35">
      <c r="A12" s="2"/>
      <c r="B12" s="2"/>
      <c r="C12" s="11"/>
      <c r="D12" s="215" t="s">
        <v>58</v>
      </c>
      <c r="E12" s="209"/>
      <c r="F12" s="209"/>
      <c r="G12" s="209"/>
      <c r="H12" s="129"/>
      <c r="I12" s="29"/>
      <c r="J12" s="216" t="s">
        <v>16</v>
      </c>
      <c r="K12" s="209"/>
      <c r="L12" s="209"/>
      <c r="M12" s="209"/>
      <c r="N12" s="209"/>
      <c r="O12" s="209"/>
      <c r="P12" s="129"/>
      <c r="Q12" s="30"/>
      <c r="R12" s="208" t="s">
        <v>17</v>
      </c>
      <c r="S12" s="209"/>
      <c r="T12" s="209"/>
      <c r="U12" s="209"/>
      <c r="V12" s="129"/>
      <c r="X12" s="217" t="s">
        <v>18</v>
      </c>
      <c r="Y12" s="218"/>
      <c r="Z12" s="218"/>
      <c r="AA12" s="219"/>
      <c r="AB12" s="2"/>
      <c r="AC12" s="2"/>
      <c r="AD12" s="2"/>
    </row>
    <row r="13" spans="1:30" ht="15.75" customHeight="1" x14ac:dyDescent="0.25">
      <c r="A13" s="2"/>
      <c r="B13" s="2"/>
      <c r="C13" s="11"/>
      <c r="D13" s="130"/>
      <c r="E13" s="200"/>
      <c r="F13" s="200"/>
      <c r="G13" s="200"/>
      <c r="H13" s="131"/>
      <c r="I13" s="29"/>
      <c r="J13" s="130"/>
      <c r="K13" s="200"/>
      <c r="L13" s="200"/>
      <c r="M13" s="200"/>
      <c r="N13" s="200"/>
      <c r="O13" s="200"/>
      <c r="P13" s="131"/>
      <c r="Q13" s="30"/>
      <c r="R13" s="130"/>
      <c r="S13" s="200"/>
      <c r="T13" s="200"/>
      <c r="U13" s="200"/>
      <c r="V13" s="131"/>
      <c r="W13" s="2"/>
      <c r="X13" s="220" t="s">
        <v>59</v>
      </c>
      <c r="Y13" s="221"/>
      <c r="Z13" s="222">
        <f>M40</f>
        <v>0</v>
      </c>
      <c r="AA13" s="198"/>
      <c r="AB13" s="2"/>
      <c r="AC13" s="2"/>
      <c r="AD13" s="2"/>
    </row>
    <row r="14" spans="1:30" ht="15.75" customHeight="1" x14ac:dyDescent="0.25">
      <c r="A14" s="2"/>
      <c r="B14" s="2"/>
      <c r="C14" s="11"/>
      <c r="D14" s="223" t="s">
        <v>62</v>
      </c>
      <c r="E14" s="224"/>
      <c r="F14" s="224"/>
      <c r="G14" s="225"/>
      <c r="H14" s="51" t="s">
        <v>61</v>
      </c>
      <c r="I14" s="29"/>
      <c r="J14" s="266" t="s">
        <v>62</v>
      </c>
      <c r="K14" s="119"/>
      <c r="L14" s="52" t="s">
        <v>63</v>
      </c>
      <c r="M14" s="52" t="s">
        <v>64</v>
      </c>
      <c r="N14" s="52" t="s">
        <v>65</v>
      </c>
      <c r="O14" s="52" t="s">
        <v>104</v>
      </c>
      <c r="P14" s="52" t="s">
        <v>67</v>
      </c>
      <c r="Q14" s="29"/>
      <c r="R14" s="210" t="s">
        <v>68</v>
      </c>
      <c r="S14" s="119"/>
      <c r="T14" s="210" t="s">
        <v>69</v>
      </c>
      <c r="U14" s="119"/>
      <c r="V14" s="53" t="s">
        <v>70</v>
      </c>
      <c r="W14" s="29"/>
      <c r="X14" s="262" t="s">
        <v>71</v>
      </c>
      <c r="Y14" s="263"/>
      <c r="Z14" s="264">
        <f>O120</f>
        <v>0</v>
      </c>
      <c r="AA14" s="265"/>
      <c r="AB14" s="30"/>
      <c r="AC14" s="2"/>
      <c r="AD14" s="2"/>
    </row>
    <row r="15" spans="1:30" ht="15.75" customHeight="1" x14ac:dyDescent="0.25">
      <c r="A15" s="2"/>
      <c r="B15" s="2"/>
      <c r="C15" s="11"/>
      <c r="D15" s="226"/>
      <c r="E15" s="224"/>
      <c r="F15" s="224"/>
      <c r="G15" s="227"/>
      <c r="H15" s="54">
        <v>0</v>
      </c>
      <c r="I15" s="29"/>
      <c r="J15" s="117"/>
      <c r="K15" s="4"/>
      <c r="L15" s="4"/>
      <c r="M15" s="4"/>
      <c r="N15" s="4"/>
      <c r="O15" s="4"/>
      <c r="P15" s="56">
        <v>0</v>
      </c>
      <c r="Q15" s="29"/>
      <c r="R15" s="231" t="s">
        <v>22</v>
      </c>
      <c r="S15" s="232"/>
      <c r="T15" s="233">
        <f t="shared" ref="T15:T37" si="0">SUMIF($K$59:$L$119,R15,$O$59:$P$119)</f>
        <v>0</v>
      </c>
      <c r="U15" s="232"/>
      <c r="V15" s="57" t="e">
        <f t="shared" ref="V15:V37" si="1">T15*1/$T$40</f>
        <v>#DIV/0!</v>
      </c>
      <c r="W15" s="30"/>
      <c r="X15" s="211" t="s">
        <v>73</v>
      </c>
      <c r="Y15" s="212"/>
      <c r="Z15" s="213">
        <f t="shared" ref="Z15:Z16" si="2">H52</f>
        <v>0</v>
      </c>
      <c r="AA15" s="214"/>
      <c r="AB15" s="2"/>
      <c r="AC15" s="2"/>
      <c r="AD15" s="2"/>
    </row>
    <row r="16" spans="1:30" ht="15.75" customHeight="1" x14ac:dyDescent="0.25">
      <c r="A16" s="2"/>
      <c r="B16" s="2"/>
      <c r="C16" s="2"/>
      <c r="D16" s="240"/>
      <c r="E16" s="224"/>
      <c r="F16" s="224"/>
      <c r="G16" s="241"/>
      <c r="H16" s="58">
        <v>0</v>
      </c>
      <c r="I16" s="11"/>
      <c r="J16" s="66"/>
      <c r="K16" s="59"/>
      <c r="L16" s="59"/>
      <c r="M16" s="59"/>
      <c r="N16" s="59"/>
      <c r="O16" s="59"/>
      <c r="P16" s="61">
        <v>0</v>
      </c>
      <c r="Q16" s="29"/>
      <c r="R16" s="234" t="s">
        <v>23</v>
      </c>
      <c r="S16" s="142"/>
      <c r="T16" s="235">
        <f t="shared" si="0"/>
        <v>0</v>
      </c>
      <c r="U16" s="236"/>
      <c r="V16" s="62" t="e">
        <f t="shared" si="1"/>
        <v>#DIV/0!</v>
      </c>
      <c r="W16" s="30"/>
      <c r="X16" s="237" t="s">
        <v>74</v>
      </c>
      <c r="Y16" s="238"/>
      <c r="Z16" s="228">
        <f t="shared" si="2"/>
        <v>0</v>
      </c>
      <c r="AA16" s="198"/>
      <c r="AB16" s="2"/>
      <c r="AC16" s="2"/>
      <c r="AD16" s="2"/>
    </row>
    <row r="17" spans="1:30" x14ac:dyDescent="0.3">
      <c r="A17" s="2"/>
      <c r="B17" s="2"/>
      <c r="C17" s="2"/>
      <c r="D17" s="226"/>
      <c r="E17" s="224"/>
      <c r="F17" s="224"/>
      <c r="G17" s="227"/>
      <c r="H17" s="54">
        <v>0</v>
      </c>
      <c r="I17" s="11"/>
      <c r="J17" s="63"/>
      <c r="K17" s="3"/>
      <c r="L17" s="3"/>
      <c r="M17" s="3"/>
      <c r="N17" s="3"/>
      <c r="O17" s="3"/>
      <c r="P17" s="64">
        <v>0</v>
      </c>
      <c r="Q17" s="29"/>
      <c r="R17" s="231" t="s">
        <v>24</v>
      </c>
      <c r="S17" s="232"/>
      <c r="T17" s="233">
        <f t="shared" si="0"/>
        <v>0</v>
      </c>
      <c r="U17" s="232"/>
      <c r="V17" s="57" t="e">
        <f t="shared" si="1"/>
        <v>#DIV/0!</v>
      </c>
      <c r="W17" s="30"/>
      <c r="X17" s="65" t="s">
        <v>14</v>
      </c>
      <c r="Y17" s="65"/>
      <c r="Z17" s="229">
        <f>SUM(Z13:Z16)</f>
        <v>0</v>
      </c>
      <c r="AA17" s="230"/>
      <c r="AB17" s="2"/>
      <c r="AC17" s="2"/>
      <c r="AD17" s="2"/>
    </row>
    <row r="18" spans="1:30" ht="15.75" customHeight="1" x14ac:dyDescent="0.25">
      <c r="A18" s="2"/>
      <c r="B18" s="2"/>
      <c r="C18" s="2"/>
      <c r="D18" s="240"/>
      <c r="E18" s="224"/>
      <c r="F18" s="224"/>
      <c r="G18" s="241"/>
      <c r="H18" s="58">
        <v>0</v>
      </c>
      <c r="I18" s="11"/>
      <c r="J18" s="66"/>
      <c r="K18" s="59"/>
      <c r="L18" s="59"/>
      <c r="M18" s="59"/>
      <c r="N18" s="59"/>
      <c r="O18" s="59"/>
      <c r="P18" s="61">
        <v>0</v>
      </c>
      <c r="Q18" s="29"/>
      <c r="R18" s="239" t="s">
        <v>25</v>
      </c>
      <c r="S18" s="236"/>
      <c r="T18" s="235">
        <f t="shared" si="0"/>
        <v>0</v>
      </c>
      <c r="U18" s="236"/>
      <c r="V18" s="62" t="e">
        <f t="shared" si="1"/>
        <v>#DIV/0!</v>
      </c>
      <c r="W18" s="30"/>
      <c r="X18" s="2"/>
      <c r="Y18" s="2"/>
      <c r="Z18" s="2"/>
      <c r="AA18" s="2"/>
      <c r="AB18" s="2"/>
      <c r="AC18" s="2"/>
      <c r="AD18" s="2"/>
    </row>
    <row r="19" spans="1:30" ht="15.75" customHeight="1" x14ac:dyDescent="0.25">
      <c r="A19" s="2"/>
      <c r="B19" s="2"/>
      <c r="C19" s="2"/>
      <c r="D19" s="226"/>
      <c r="E19" s="224"/>
      <c r="F19" s="224"/>
      <c r="G19" s="227"/>
      <c r="H19" s="54">
        <v>0</v>
      </c>
      <c r="I19" s="11"/>
      <c r="J19" s="63"/>
      <c r="K19" s="3"/>
      <c r="L19" s="3"/>
      <c r="M19" s="3"/>
      <c r="N19" s="3"/>
      <c r="O19" s="3"/>
      <c r="P19" s="64">
        <v>0</v>
      </c>
      <c r="Q19" s="29"/>
      <c r="R19" s="231" t="s">
        <v>26</v>
      </c>
      <c r="S19" s="232"/>
      <c r="T19" s="233">
        <f t="shared" si="0"/>
        <v>0</v>
      </c>
      <c r="U19" s="232"/>
      <c r="V19" s="57" t="e">
        <f t="shared" si="1"/>
        <v>#DIV/0!</v>
      </c>
      <c r="W19" s="30"/>
      <c r="X19" s="2"/>
      <c r="Y19" s="2"/>
      <c r="Z19" s="2"/>
      <c r="AA19" s="2"/>
      <c r="AB19" s="2"/>
      <c r="AC19" s="2"/>
      <c r="AD19" s="2"/>
    </row>
    <row r="20" spans="1:30" ht="15.75" customHeight="1" x14ac:dyDescent="0.25">
      <c r="A20" s="2"/>
      <c r="B20" s="2"/>
      <c r="C20" s="2"/>
      <c r="D20" s="240"/>
      <c r="E20" s="224"/>
      <c r="F20" s="224"/>
      <c r="G20" s="241"/>
      <c r="H20" s="58">
        <v>0</v>
      </c>
      <c r="I20" s="11"/>
      <c r="J20" s="66"/>
      <c r="K20" s="59"/>
      <c r="L20" s="59"/>
      <c r="M20" s="59"/>
      <c r="N20" s="59"/>
      <c r="O20" s="59"/>
      <c r="P20" s="61">
        <v>0</v>
      </c>
      <c r="Q20" s="29"/>
      <c r="R20" s="239" t="s">
        <v>27</v>
      </c>
      <c r="S20" s="236"/>
      <c r="T20" s="235">
        <f t="shared" si="0"/>
        <v>0</v>
      </c>
      <c r="U20" s="236"/>
      <c r="V20" s="62" t="e">
        <f t="shared" si="1"/>
        <v>#DIV/0!</v>
      </c>
      <c r="W20" s="30"/>
      <c r="X20" s="2"/>
      <c r="Y20" s="2"/>
      <c r="Z20" s="2"/>
      <c r="AA20" s="2"/>
      <c r="AB20" s="2"/>
      <c r="AC20" s="2"/>
      <c r="AD20" s="2"/>
    </row>
    <row r="21" spans="1:30" ht="15.75" customHeight="1" x14ac:dyDescent="0.25">
      <c r="A21" s="2"/>
      <c r="B21" s="2"/>
      <c r="C21" s="2"/>
      <c r="D21" s="226"/>
      <c r="E21" s="224"/>
      <c r="F21" s="224"/>
      <c r="G21" s="227"/>
      <c r="H21" s="54">
        <v>0</v>
      </c>
      <c r="I21" s="11"/>
      <c r="J21" s="63"/>
      <c r="K21" s="3"/>
      <c r="L21" s="3"/>
      <c r="M21" s="3"/>
      <c r="N21" s="3"/>
      <c r="O21" s="3"/>
      <c r="P21" s="64">
        <v>0</v>
      </c>
      <c r="Q21" s="29"/>
      <c r="R21" s="231" t="s">
        <v>28</v>
      </c>
      <c r="S21" s="232"/>
      <c r="T21" s="233">
        <f t="shared" si="0"/>
        <v>0</v>
      </c>
      <c r="U21" s="232"/>
      <c r="V21" s="57" t="e">
        <f t="shared" si="1"/>
        <v>#DIV/0!</v>
      </c>
      <c r="W21" s="30"/>
      <c r="X21" s="2"/>
      <c r="Y21" s="2"/>
      <c r="Z21" s="2"/>
      <c r="AA21" s="2"/>
      <c r="AB21" s="2"/>
      <c r="AC21" s="2"/>
      <c r="AD21" s="2"/>
    </row>
    <row r="22" spans="1:30" ht="15.75" customHeight="1" x14ac:dyDescent="0.25">
      <c r="A22" s="2"/>
      <c r="B22" s="2"/>
      <c r="C22" s="2"/>
      <c r="D22" s="28"/>
      <c r="E22" s="28"/>
      <c r="F22" s="28"/>
      <c r="G22" s="28"/>
      <c r="H22" s="28"/>
      <c r="I22" s="11"/>
      <c r="J22" s="66"/>
      <c r="K22" s="59"/>
      <c r="L22" s="59"/>
      <c r="M22" s="59"/>
      <c r="N22" s="59"/>
      <c r="O22" s="59"/>
      <c r="P22" s="61">
        <v>0</v>
      </c>
      <c r="Q22" s="29"/>
      <c r="R22" s="239" t="s">
        <v>29</v>
      </c>
      <c r="S22" s="236"/>
      <c r="T22" s="235">
        <f t="shared" si="0"/>
        <v>0</v>
      </c>
      <c r="U22" s="236"/>
      <c r="V22" s="62" t="e">
        <f t="shared" si="1"/>
        <v>#DIV/0!</v>
      </c>
      <c r="W22" s="30"/>
      <c r="X22" s="2"/>
      <c r="Y22" s="2"/>
      <c r="Z22" s="2"/>
      <c r="AA22" s="2"/>
      <c r="AB22" s="2"/>
      <c r="AC22" s="2"/>
      <c r="AD22" s="2"/>
    </row>
    <row r="23" spans="1:30" ht="15.75" customHeight="1" x14ac:dyDescent="0.25">
      <c r="A23" s="2"/>
      <c r="B23" s="2"/>
      <c r="C23" s="11"/>
      <c r="D23" s="242" t="s">
        <v>15</v>
      </c>
      <c r="E23" s="209"/>
      <c r="F23" s="209"/>
      <c r="G23" s="209"/>
      <c r="H23" s="129"/>
      <c r="I23" s="29"/>
      <c r="J23" s="63"/>
      <c r="K23" s="3"/>
      <c r="L23" s="3"/>
      <c r="M23" s="3"/>
      <c r="N23" s="3"/>
      <c r="O23" s="3"/>
      <c r="P23" s="64">
        <v>0</v>
      </c>
      <c r="Q23" s="29"/>
      <c r="R23" s="231" t="s">
        <v>30</v>
      </c>
      <c r="S23" s="232"/>
      <c r="T23" s="233">
        <f t="shared" si="0"/>
        <v>0</v>
      </c>
      <c r="U23" s="232"/>
      <c r="V23" s="57" t="e">
        <f t="shared" si="1"/>
        <v>#DIV/0!</v>
      </c>
      <c r="W23" s="30"/>
      <c r="X23" s="2"/>
      <c r="Y23" s="2"/>
      <c r="Z23" s="2"/>
      <c r="AA23" s="2"/>
      <c r="AB23" s="2"/>
      <c r="AC23" s="2"/>
      <c r="AD23" s="2"/>
    </row>
    <row r="24" spans="1:30" ht="15.75" customHeight="1" x14ac:dyDescent="0.25">
      <c r="A24" s="2"/>
      <c r="B24" s="2"/>
      <c r="C24" s="11"/>
      <c r="D24" s="130"/>
      <c r="E24" s="200"/>
      <c r="F24" s="200"/>
      <c r="G24" s="200"/>
      <c r="H24" s="131"/>
      <c r="I24" s="29"/>
      <c r="J24" s="66"/>
      <c r="K24" s="59"/>
      <c r="L24" s="59"/>
      <c r="M24" s="59"/>
      <c r="N24" s="59"/>
      <c r="O24" s="59"/>
      <c r="P24" s="61">
        <v>0</v>
      </c>
      <c r="Q24" s="29"/>
      <c r="R24" s="239" t="s">
        <v>31</v>
      </c>
      <c r="S24" s="236"/>
      <c r="T24" s="235">
        <f t="shared" si="0"/>
        <v>0</v>
      </c>
      <c r="U24" s="236"/>
      <c r="V24" s="62" t="e">
        <f t="shared" si="1"/>
        <v>#DIV/0!</v>
      </c>
      <c r="W24" s="30"/>
      <c r="X24" s="67"/>
      <c r="Y24" s="67"/>
      <c r="Z24" s="67"/>
      <c r="AA24" s="67"/>
      <c r="AB24" s="2"/>
      <c r="AC24" s="2"/>
      <c r="AD24" s="2"/>
    </row>
    <row r="25" spans="1:30" ht="15.75" customHeight="1" x14ac:dyDescent="0.25">
      <c r="A25" s="2"/>
      <c r="B25" s="2"/>
      <c r="C25" s="11"/>
      <c r="D25" s="275" t="s">
        <v>62</v>
      </c>
      <c r="E25" s="224"/>
      <c r="F25" s="119"/>
      <c r="G25" s="68" t="s">
        <v>75</v>
      </c>
      <c r="H25" s="69" t="s">
        <v>76</v>
      </c>
      <c r="I25" s="29"/>
      <c r="J25" s="63"/>
      <c r="K25" s="3"/>
      <c r="L25" s="3"/>
      <c r="M25" s="3"/>
      <c r="N25" s="3"/>
      <c r="O25" s="3"/>
      <c r="P25" s="64">
        <v>0</v>
      </c>
      <c r="Q25" s="29"/>
      <c r="R25" s="231" t="s">
        <v>32</v>
      </c>
      <c r="S25" s="232"/>
      <c r="T25" s="233">
        <f t="shared" si="0"/>
        <v>0</v>
      </c>
      <c r="U25" s="232"/>
      <c r="V25" s="57" t="e">
        <f t="shared" si="1"/>
        <v>#DIV/0!</v>
      </c>
      <c r="W25" s="2"/>
      <c r="X25" s="2"/>
      <c r="Y25" s="2"/>
      <c r="Z25" s="2"/>
      <c r="AA25" s="2"/>
      <c r="AB25" s="2"/>
      <c r="AC25" s="2"/>
      <c r="AD25" s="2"/>
    </row>
    <row r="26" spans="1:30" ht="15.75" customHeight="1" x14ac:dyDescent="0.25">
      <c r="A26" s="2"/>
      <c r="B26" s="2"/>
      <c r="C26" s="11"/>
      <c r="D26" s="276"/>
      <c r="E26" s="277"/>
      <c r="F26" s="142"/>
      <c r="G26" s="70"/>
      <c r="H26" s="71"/>
      <c r="I26" s="29"/>
      <c r="J26" s="66"/>
      <c r="K26" s="59"/>
      <c r="L26" s="59"/>
      <c r="M26" s="59"/>
      <c r="N26" s="59"/>
      <c r="O26" s="59"/>
      <c r="P26" s="61">
        <v>0</v>
      </c>
      <c r="Q26" s="29"/>
      <c r="R26" s="239" t="s">
        <v>33</v>
      </c>
      <c r="S26" s="236"/>
      <c r="T26" s="235">
        <f t="shared" si="0"/>
        <v>0</v>
      </c>
      <c r="U26" s="236"/>
      <c r="V26" s="62" t="e">
        <f t="shared" si="1"/>
        <v>#DIV/0!</v>
      </c>
      <c r="W26" s="29"/>
      <c r="X26" s="278" t="s">
        <v>77</v>
      </c>
      <c r="Y26" s="224"/>
      <c r="Z26" s="224"/>
      <c r="AA26" s="119"/>
      <c r="AB26" s="30"/>
      <c r="AC26" s="2"/>
      <c r="AD26" s="2"/>
    </row>
    <row r="27" spans="1:30" x14ac:dyDescent="0.3">
      <c r="A27" s="2"/>
      <c r="B27" s="2"/>
      <c r="C27" s="11"/>
      <c r="D27" s="279"/>
      <c r="E27" s="245"/>
      <c r="F27" s="280"/>
      <c r="G27" s="72"/>
      <c r="H27" s="73"/>
      <c r="I27" s="29"/>
      <c r="J27" s="63"/>
      <c r="K27" s="3"/>
      <c r="L27" s="3"/>
      <c r="M27" s="3"/>
      <c r="N27" s="3"/>
      <c r="O27" s="3"/>
      <c r="P27" s="64">
        <v>0</v>
      </c>
      <c r="Q27" s="29"/>
      <c r="R27" s="231" t="s">
        <v>34</v>
      </c>
      <c r="S27" s="232"/>
      <c r="T27" s="233">
        <f t="shared" si="0"/>
        <v>0</v>
      </c>
      <c r="U27" s="232"/>
      <c r="V27" s="57" t="e">
        <f t="shared" si="1"/>
        <v>#DIV/0!</v>
      </c>
      <c r="W27" s="29"/>
      <c r="X27" s="270" t="s">
        <v>78</v>
      </c>
      <c r="Y27" s="119"/>
      <c r="Z27" s="74">
        <f>SUMIF(M59:N119,"Tarjeta de débito",O59:P119)+SUMIF(N15:N39,"Tarjeta de débito",M15:M39)</f>
        <v>0</v>
      </c>
      <c r="AA27" s="75" t="e">
        <f t="shared" ref="AA27:AA30" si="3">Z27*1/$U$8</f>
        <v>#DIV/0!</v>
      </c>
      <c r="AB27" s="30"/>
      <c r="AC27" s="2"/>
      <c r="AD27" s="2"/>
    </row>
    <row r="28" spans="1:30" x14ac:dyDescent="0.3">
      <c r="A28" s="2"/>
      <c r="B28" s="2"/>
      <c r="C28" s="11"/>
      <c r="D28" s="286"/>
      <c r="E28" s="245"/>
      <c r="F28" s="236"/>
      <c r="G28" s="76"/>
      <c r="H28" s="77"/>
      <c r="I28" s="29"/>
      <c r="J28" s="66"/>
      <c r="K28" s="59"/>
      <c r="L28" s="59"/>
      <c r="M28" s="59"/>
      <c r="N28" s="59"/>
      <c r="O28" s="59"/>
      <c r="P28" s="61">
        <v>0</v>
      </c>
      <c r="Q28" s="29"/>
      <c r="R28" s="78" t="s">
        <v>35</v>
      </c>
      <c r="S28" s="79"/>
      <c r="T28" s="235">
        <f t="shared" si="0"/>
        <v>0</v>
      </c>
      <c r="U28" s="236"/>
      <c r="V28" s="62" t="e">
        <f t="shared" si="1"/>
        <v>#DIV/0!</v>
      </c>
      <c r="W28" s="29"/>
      <c r="X28" s="281" t="s">
        <v>31</v>
      </c>
      <c r="Y28" s="119"/>
      <c r="Z28" s="80">
        <f>SUMIF(M59:N119,"Tarjeta de crédito",O59:P119)+SUMIF(N15:N39,"Tarjeta de crédito",M15:M39)</f>
        <v>0</v>
      </c>
      <c r="AA28" s="75" t="e">
        <f t="shared" si="3"/>
        <v>#DIV/0!</v>
      </c>
      <c r="AB28" s="30"/>
      <c r="AC28" s="2"/>
      <c r="AD28" s="2"/>
    </row>
    <row r="29" spans="1:30" x14ac:dyDescent="0.3">
      <c r="A29" s="2"/>
      <c r="B29" s="2"/>
      <c r="C29" s="11"/>
      <c r="D29" s="279"/>
      <c r="E29" s="245"/>
      <c r="F29" s="280"/>
      <c r="G29" s="72"/>
      <c r="H29" s="73"/>
      <c r="I29" s="29"/>
      <c r="J29" s="63"/>
      <c r="K29" s="3"/>
      <c r="L29" s="3"/>
      <c r="M29" s="3"/>
      <c r="N29" s="3"/>
      <c r="O29" s="3"/>
      <c r="P29" s="64">
        <v>0</v>
      </c>
      <c r="Q29" s="29"/>
      <c r="R29" s="231" t="s">
        <v>79</v>
      </c>
      <c r="S29" s="232"/>
      <c r="T29" s="233">
        <f t="shared" si="0"/>
        <v>0</v>
      </c>
      <c r="U29" s="232"/>
      <c r="V29" s="57" t="e">
        <f t="shared" si="1"/>
        <v>#DIV/0!</v>
      </c>
      <c r="W29" s="29"/>
      <c r="X29" s="282" t="s">
        <v>80</v>
      </c>
      <c r="Y29" s="119"/>
      <c r="Z29" s="80">
        <f>SUMIF(M59:N119,"Efectivo",O59:P119)+SUMIF(N15:N39,"Efectivo",M15:M39)</f>
        <v>0</v>
      </c>
      <c r="AA29" s="75" t="e">
        <f t="shared" si="3"/>
        <v>#DIV/0!</v>
      </c>
      <c r="AB29" s="30"/>
      <c r="AC29" s="2"/>
      <c r="AD29" s="2"/>
    </row>
    <row r="30" spans="1:30" x14ac:dyDescent="0.3">
      <c r="A30" s="2"/>
      <c r="B30" s="2"/>
      <c r="C30" s="11"/>
      <c r="D30" s="286"/>
      <c r="E30" s="245"/>
      <c r="F30" s="236"/>
      <c r="G30" s="76"/>
      <c r="H30" s="77"/>
      <c r="I30" s="29"/>
      <c r="J30" s="66"/>
      <c r="K30" s="59"/>
      <c r="L30" s="59"/>
      <c r="M30" s="59"/>
      <c r="N30" s="59"/>
      <c r="O30" s="59"/>
      <c r="P30" s="61">
        <v>0</v>
      </c>
      <c r="Q30" s="29"/>
      <c r="R30" s="78" t="s">
        <v>37</v>
      </c>
      <c r="S30" s="79"/>
      <c r="T30" s="235">
        <f t="shared" si="0"/>
        <v>0</v>
      </c>
      <c r="U30" s="236"/>
      <c r="V30" s="62" t="e">
        <f t="shared" si="1"/>
        <v>#DIV/0!</v>
      </c>
      <c r="W30" s="29"/>
      <c r="X30" s="283" t="s">
        <v>72</v>
      </c>
      <c r="Y30" s="119"/>
      <c r="Z30" s="74">
        <f>SUMIF(M59:N119,"Transferencia",O59:P119)+SUMIF(N15:N39,"Transferencia",M15:M39)</f>
        <v>0</v>
      </c>
      <c r="AA30" s="75" t="e">
        <f t="shared" si="3"/>
        <v>#DIV/0!</v>
      </c>
      <c r="AB30" s="30"/>
      <c r="AC30" s="2"/>
      <c r="AD30" s="2"/>
    </row>
    <row r="31" spans="1:30" ht="15.75" customHeight="1" x14ac:dyDescent="0.25">
      <c r="A31" s="2"/>
      <c r="B31" s="2"/>
      <c r="C31" s="11"/>
      <c r="D31" s="279"/>
      <c r="E31" s="245"/>
      <c r="F31" s="280"/>
      <c r="G31" s="72"/>
      <c r="H31" s="73"/>
      <c r="I31" s="29"/>
      <c r="J31" s="63"/>
      <c r="K31" s="3"/>
      <c r="L31" s="3"/>
      <c r="M31" s="3"/>
      <c r="N31" s="3"/>
      <c r="O31" s="3"/>
      <c r="P31" s="64">
        <v>0</v>
      </c>
      <c r="Q31" s="29"/>
      <c r="R31" s="231" t="s">
        <v>38</v>
      </c>
      <c r="S31" s="232"/>
      <c r="T31" s="233">
        <f t="shared" si="0"/>
        <v>0</v>
      </c>
      <c r="U31" s="232"/>
      <c r="V31" s="57" t="e">
        <f t="shared" si="1"/>
        <v>#DIV/0!</v>
      </c>
      <c r="W31" s="2"/>
      <c r="X31" s="28"/>
      <c r="Y31" s="28"/>
      <c r="Z31" s="28"/>
      <c r="AA31" s="28"/>
      <c r="AB31" s="2"/>
      <c r="AC31" s="2"/>
      <c r="AD31" s="2"/>
    </row>
    <row r="32" spans="1:30" ht="15.75" customHeight="1" x14ac:dyDescent="0.25">
      <c r="A32" s="2"/>
      <c r="B32" s="2"/>
      <c r="C32" s="11"/>
      <c r="D32" s="286"/>
      <c r="E32" s="245"/>
      <c r="F32" s="236"/>
      <c r="G32" s="76"/>
      <c r="H32" s="77"/>
      <c r="I32" s="29"/>
      <c r="J32" s="81"/>
      <c r="K32" s="82"/>
      <c r="L32" s="82"/>
      <c r="M32" s="82"/>
      <c r="N32" s="82"/>
      <c r="O32" s="82"/>
      <c r="P32" s="83">
        <v>0</v>
      </c>
      <c r="Q32" s="29"/>
      <c r="R32" s="78" t="s">
        <v>39</v>
      </c>
      <c r="S32" s="79"/>
      <c r="T32" s="235">
        <f t="shared" si="0"/>
        <v>0</v>
      </c>
      <c r="U32" s="236"/>
      <c r="V32" s="62" t="e">
        <f t="shared" si="1"/>
        <v>#DIV/0!</v>
      </c>
      <c r="W32" s="29"/>
      <c r="X32" s="284" t="s">
        <v>81</v>
      </c>
      <c r="Y32" s="209"/>
      <c r="Z32" s="209"/>
      <c r="AA32" s="129"/>
      <c r="AB32" s="30"/>
      <c r="AC32" s="2"/>
      <c r="AD32" s="2"/>
    </row>
    <row r="33" spans="1:30" ht="15.75" customHeight="1" x14ac:dyDescent="0.25">
      <c r="A33" s="2"/>
      <c r="B33" s="2"/>
      <c r="C33" s="11"/>
      <c r="D33" s="279"/>
      <c r="E33" s="245"/>
      <c r="F33" s="280"/>
      <c r="G33" s="72"/>
      <c r="H33" s="73"/>
      <c r="I33" s="29"/>
      <c r="J33" s="84"/>
      <c r="K33" s="85"/>
      <c r="L33" s="85"/>
      <c r="M33" s="85"/>
      <c r="N33" s="85"/>
      <c r="O33" s="85"/>
      <c r="P33" s="86">
        <v>0</v>
      </c>
      <c r="Q33" s="29"/>
      <c r="R33" s="231" t="s">
        <v>40</v>
      </c>
      <c r="S33" s="232"/>
      <c r="T33" s="233">
        <f t="shared" si="0"/>
        <v>0</v>
      </c>
      <c r="U33" s="232"/>
      <c r="V33" s="57" t="e">
        <f t="shared" si="1"/>
        <v>#DIV/0!</v>
      </c>
      <c r="W33" s="29"/>
      <c r="X33" s="130"/>
      <c r="Y33" s="200"/>
      <c r="Z33" s="200"/>
      <c r="AA33" s="131"/>
      <c r="AB33" s="30"/>
      <c r="AC33" s="2"/>
      <c r="AD33" s="2"/>
    </row>
    <row r="34" spans="1:30" x14ac:dyDescent="0.3">
      <c r="A34" s="2"/>
      <c r="B34" s="2"/>
      <c r="C34" s="11"/>
      <c r="D34" s="287"/>
      <c r="E34" s="245"/>
      <c r="F34" s="236"/>
      <c r="G34" s="87"/>
      <c r="H34" s="88"/>
      <c r="I34" s="29"/>
      <c r="J34" s="81"/>
      <c r="K34" s="82"/>
      <c r="L34" s="82"/>
      <c r="M34" s="82"/>
      <c r="N34" s="82"/>
      <c r="O34" s="82"/>
      <c r="P34" s="83">
        <v>0</v>
      </c>
      <c r="Q34" s="29"/>
      <c r="R34" s="78" t="s">
        <v>41</v>
      </c>
      <c r="S34" s="79"/>
      <c r="T34" s="235">
        <f t="shared" si="0"/>
        <v>0</v>
      </c>
      <c r="U34" s="236"/>
      <c r="V34" s="62" t="e">
        <f t="shared" si="1"/>
        <v>#DIV/0!</v>
      </c>
      <c r="W34" s="29"/>
      <c r="X34" s="285" t="s">
        <v>82</v>
      </c>
      <c r="Y34" s="224"/>
      <c r="Z34" s="224"/>
      <c r="AA34" s="119"/>
      <c r="AB34" s="30"/>
      <c r="AC34" s="2"/>
      <c r="AD34" s="2"/>
    </row>
    <row r="35" spans="1:30" ht="15.75" customHeight="1" x14ac:dyDescent="0.25">
      <c r="A35" s="2"/>
      <c r="B35" s="2"/>
      <c r="C35" s="11"/>
      <c r="D35" s="304"/>
      <c r="E35" s="194"/>
      <c r="F35" s="305"/>
      <c r="G35" s="89"/>
      <c r="H35" s="90"/>
      <c r="I35" s="29"/>
      <c r="J35" s="84"/>
      <c r="K35" s="85"/>
      <c r="L35" s="85"/>
      <c r="M35" s="85"/>
      <c r="N35" s="85"/>
      <c r="O35" s="85"/>
      <c r="P35" s="86">
        <v>0</v>
      </c>
      <c r="Q35" s="29"/>
      <c r="R35" s="231" t="s">
        <v>42</v>
      </c>
      <c r="S35" s="232"/>
      <c r="T35" s="233">
        <f t="shared" si="0"/>
        <v>0</v>
      </c>
      <c r="U35" s="232"/>
      <c r="V35" s="57" t="e">
        <f t="shared" si="1"/>
        <v>#DIV/0!</v>
      </c>
      <c r="W35" s="29"/>
      <c r="X35" s="294" t="s">
        <v>83</v>
      </c>
      <c r="Y35" s="295"/>
      <c r="Z35" s="296">
        <f>W8</f>
        <v>0</v>
      </c>
      <c r="AA35" s="258"/>
      <c r="AB35" s="30"/>
      <c r="AC35" s="2"/>
      <c r="AD35" s="2"/>
    </row>
    <row r="36" spans="1:30" x14ac:dyDescent="0.3">
      <c r="A36" s="2"/>
      <c r="B36" s="2"/>
      <c r="C36" s="11"/>
      <c r="D36" s="306" t="s">
        <v>84</v>
      </c>
      <c r="E36" s="129"/>
      <c r="F36" s="307" t="s">
        <v>85</v>
      </c>
      <c r="G36" s="308"/>
      <c r="H36" s="91">
        <f>SUM(G26:G35)</f>
        <v>0</v>
      </c>
      <c r="I36" s="29"/>
      <c r="J36" s="81"/>
      <c r="K36" s="82"/>
      <c r="L36" s="82"/>
      <c r="M36" s="82"/>
      <c r="N36" s="82"/>
      <c r="O36" s="82"/>
      <c r="P36" s="83">
        <v>0</v>
      </c>
      <c r="Q36" s="29"/>
      <c r="R36" s="78" t="s">
        <v>43</v>
      </c>
      <c r="S36" s="79"/>
      <c r="T36" s="235">
        <f t="shared" si="0"/>
        <v>0</v>
      </c>
      <c r="U36" s="236"/>
      <c r="V36" s="62" t="e">
        <f t="shared" si="1"/>
        <v>#DIV/0!</v>
      </c>
      <c r="W36" s="29"/>
      <c r="X36" s="285" t="s">
        <v>86</v>
      </c>
      <c r="Y36" s="224"/>
      <c r="Z36" s="224"/>
      <c r="AA36" s="119"/>
      <c r="AB36" s="30"/>
      <c r="AC36" s="2"/>
      <c r="AD36" s="2"/>
    </row>
    <row r="37" spans="1:30" ht="13" x14ac:dyDescent="0.3">
      <c r="A37" s="2"/>
      <c r="B37" s="2"/>
      <c r="C37" s="11"/>
      <c r="D37" s="130"/>
      <c r="E37" s="131"/>
      <c r="F37" s="309" t="s">
        <v>87</v>
      </c>
      <c r="G37" s="310"/>
      <c r="H37" s="92">
        <f>SUM(H26:H35)</f>
        <v>0</v>
      </c>
      <c r="I37" s="29"/>
      <c r="J37" s="84"/>
      <c r="K37" s="85"/>
      <c r="L37" s="85"/>
      <c r="M37" s="85"/>
      <c r="N37" s="85"/>
      <c r="O37" s="85"/>
      <c r="P37" s="86">
        <v>0</v>
      </c>
      <c r="Q37" s="29"/>
      <c r="R37" s="231" t="s">
        <v>88</v>
      </c>
      <c r="S37" s="232"/>
      <c r="T37" s="233">
        <f t="shared" si="0"/>
        <v>0</v>
      </c>
      <c r="U37" s="232"/>
      <c r="V37" s="57" t="e">
        <f t="shared" si="1"/>
        <v>#DIV/0!</v>
      </c>
      <c r="W37" s="29"/>
      <c r="X37" s="297" t="s">
        <v>89</v>
      </c>
      <c r="Y37" s="298"/>
      <c r="Z37" s="299"/>
      <c r="AA37" s="300"/>
      <c r="AB37" s="30"/>
      <c r="AC37" s="2"/>
      <c r="AD37" s="2"/>
    </row>
    <row r="38" spans="1:30" ht="12.5" x14ac:dyDescent="0.25">
      <c r="A38" s="2"/>
      <c r="B38" s="2"/>
      <c r="C38" s="2"/>
      <c r="D38" s="36"/>
      <c r="E38" s="36"/>
      <c r="F38" s="36"/>
      <c r="G38" s="36"/>
      <c r="H38" s="36"/>
      <c r="I38" s="11"/>
      <c r="J38" s="81"/>
      <c r="K38" s="82"/>
      <c r="L38" s="82"/>
      <c r="M38" s="82"/>
      <c r="N38" s="82"/>
      <c r="O38" s="82"/>
      <c r="P38" s="83">
        <v>0</v>
      </c>
      <c r="Q38" s="29"/>
      <c r="R38" s="93"/>
      <c r="S38" s="2"/>
      <c r="T38" s="2"/>
      <c r="U38" s="2"/>
      <c r="V38" s="94"/>
      <c r="W38" s="29"/>
      <c r="X38" s="301" t="s">
        <v>80</v>
      </c>
      <c r="Y38" s="302"/>
      <c r="Z38" s="288"/>
      <c r="AA38" s="289"/>
      <c r="AB38" s="30"/>
      <c r="AC38" s="2"/>
      <c r="AD38" s="2"/>
    </row>
    <row r="39" spans="1:30" ht="13" x14ac:dyDescent="0.25">
      <c r="A39" s="2"/>
      <c r="B39" s="2"/>
      <c r="C39" s="11"/>
      <c r="D39" s="311" t="s">
        <v>90</v>
      </c>
      <c r="E39" s="209"/>
      <c r="F39" s="209"/>
      <c r="G39" s="312"/>
      <c r="H39" s="129"/>
      <c r="I39" s="29"/>
      <c r="J39" s="84"/>
      <c r="K39" s="85"/>
      <c r="L39" s="85"/>
      <c r="M39" s="85"/>
      <c r="N39" s="85"/>
      <c r="O39" s="85"/>
      <c r="P39" s="86">
        <v>0</v>
      </c>
      <c r="Q39" s="29"/>
      <c r="R39" s="271"/>
      <c r="S39" s="232"/>
      <c r="T39" s="274"/>
      <c r="U39" s="232"/>
      <c r="V39" s="95"/>
      <c r="W39" s="29"/>
      <c r="X39" s="303" t="s">
        <v>91</v>
      </c>
      <c r="Y39" s="129"/>
      <c r="Z39" s="290">
        <f>(Z38+Z37)-Z35</f>
        <v>0</v>
      </c>
      <c r="AA39" s="119"/>
      <c r="AB39" s="30"/>
      <c r="AC39" s="2"/>
      <c r="AD39" s="2"/>
    </row>
    <row r="40" spans="1:30" ht="13" x14ac:dyDescent="0.3">
      <c r="A40" s="2"/>
      <c r="B40" s="2"/>
      <c r="C40" s="11"/>
      <c r="D40" s="130"/>
      <c r="E40" s="200"/>
      <c r="F40" s="200"/>
      <c r="G40" s="130"/>
      <c r="H40" s="131"/>
      <c r="I40" s="29"/>
      <c r="J40" s="96" t="s">
        <v>14</v>
      </c>
      <c r="K40" s="97"/>
      <c r="L40" s="97">
        <f t="shared" ref="L40:M40" si="4">SUM(L15:L39)</f>
        <v>0</v>
      </c>
      <c r="M40" s="97">
        <f t="shared" si="4"/>
        <v>0</v>
      </c>
      <c r="N40" s="97"/>
      <c r="O40" s="97"/>
      <c r="P40" s="98"/>
      <c r="Q40" s="29"/>
      <c r="R40" s="272" t="s">
        <v>14</v>
      </c>
      <c r="S40" s="273"/>
      <c r="T40" s="291">
        <f>SUM(T15:U39)</f>
        <v>0</v>
      </c>
      <c r="U40" s="224"/>
      <c r="V40" s="119"/>
      <c r="W40" s="29"/>
      <c r="X40" s="130"/>
      <c r="Y40" s="131"/>
      <c r="Z40" s="290" t="str">
        <f>IF(Z39&lt;0,"Te falta dinero o anotar algo", "Te sobra dinero o anotar algo")</f>
        <v>Te sobra dinero o anotar algo</v>
      </c>
      <c r="AA40" s="119"/>
      <c r="AB40" s="30"/>
      <c r="AC40" s="2"/>
      <c r="AD40" s="2"/>
    </row>
    <row r="41" spans="1:30" ht="12.5" x14ac:dyDescent="0.25">
      <c r="A41" s="2"/>
      <c r="B41" s="2"/>
      <c r="C41" s="2"/>
      <c r="D41" s="35"/>
      <c r="E41" s="35"/>
      <c r="F41" s="35"/>
      <c r="G41" s="35"/>
      <c r="H41" s="35"/>
      <c r="I41" s="2"/>
      <c r="J41" s="99"/>
      <c r="K41" s="99"/>
      <c r="L41" s="99"/>
      <c r="M41" s="99"/>
      <c r="N41" s="99"/>
      <c r="O41" s="99"/>
      <c r="P41" s="99"/>
      <c r="Q41" s="28"/>
      <c r="R41" s="36"/>
      <c r="S41" s="36"/>
      <c r="T41" s="36"/>
      <c r="U41" s="36"/>
      <c r="V41" s="36"/>
      <c r="W41" s="2"/>
      <c r="X41" s="35"/>
      <c r="Y41" s="35"/>
      <c r="Z41" s="35"/>
      <c r="AA41" s="35"/>
      <c r="AB41" s="2"/>
      <c r="AC41" s="2"/>
      <c r="AD41" s="2"/>
    </row>
    <row r="42" spans="1:30" ht="13" x14ac:dyDescent="0.3">
      <c r="A42" s="2"/>
      <c r="B42" s="2"/>
      <c r="C42" s="2"/>
      <c r="D42" s="313" t="s">
        <v>92</v>
      </c>
      <c r="E42" s="209"/>
      <c r="F42" s="209"/>
      <c r="G42" s="209"/>
      <c r="H42" s="129"/>
      <c r="I42" s="11"/>
      <c r="J42" s="292" t="s">
        <v>93</v>
      </c>
      <c r="K42" s="224"/>
      <c r="L42" s="224"/>
      <c r="M42" s="224"/>
      <c r="N42" s="224"/>
      <c r="O42" s="224"/>
      <c r="P42" s="224"/>
      <c r="Q42" s="224"/>
      <c r="R42" s="224"/>
      <c r="S42" s="100">
        <f>M40+O120</f>
        <v>0</v>
      </c>
      <c r="T42" s="293"/>
      <c r="U42" s="224"/>
      <c r="V42" s="119"/>
      <c r="W42" s="30"/>
      <c r="X42" s="2"/>
      <c r="Y42" s="2"/>
      <c r="Z42" s="2"/>
      <c r="AA42" s="2"/>
      <c r="AB42" s="2"/>
      <c r="AC42" s="2"/>
      <c r="AD42" s="2"/>
    </row>
    <row r="43" spans="1:30" ht="12.5" x14ac:dyDescent="0.25">
      <c r="A43" s="2"/>
      <c r="B43" s="2"/>
      <c r="C43" s="2"/>
      <c r="D43" s="130"/>
      <c r="E43" s="200"/>
      <c r="F43" s="200"/>
      <c r="G43" s="200"/>
      <c r="H43" s="131"/>
      <c r="I43" s="2"/>
      <c r="J43" s="4"/>
      <c r="K43" s="4"/>
      <c r="L43" s="4"/>
      <c r="M43" s="4"/>
      <c r="N43" s="4"/>
      <c r="O43" s="4"/>
      <c r="P43" s="4"/>
      <c r="Q43" s="35"/>
      <c r="R43" s="35"/>
      <c r="S43" s="35"/>
      <c r="T43" s="35"/>
      <c r="U43" s="35"/>
      <c r="V43" s="35"/>
      <c r="W43" s="2"/>
      <c r="X43" s="2"/>
      <c r="Y43" s="2"/>
      <c r="Z43" s="2"/>
      <c r="AA43" s="2"/>
      <c r="AB43" s="2"/>
      <c r="AC43" s="2"/>
      <c r="AD43" s="2"/>
    </row>
    <row r="44" spans="1:30" ht="13" x14ac:dyDescent="0.25">
      <c r="A44" s="2"/>
      <c r="B44" s="2"/>
      <c r="C44" s="2"/>
      <c r="D44" s="324" t="s">
        <v>62</v>
      </c>
      <c r="E44" s="224"/>
      <c r="F44" s="325"/>
      <c r="G44" s="101" t="s">
        <v>94</v>
      </c>
      <c r="H44" s="102" t="s">
        <v>95</v>
      </c>
      <c r="I44" s="2"/>
      <c r="J44" s="3"/>
      <c r="K44" s="3"/>
      <c r="L44" s="3"/>
      <c r="M44" s="3"/>
      <c r="N44" s="3"/>
      <c r="O44" s="3"/>
      <c r="P44" s="3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2.5" x14ac:dyDescent="0.25">
      <c r="A45" s="2"/>
      <c r="B45" s="2"/>
      <c r="C45" s="11"/>
      <c r="D45" s="326"/>
      <c r="E45" s="327"/>
      <c r="F45" s="230"/>
      <c r="G45" s="103"/>
      <c r="H45" s="104"/>
      <c r="I45" s="30"/>
      <c r="J45" s="3"/>
      <c r="K45" s="3"/>
      <c r="L45" s="3"/>
      <c r="M45" s="3"/>
      <c r="N45" s="3"/>
      <c r="O45" s="3"/>
      <c r="P45" s="3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2.5" x14ac:dyDescent="0.25">
      <c r="A46" s="2"/>
      <c r="B46" s="2"/>
      <c r="C46" s="11"/>
      <c r="D46" s="328"/>
      <c r="E46" s="245"/>
      <c r="F46" s="329"/>
      <c r="G46" s="105"/>
      <c r="H46" s="106"/>
      <c r="I46" s="30"/>
      <c r="J46" s="3"/>
      <c r="K46" s="3"/>
      <c r="L46" s="3"/>
      <c r="M46" s="3"/>
      <c r="N46" s="3"/>
      <c r="O46" s="3"/>
      <c r="P46" s="3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2.5" x14ac:dyDescent="0.25">
      <c r="A47" s="2"/>
      <c r="B47" s="2"/>
      <c r="C47" s="11"/>
      <c r="D47" s="330"/>
      <c r="E47" s="245"/>
      <c r="F47" s="236"/>
      <c r="G47" s="2"/>
      <c r="H47" s="94"/>
      <c r="I47" s="30"/>
      <c r="J47" s="3"/>
      <c r="K47" s="3"/>
      <c r="L47" s="3"/>
      <c r="M47" s="3"/>
      <c r="N47" s="3"/>
      <c r="O47" s="3"/>
      <c r="P47" s="3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2.5" x14ac:dyDescent="0.25">
      <c r="A48" s="2"/>
      <c r="B48" s="2"/>
      <c r="C48" s="11"/>
      <c r="D48" s="328"/>
      <c r="E48" s="245"/>
      <c r="F48" s="329"/>
      <c r="G48" s="105"/>
      <c r="H48" s="106"/>
      <c r="I48" s="30"/>
      <c r="J48" s="3"/>
      <c r="K48" s="3"/>
      <c r="L48" s="3"/>
      <c r="M48" s="3"/>
      <c r="N48" s="3"/>
      <c r="O48" s="3"/>
      <c r="P48" s="3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2.5" x14ac:dyDescent="0.25">
      <c r="A49" s="2"/>
      <c r="B49" s="2"/>
      <c r="C49" s="11"/>
      <c r="D49" s="330"/>
      <c r="E49" s="245"/>
      <c r="F49" s="236"/>
      <c r="G49" s="2"/>
      <c r="H49" s="94"/>
      <c r="I49" s="30"/>
      <c r="J49" s="3"/>
      <c r="K49" s="3"/>
      <c r="L49" s="3"/>
      <c r="M49" s="3"/>
      <c r="N49" s="3"/>
      <c r="O49" s="3"/>
      <c r="P49" s="3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2.5" x14ac:dyDescent="0.25">
      <c r="A50" s="2"/>
      <c r="B50" s="2"/>
      <c r="C50" s="11"/>
      <c r="D50" s="328"/>
      <c r="E50" s="245"/>
      <c r="F50" s="329"/>
      <c r="G50" s="105"/>
      <c r="H50" s="106"/>
      <c r="I50" s="30"/>
      <c r="J50" s="3"/>
      <c r="K50" s="3"/>
      <c r="L50" s="3"/>
      <c r="M50" s="3"/>
      <c r="N50" s="3"/>
      <c r="O50" s="3"/>
      <c r="P50" s="3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2.5" x14ac:dyDescent="0.25">
      <c r="A51" s="2"/>
      <c r="B51" s="2"/>
      <c r="C51" s="11"/>
      <c r="D51" s="331"/>
      <c r="E51" s="218"/>
      <c r="F51" s="219"/>
      <c r="G51" s="47"/>
      <c r="H51" s="107"/>
      <c r="I51" s="30"/>
      <c r="J51" s="3"/>
      <c r="K51" s="3"/>
      <c r="L51" s="3"/>
      <c r="M51" s="3"/>
      <c r="N51" s="3"/>
      <c r="O51" s="3"/>
      <c r="P51" s="3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3" x14ac:dyDescent="0.3">
      <c r="A52" s="2"/>
      <c r="B52" s="2"/>
      <c r="C52" s="11"/>
      <c r="D52" s="332" t="s">
        <v>96</v>
      </c>
      <c r="E52" s="224"/>
      <c r="F52" s="224"/>
      <c r="G52" s="325"/>
      <c r="H52" s="108">
        <f>SUMIF(G45:G51, "Ahorro", H45:H51)</f>
        <v>0</v>
      </c>
      <c r="I52" s="30"/>
      <c r="J52" s="3"/>
      <c r="K52" s="3"/>
      <c r="L52" s="3"/>
      <c r="M52" s="3"/>
      <c r="N52" s="3"/>
      <c r="O52" s="3"/>
      <c r="P52" s="3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3" x14ac:dyDescent="0.3">
      <c r="A53" s="2"/>
      <c r="B53" s="2"/>
      <c r="C53" s="11"/>
      <c r="D53" s="332" t="s">
        <v>97</v>
      </c>
      <c r="E53" s="224"/>
      <c r="F53" s="224"/>
      <c r="G53" s="325"/>
      <c r="H53" s="108">
        <f>SUMIF(G45:G51, "Inversión", H45:H51)</f>
        <v>0</v>
      </c>
      <c r="I53" s="30"/>
      <c r="J53" s="3"/>
      <c r="K53" s="3"/>
      <c r="L53" s="3"/>
      <c r="M53" s="3"/>
      <c r="N53" s="3"/>
      <c r="O53" s="3"/>
      <c r="P53" s="3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2.5" x14ac:dyDescent="0.25">
      <c r="A54" s="2"/>
      <c r="B54" s="2"/>
      <c r="C54" s="2"/>
      <c r="D54" s="35"/>
      <c r="E54" s="35"/>
      <c r="F54" s="35"/>
      <c r="G54" s="35"/>
      <c r="H54" s="35"/>
      <c r="I54" s="2"/>
      <c r="J54" s="3"/>
      <c r="K54" s="3"/>
      <c r="L54" s="3"/>
      <c r="M54" s="3"/>
      <c r="N54" s="3"/>
      <c r="O54" s="3"/>
      <c r="P54" s="3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2.5" x14ac:dyDescent="0.25">
      <c r="A55" s="2"/>
      <c r="B55" s="2"/>
      <c r="C55" s="2"/>
      <c r="D55" s="28"/>
      <c r="E55" s="28"/>
      <c r="F55" s="28"/>
      <c r="G55" s="28"/>
      <c r="H55" s="28"/>
      <c r="I55" s="28"/>
      <c r="J55" s="5"/>
      <c r="K55" s="5"/>
      <c r="L55" s="5"/>
      <c r="M55" s="5"/>
      <c r="N55" s="5"/>
      <c r="O55" s="5"/>
      <c r="P55" s="5"/>
      <c r="Q55" s="28"/>
      <c r="R55" s="28"/>
      <c r="S55" s="28"/>
      <c r="T55" s="28"/>
      <c r="U55" s="28"/>
      <c r="V55" s="28"/>
      <c r="W55" s="2"/>
      <c r="X55" s="2"/>
      <c r="Y55" s="2"/>
      <c r="Z55" s="2"/>
      <c r="AA55" s="2"/>
      <c r="AB55" s="2"/>
      <c r="AC55" s="2"/>
      <c r="AD55" s="2"/>
    </row>
    <row r="56" spans="1:30" ht="12.5" x14ac:dyDescent="0.25">
      <c r="A56" s="2"/>
      <c r="B56" s="2"/>
      <c r="C56" s="11"/>
      <c r="D56" s="208" t="s">
        <v>98</v>
      </c>
      <c r="E56" s="209"/>
      <c r="F56" s="209"/>
      <c r="G56" s="209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9"/>
      <c r="S56" s="209"/>
      <c r="T56" s="209"/>
      <c r="U56" s="209"/>
      <c r="V56" s="129"/>
      <c r="W56" s="30"/>
      <c r="X56" s="2"/>
      <c r="Y56" s="2"/>
      <c r="Z56" s="2"/>
      <c r="AA56" s="2"/>
      <c r="AB56" s="2"/>
      <c r="AC56" s="2"/>
      <c r="AD56" s="2"/>
    </row>
    <row r="57" spans="1:30" ht="12.5" x14ac:dyDescent="0.25">
      <c r="A57" s="2"/>
      <c r="B57" s="2"/>
      <c r="C57" s="11"/>
      <c r="D57" s="333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277"/>
      <c r="P57" s="277"/>
      <c r="Q57" s="277"/>
      <c r="R57" s="277"/>
      <c r="S57" s="277"/>
      <c r="T57" s="277"/>
      <c r="U57" s="277"/>
      <c r="V57" s="334"/>
      <c r="W57" s="30"/>
      <c r="X57" s="2"/>
      <c r="Y57" s="2"/>
      <c r="Z57" s="2"/>
      <c r="AA57" s="2"/>
      <c r="AB57" s="2"/>
      <c r="AC57" s="2"/>
      <c r="AD57" s="2"/>
    </row>
    <row r="58" spans="1:30" ht="13" x14ac:dyDescent="0.3">
      <c r="A58" s="2"/>
      <c r="B58" s="2"/>
      <c r="C58" s="11"/>
      <c r="D58" s="335" t="s">
        <v>62</v>
      </c>
      <c r="E58" s="224"/>
      <c r="F58" s="224"/>
      <c r="G58" s="224"/>
      <c r="H58" s="224"/>
      <c r="I58" s="119"/>
      <c r="J58" s="109" t="s">
        <v>99</v>
      </c>
      <c r="K58" s="319" t="s">
        <v>68</v>
      </c>
      <c r="L58" s="119"/>
      <c r="M58" s="319" t="s">
        <v>100</v>
      </c>
      <c r="N58" s="119"/>
      <c r="O58" s="319" t="s">
        <v>95</v>
      </c>
      <c r="P58" s="119"/>
      <c r="Q58" s="319" t="s">
        <v>101</v>
      </c>
      <c r="R58" s="224"/>
      <c r="S58" s="224"/>
      <c r="T58" s="224"/>
      <c r="U58" s="224"/>
      <c r="V58" s="119"/>
      <c r="W58" s="30"/>
      <c r="X58" s="2"/>
      <c r="Y58" s="2"/>
      <c r="Z58" s="2"/>
      <c r="AA58" s="2"/>
      <c r="AB58" s="2"/>
      <c r="AC58" s="2"/>
      <c r="AD58" s="2"/>
    </row>
    <row r="59" spans="1:30" ht="12.5" x14ac:dyDescent="0.25">
      <c r="A59" s="2"/>
      <c r="B59" s="2"/>
      <c r="C59" s="11"/>
      <c r="D59" s="336"/>
      <c r="E59" s="277"/>
      <c r="F59" s="277"/>
      <c r="G59" s="277"/>
      <c r="H59" s="277"/>
      <c r="I59" s="142"/>
      <c r="J59" s="4"/>
      <c r="K59" s="314"/>
      <c r="L59" s="142"/>
      <c r="M59" s="314"/>
      <c r="N59" s="142"/>
      <c r="O59" s="315"/>
      <c r="P59" s="142"/>
      <c r="Q59" s="247"/>
      <c r="R59" s="277"/>
      <c r="S59" s="277"/>
      <c r="T59" s="277"/>
      <c r="U59" s="277"/>
      <c r="V59" s="334"/>
      <c r="W59" s="30"/>
      <c r="X59" s="2"/>
      <c r="Y59" s="2"/>
      <c r="Z59" s="2"/>
      <c r="AA59" s="2"/>
      <c r="AB59" s="2"/>
      <c r="AC59" s="2"/>
      <c r="AD59" s="2"/>
    </row>
    <row r="60" spans="1:30" ht="12.5" x14ac:dyDescent="0.25">
      <c r="A60" s="2"/>
      <c r="B60" s="2"/>
      <c r="C60" s="11"/>
      <c r="D60" s="337"/>
      <c r="E60" s="277"/>
      <c r="F60" s="277"/>
      <c r="G60" s="277"/>
      <c r="H60" s="277"/>
      <c r="I60" s="338"/>
      <c r="J60" s="111"/>
      <c r="K60" s="316"/>
      <c r="L60" s="232"/>
      <c r="M60" s="316"/>
      <c r="N60" s="232"/>
      <c r="O60" s="317"/>
      <c r="P60" s="232"/>
      <c r="Q60" s="274"/>
      <c r="R60" s="245"/>
      <c r="S60" s="245"/>
      <c r="T60" s="245"/>
      <c r="U60" s="245"/>
      <c r="V60" s="246"/>
      <c r="W60" s="30"/>
      <c r="X60" s="2"/>
      <c r="Y60" s="2"/>
      <c r="Z60" s="2"/>
      <c r="AA60" s="2"/>
      <c r="AB60" s="2"/>
      <c r="AC60" s="2"/>
      <c r="AD60" s="2"/>
    </row>
    <row r="61" spans="1:30" ht="12.5" x14ac:dyDescent="0.25">
      <c r="A61" s="2"/>
      <c r="B61" s="2"/>
      <c r="C61" s="11"/>
      <c r="D61" s="336"/>
      <c r="E61" s="277"/>
      <c r="F61" s="277"/>
      <c r="G61" s="277"/>
      <c r="H61" s="277"/>
      <c r="I61" s="142"/>
      <c r="J61" s="3"/>
      <c r="K61" s="314"/>
      <c r="L61" s="142"/>
      <c r="M61" s="314"/>
      <c r="N61" s="142"/>
      <c r="O61" s="320"/>
      <c r="P61" s="236"/>
      <c r="Q61" s="318"/>
      <c r="R61" s="245"/>
      <c r="S61" s="245"/>
      <c r="T61" s="245"/>
      <c r="U61" s="245"/>
      <c r="V61" s="246"/>
      <c r="W61" s="30"/>
      <c r="X61" s="2"/>
      <c r="Y61" s="2"/>
      <c r="Z61" s="2"/>
      <c r="AA61" s="2"/>
      <c r="AB61" s="2"/>
      <c r="AC61" s="2"/>
      <c r="AD61" s="2"/>
    </row>
    <row r="62" spans="1:30" ht="12.5" x14ac:dyDescent="0.25">
      <c r="A62" s="2"/>
      <c r="B62" s="2"/>
      <c r="C62" s="11"/>
      <c r="D62" s="337"/>
      <c r="E62" s="277"/>
      <c r="F62" s="277"/>
      <c r="G62" s="277"/>
      <c r="H62" s="277"/>
      <c r="I62" s="338"/>
      <c r="J62" s="111"/>
      <c r="K62" s="316"/>
      <c r="L62" s="232"/>
      <c r="M62" s="316"/>
      <c r="N62" s="232"/>
      <c r="O62" s="317"/>
      <c r="P62" s="232"/>
      <c r="Q62" s="274"/>
      <c r="R62" s="245"/>
      <c r="S62" s="245"/>
      <c r="T62" s="245"/>
      <c r="U62" s="245"/>
      <c r="V62" s="246"/>
      <c r="W62" s="30"/>
      <c r="X62" s="2"/>
      <c r="Y62" s="2"/>
      <c r="Z62" s="2"/>
      <c r="AA62" s="2"/>
      <c r="AB62" s="2"/>
      <c r="AC62" s="2"/>
      <c r="AD62" s="2"/>
    </row>
    <row r="63" spans="1:30" ht="12.5" x14ac:dyDescent="0.25">
      <c r="A63" s="2"/>
      <c r="B63" s="2"/>
      <c r="C63" s="11"/>
      <c r="D63" s="336"/>
      <c r="E63" s="277"/>
      <c r="F63" s="277"/>
      <c r="G63" s="277"/>
      <c r="H63" s="277"/>
      <c r="I63" s="142"/>
      <c r="J63" s="3"/>
      <c r="K63" s="314"/>
      <c r="L63" s="142"/>
      <c r="M63" s="314"/>
      <c r="N63" s="142"/>
      <c r="O63" s="320"/>
      <c r="P63" s="236"/>
      <c r="Q63" s="318"/>
      <c r="R63" s="245"/>
      <c r="S63" s="245"/>
      <c r="T63" s="245"/>
      <c r="U63" s="245"/>
      <c r="V63" s="246"/>
      <c r="W63" s="30"/>
      <c r="X63" s="2"/>
      <c r="Y63" s="2"/>
      <c r="Z63" s="2"/>
      <c r="AA63" s="2"/>
      <c r="AB63" s="2"/>
      <c r="AC63" s="2"/>
      <c r="AD63" s="2"/>
    </row>
    <row r="64" spans="1:30" ht="14" x14ac:dyDescent="0.3">
      <c r="A64" s="2"/>
      <c r="B64" s="2"/>
      <c r="C64" s="11"/>
      <c r="D64" s="337"/>
      <c r="E64" s="277"/>
      <c r="F64" s="277"/>
      <c r="G64" s="277"/>
      <c r="H64" s="277"/>
      <c r="I64" s="338"/>
      <c r="J64" s="111"/>
      <c r="K64" s="316"/>
      <c r="L64" s="232"/>
      <c r="M64" s="316"/>
      <c r="N64" s="232"/>
      <c r="O64" s="321"/>
      <c r="P64" s="232"/>
      <c r="Q64" s="274"/>
      <c r="R64" s="245"/>
      <c r="S64" s="245"/>
      <c r="T64" s="245"/>
      <c r="U64" s="245"/>
      <c r="V64" s="246"/>
      <c r="W64" s="30"/>
      <c r="X64" s="2"/>
      <c r="Y64" s="2"/>
      <c r="Z64" s="2"/>
      <c r="AA64" s="2"/>
      <c r="AB64" s="2"/>
      <c r="AC64" s="2"/>
      <c r="AD64" s="2"/>
    </row>
    <row r="65" spans="1:30" ht="12.5" x14ac:dyDescent="0.25">
      <c r="A65" s="2"/>
      <c r="B65" s="2"/>
      <c r="C65" s="11"/>
      <c r="D65" s="93"/>
      <c r="E65" s="2"/>
      <c r="F65" s="2"/>
      <c r="G65" s="2"/>
      <c r="H65" s="2"/>
      <c r="I65" s="2"/>
      <c r="J65" s="3"/>
      <c r="K65" s="314"/>
      <c r="L65" s="142"/>
      <c r="M65" s="314"/>
      <c r="N65" s="142"/>
      <c r="O65" s="320"/>
      <c r="P65" s="236"/>
      <c r="Q65" s="318"/>
      <c r="R65" s="245"/>
      <c r="S65" s="245"/>
      <c r="T65" s="245"/>
      <c r="U65" s="245"/>
      <c r="V65" s="246"/>
      <c r="W65" s="30"/>
      <c r="X65" s="2"/>
      <c r="Y65" s="2"/>
      <c r="Z65" s="2"/>
      <c r="AA65" s="2"/>
      <c r="AB65" s="2"/>
      <c r="AC65" s="2"/>
      <c r="AD65" s="2"/>
    </row>
    <row r="66" spans="1:30" ht="12.5" x14ac:dyDescent="0.25">
      <c r="A66" s="2"/>
      <c r="B66" s="2"/>
      <c r="C66" s="11"/>
      <c r="D66" s="337"/>
      <c r="E66" s="277"/>
      <c r="F66" s="277"/>
      <c r="G66" s="277"/>
      <c r="H66" s="277"/>
      <c r="I66" s="338"/>
      <c r="J66" s="111"/>
      <c r="K66" s="316"/>
      <c r="L66" s="232"/>
      <c r="M66" s="316"/>
      <c r="N66" s="232"/>
      <c r="O66" s="317"/>
      <c r="P66" s="232"/>
      <c r="Q66" s="274"/>
      <c r="R66" s="245"/>
      <c r="S66" s="245"/>
      <c r="T66" s="245"/>
      <c r="U66" s="245"/>
      <c r="V66" s="246"/>
      <c r="W66" s="30"/>
      <c r="X66" s="2"/>
      <c r="Y66" s="2"/>
      <c r="Z66" s="2"/>
      <c r="AA66" s="2"/>
      <c r="AB66" s="2"/>
      <c r="AC66" s="2"/>
      <c r="AD66" s="2"/>
    </row>
    <row r="67" spans="1:30" ht="12.5" x14ac:dyDescent="0.25">
      <c r="A67" s="2"/>
      <c r="B67" s="2"/>
      <c r="C67" s="11"/>
      <c r="D67" s="93"/>
      <c r="E67" s="2"/>
      <c r="F67" s="2"/>
      <c r="G67" s="2"/>
      <c r="H67" s="2"/>
      <c r="I67" s="2"/>
      <c r="J67" s="3"/>
      <c r="K67" s="314"/>
      <c r="L67" s="142"/>
      <c r="M67" s="314"/>
      <c r="N67" s="142"/>
      <c r="O67" s="320"/>
      <c r="P67" s="236"/>
      <c r="Q67" s="318"/>
      <c r="R67" s="245"/>
      <c r="S67" s="245"/>
      <c r="T67" s="245"/>
      <c r="U67" s="245"/>
      <c r="V67" s="246"/>
      <c r="W67" s="30"/>
      <c r="X67" s="2"/>
      <c r="Y67" s="2"/>
      <c r="Z67" s="2"/>
      <c r="AA67" s="2"/>
      <c r="AB67" s="2"/>
      <c r="AC67" s="2"/>
      <c r="AD67" s="2"/>
    </row>
    <row r="68" spans="1:30" ht="12.5" x14ac:dyDescent="0.25">
      <c r="A68" s="2"/>
      <c r="B68" s="2"/>
      <c r="C68" s="11"/>
      <c r="D68" s="337"/>
      <c r="E68" s="277"/>
      <c r="F68" s="277"/>
      <c r="G68" s="277"/>
      <c r="H68" s="277"/>
      <c r="I68" s="338"/>
      <c r="J68" s="111"/>
      <c r="K68" s="316"/>
      <c r="L68" s="232"/>
      <c r="M68" s="316"/>
      <c r="N68" s="232"/>
      <c r="O68" s="317"/>
      <c r="P68" s="232"/>
      <c r="Q68" s="274"/>
      <c r="R68" s="245"/>
      <c r="S68" s="245"/>
      <c r="T68" s="245"/>
      <c r="U68" s="245"/>
      <c r="V68" s="246"/>
      <c r="W68" s="30"/>
      <c r="X68" s="2"/>
      <c r="Y68" s="2"/>
      <c r="Z68" s="2"/>
      <c r="AA68" s="2"/>
      <c r="AB68" s="2"/>
      <c r="AC68" s="2"/>
      <c r="AD68" s="2"/>
    </row>
    <row r="69" spans="1:30" ht="12.5" x14ac:dyDescent="0.25">
      <c r="A69" s="2"/>
      <c r="B69" s="2"/>
      <c r="C69" s="11"/>
      <c r="D69" s="93"/>
      <c r="E69" s="2"/>
      <c r="F69" s="2"/>
      <c r="G69" s="2"/>
      <c r="H69" s="2"/>
      <c r="I69" s="2"/>
      <c r="J69" s="3"/>
      <c r="K69" s="314"/>
      <c r="L69" s="142"/>
      <c r="M69" s="314"/>
      <c r="N69" s="142"/>
      <c r="O69" s="320"/>
      <c r="P69" s="236"/>
      <c r="Q69" s="318"/>
      <c r="R69" s="245"/>
      <c r="S69" s="245"/>
      <c r="T69" s="245"/>
      <c r="U69" s="245"/>
      <c r="V69" s="246"/>
      <c r="W69" s="30"/>
      <c r="X69" s="2"/>
      <c r="Y69" s="2"/>
      <c r="Z69" s="2"/>
      <c r="AA69" s="2"/>
      <c r="AB69" s="2"/>
      <c r="AC69" s="2"/>
      <c r="AD69" s="2"/>
    </row>
    <row r="70" spans="1:30" ht="12.5" x14ac:dyDescent="0.25">
      <c r="A70" s="2"/>
      <c r="B70" s="2"/>
      <c r="C70" s="11"/>
      <c r="D70" s="337"/>
      <c r="E70" s="277"/>
      <c r="F70" s="277"/>
      <c r="G70" s="277"/>
      <c r="H70" s="277"/>
      <c r="I70" s="338"/>
      <c r="J70" s="111"/>
      <c r="K70" s="316"/>
      <c r="L70" s="232"/>
      <c r="M70" s="316"/>
      <c r="N70" s="232"/>
      <c r="O70" s="317"/>
      <c r="P70" s="232"/>
      <c r="Q70" s="274"/>
      <c r="R70" s="245"/>
      <c r="S70" s="245"/>
      <c r="T70" s="245"/>
      <c r="U70" s="245"/>
      <c r="V70" s="246"/>
      <c r="W70" s="30"/>
      <c r="X70" s="2"/>
      <c r="Y70" s="2"/>
      <c r="Z70" s="2"/>
      <c r="AA70" s="2"/>
      <c r="AB70" s="2"/>
      <c r="AC70" s="2"/>
      <c r="AD70" s="2"/>
    </row>
    <row r="71" spans="1:30" ht="12.5" x14ac:dyDescent="0.25">
      <c r="A71" s="2"/>
      <c r="B71" s="2"/>
      <c r="C71" s="11"/>
      <c r="D71" s="93"/>
      <c r="E71" s="2"/>
      <c r="F71" s="2"/>
      <c r="G71" s="2"/>
      <c r="H71" s="2"/>
      <c r="I71" s="2"/>
      <c r="J71" s="3"/>
      <c r="K71" s="314"/>
      <c r="L71" s="142"/>
      <c r="M71" s="314"/>
      <c r="N71" s="142"/>
      <c r="O71" s="320"/>
      <c r="P71" s="236"/>
      <c r="Q71" s="318"/>
      <c r="R71" s="245"/>
      <c r="S71" s="245"/>
      <c r="T71" s="245"/>
      <c r="U71" s="245"/>
      <c r="V71" s="246"/>
      <c r="W71" s="30"/>
      <c r="X71" s="2"/>
      <c r="Y71" s="2"/>
      <c r="Z71" s="2"/>
      <c r="AA71" s="2"/>
      <c r="AB71" s="2"/>
      <c r="AC71" s="2"/>
      <c r="AD71" s="2"/>
    </row>
    <row r="72" spans="1:30" ht="12.5" x14ac:dyDescent="0.25">
      <c r="A72" s="2"/>
      <c r="B72" s="2"/>
      <c r="C72" s="11"/>
      <c r="D72" s="337"/>
      <c r="E72" s="277"/>
      <c r="F72" s="277"/>
      <c r="G72" s="277"/>
      <c r="H72" s="277"/>
      <c r="I72" s="338"/>
      <c r="J72" s="111"/>
      <c r="K72" s="316"/>
      <c r="L72" s="232"/>
      <c r="M72" s="316"/>
      <c r="N72" s="232"/>
      <c r="O72" s="317"/>
      <c r="P72" s="232"/>
      <c r="Q72" s="274"/>
      <c r="R72" s="245"/>
      <c r="S72" s="245"/>
      <c r="T72" s="245"/>
      <c r="U72" s="245"/>
      <c r="V72" s="246"/>
      <c r="W72" s="30"/>
      <c r="X72" s="2"/>
      <c r="Y72" s="2"/>
      <c r="Z72" s="2"/>
      <c r="AA72" s="2"/>
      <c r="AB72" s="2"/>
      <c r="AC72" s="2"/>
      <c r="AD72" s="2"/>
    </row>
    <row r="73" spans="1:30" ht="12.5" x14ac:dyDescent="0.25">
      <c r="A73" s="2"/>
      <c r="B73" s="2"/>
      <c r="C73" s="11"/>
      <c r="D73" s="93"/>
      <c r="E73" s="2"/>
      <c r="F73" s="2"/>
      <c r="G73" s="2"/>
      <c r="H73" s="2"/>
      <c r="I73" s="2"/>
      <c r="J73" s="3"/>
      <c r="K73" s="314"/>
      <c r="L73" s="142"/>
      <c r="M73" s="314"/>
      <c r="N73" s="142"/>
      <c r="O73" s="320"/>
      <c r="P73" s="236"/>
      <c r="Q73" s="318"/>
      <c r="R73" s="245"/>
      <c r="S73" s="245"/>
      <c r="T73" s="245"/>
      <c r="U73" s="245"/>
      <c r="V73" s="246"/>
      <c r="W73" s="30"/>
      <c r="X73" s="2"/>
      <c r="Y73" s="2"/>
      <c r="Z73" s="2"/>
      <c r="AA73" s="2"/>
      <c r="AB73" s="2"/>
      <c r="AC73" s="2"/>
      <c r="AD73" s="2"/>
    </row>
    <row r="74" spans="1:30" ht="12.5" x14ac:dyDescent="0.25">
      <c r="A74" s="2"/>
      <c r="B74" s="2"/>
      <c r="C74" s="11"/>
      <c r="D74" s="337"/>
      <c r="E74" s="277"/>
      <c r="F74" s="277"/>
      <c r="G74" s="277"/>
      <c r="H74" s="277"/>
      <c r="I74" s="338"/>
      <c r="J74" s="111"/>
      <c r="K74" s="316"/>
      <c r="L74" s="232"/>
      <c r="M74" s="316"/>
      <c r="N74" s="232"/>
      <c r="O74" s="317"/>
      <c r="P74" s="232"/>
      <c r="Q74" s="274"/>
      <c r="R74" s="245"/>
      <c r="S74" s="245"/>
      <c r="T74" s="245"/>
      <c r="U74" s="245"/>
      <c r="V74" s="246"/>
      <c r="W74" s="30"/>
      <c r="X74" s="2"/>
      <c r="Y74" s="2"/>
      <c r="Z74" s="2"/>
      <c r="AA74" s="2"/>
      <c r="AB74" s="2"/>
      <c r="AC74" s="2"/>
      <c r="AD74" s="2"/>
    </row>
    <row r="75" spans="1:30" ht="12.5" x14ac:dyDescent="0.25">
      <c r="A75" s="2"/>
      <c r="B75" s="2"/>
      <c r="C75" s="11"/>
      <c r="D75" s="93"/>
      <c r="E75" s="2"/>
      <c r="F75" s="2"/>
      <c r="G75" s="2"/>
      <c r="H75" s="2"/>
      <c r="I75" s="2"/>
      <c r="J75" s="3"/>
      <c r="K75" s="314"/>
      <c r="L75" s="142"/>
      <c r="M75" s="314"/>
      <c r="N75" s="142"/>
      <c r="O75" s="320"/>
      <c r="P75" s="236"/>
      <c r="Q75" s="318"/>
      <c r="R75" s="245"/>
      <c r="S75" s="245"/>
      <c r="T75" s="245"/>
      <c r="U75" s="245"/>
      <c r="V75" s="246"/>
      <c r="W75" s="30"/>
      <c r="X75" s="2"/>
      <c r="Y75" s="2"/>
      <c r="Z75" s="2"/>
      <c r="AA75" s="2"/>
      <c r="AB75" s="2"/>
      <c r="AC75" s="2"/>
      <c r="AD75" s="2"/>
    </row>
    <row r="76" spans="1:30" ht="12.5" x14ac:dyDescent="0.25">
      <c r="A76" s="2"/>
      <c r="B76" s="2"/>
      <c r="C76" s="11"/>
      <c r="D76" s="337"/>
      <c r="E76" s="277"/>
      <c r="F76" s="277"/>
      <c r="G76" s="277"/>
      <c r="H76" s="277"/>
      <c r="I76" s="338"/>
      <c r="J76" s="111"/>
      <c r="K76" s="316"/>
      <c r="L76" s="232"/>
      <c r="M76" s="316"/>
      <c r="N76" s="232"/>
      <c r="O76" s="317"/>
      <c r="P76" s="232"/>
      <c r="Q76" s="274"/>
      <c r="R76" s="245"/>
      <c r="S76" s="245"/>
      <c r="T76" s="245"/>
      <c r="U76" s="245"/>
      <c r="V76" s="246"/>
      <c r="W76" s="30"/>
      <c r="X76" s="2"/>
      <c r="Y76" s="2"/>
      <c r="Z76" s="2"/>
      <c r="AA76" s="2"/>
      <c r="AB76" s="2"/>
      <c r="AC76" s="2"/>
      <c r="AD76" s="2"/>
    </row>
    <row r="77" spans="1:30" ht="12.5" x14ac:dyDescent="0.25">
      <c r="A77" s="2"/>
      <c r="B77" s="2"/>
      <c r="C77" s="11"/>
      <c r="D77" s="93"/>
      <c r="E77" s="2"/>
      <c r="F77" s="2"/>
      <c r="G77" s="2"/>
      <c r="H77" s="2"/>
      <c r="I77" s="2"/>
      <c r="J77" s="3"/>
      <c r="K77" s="314"/>
      <c r="L77" s="142"/>
      <c r="M77" s="314"/>
      <c r="N77" s="142"/>
      <c r="O77" s="320"/>
      <c r="P77" s="236"/>
      <c r="Q77" s="318"/>
      <c r="R77" s="245"/>
      <c r="S77" s="245"/>
      <c r="T77" s="245"/>
      <c r="U77" s="245"/>
      <c r="V77" s="246"/>
      <c r="W77" s="30"/>
      <c r="X77" s="2"/>
      <c r="Y77" s="2"/>
      <c r="Z77" s="2"/>
      <c r="AA77" s="2"/>
      <c r="AB77" s="2"/>
      <c r="AC77" s="2"/>
      <c r="AD77" s="2"/>
    </row>
    <row r="78" spans="1:30" ht="12.5" x14ac:dyDescent="0.25">
      <c r="A78" s="2"/>
      <c r="B78" s="2"/>
      <c r="C78" s="11"/>
      <c r="D78" s="337"/>
      <c r="E78" s="277"/>
      <c r="F78" s="277"/>
      <c r="G78" s="277"/>
      <c r="H78" s="277"/>
      <c r="I78" s="338"/>
      <c r="J78" s="111"/>
      <c r="K78" s="316"/>
      <c r="L78" s="232"/>
      <c r="M78" s="316"/>
      <c r="N78" s="232"/>
      <c r="O78" s="317"/>
      <c r="P78" s="232"/>
      <c r="Q78" s="274"/>
      <c r="R78" s="245"/>
      <c r="S78" s="245"/>
      <c r="T78" s="245"/>
      <c r="U78" s="245"/>
      <c r="V78" s="246"/>
      <c r="W78" s="30"/>
      <c r="X78" s="2"/>
      <c r="Y78" s="2"/>
      <c r="Z78" s="2"/>
      <c r="AA78" s="2"/>
      <c r="AB78" s="2"/>
      <c r="AC78" s="2"/>
      <c r="AD78" s="2"/>
    </row>
    <row r="79" spans="1:30" ht="12.5" x14ac:dyDescent="0.25">
      <c r="A79" s="2"/>
      <c r="B79" s="2"/>
      <c r="C79" s="11"/>
      <c r="D79" s="93"/>
      <c r="E79" s="2"/>
      <c r="F79" s="2"/>
      <c r="G79" s="2"/>
      <c r="H79" s="2"/>
      <c r="I79" s="2"/>
      <c r="J79" s="3"/>
      <c r="K79" s="314"/>
      <c r="L79" s="142"/>
      <c r="M79" s="314"/>
      <c r="N79" s="142"/>
      <c r="O79" s="320"/>
      <c r="P79" s="236"/>
      <c r="Q79" s="318"/>
      <c r="R79" s="245"/>
      <c r="S79" s="245"/>
      <c r="T79" s="245"/>
      <c r="U79" s="245"/>
      <c r="V79" s="246"/>
      <c r="W79" s="30"/>
      <c r="X79" s="2"/>
      <c r="Y79" s="2"/>
      <c r="Z79" s="2"/>
      <c r="AA79" s="2"/>
      <c r="AB79" s="2"/>
      <c r="AC79" s="2"/>
      <c r="AD79" s="2"/>
    </row>
    <row r="80" spans="1:30" ht="12.5" x14ac:dyDescent="0.25">
      <c r="A80" s="2"/>
      <c r="B80" s="2"/>
      <c r="C80" s="11"/>
      <c r="D80" s="337"/>
      <c r="E80" s="277"/>
      <c r="F80" s="277"/>
      <c r="G80" s="277"/>
      <c r="H80" s="277"/>
      <c r="I80" s="338"/>
      <c r="J80" s="111"/>
      <c r="K80" s="316"/>
      <c r="L80" s="232"/>
      <c r="M80" s="316"/>
      <c r="N80" s="232"/>
      <c r="O80" s="317"/>
      <c r="P80" s="232"/>
      <c r="Q80" s="274"/>
      <c r="R80" s="245"/>
      <c r="S80" s="245"/>
      <c r="T80" s="245"/>
      <c r="U80" s="245"/>
      <c r="V80" s="246"/>
      <c r="W80" s="30"/>
      <c r="X80" s="2"/>
      <c r="Y80" s="2"/>
      <c r="Z80" s="2"/>
      <c r="AA80" s="2"/>
      <c r="AB80" s="2"/>
      <c r="AC80" s="2"/>
      <c r="AD80" s="2"/>
    </row>
    <row r="81" spans="1:30" ht="12.5" x14ac:dyDescent="0.25">
      <c r="A81" s="2"/>
      <c r="B81" s="2"/>
      <c r="C81" s="11"/>
      <c r="D81" s="93"/>
      <c r="E81" s="2"/>
      <c r="F81" s="2"/>
      <c r="G81" s="2"/>
      <c r="H81" s="2"/>
      <c r="I81" s="2"/>
      <c r="J81" s="3"/>
      <c r="K81" s="314"/>
      <c r="L81" s="142"/>
      <c r="M81" s="314"/>
      <c r="N81" s="142"/>
      <c r="O81" s="320"/>
      <c r="P81" s="236"/>
      <c r="Q81" s="318"/>
      <c r="R81" s="245"/>
      <c r="S81" s="245"/>
      <c r="T81" s="245"/>
      <c r="U81" s="245"/>
      <c r="V81" s="246"/>
      <c r="W81" s="30"/>
      <c r="X81" s="2"/>
      <c r="Y81" s="2"/>
      <c r="Z81" s="2"/>
      <c r="AA81" s="2"/>
      <c r="AB81" s="2"/>
      <c r="AC81" s="2"/>
      <c r="AD81" s="2"/>
    </row>
    <row r="82" spans="1:30" ht="12.5" x14ac:dyDescent="0.25">
      <c r="A82" s="2"/>
      <c r="B82" s="2"/>
      <c r="C82" s="11"/>
      <c r="D82" s="337"/>
      <c r="E82" s="277"/>
      <c r="F82" s="277"/>
      <c r="G82" s="277"/>
      <c r="H82" s="277"/>
      <c r="I82" s="338"/>
      <c r="J82" s="111"/>
      <c r="K82" s="316"/>
      <c r="L82" s="232"/>
      <c r="M82" s="316"/>
      <c r="N82" s="232"/>
      <c r="O82" s="317"/>
      <c r="P82" s="232"/>
      <c r="Q82" s="274"/>
      <c r="R82" s="245"/>
      <c r="S82" s="245"/>
      <c r="T82" s="245"/>
      <c r="U82" s="245"/>
      <c r="V82" s="246"/>
      <c r="W82" s="30"/>
      <c r="X82" s="2"/>
      <c r="Y82" s="2"/>
      <c r="Z82" s="2"/>
      <c r="AA82" s="2"/>
      <c r="AB82" s="2"/>
      <c r="AC82" s="2"/>
      <c r="AD82" s="2"/>
    </row>
    <row r="83" spans="1:30" ht="12.5" x14ac:dyDescent="0.25">
      <c r="A83" s="2"/>
      <c r="B83" s="2"/>
      <c r="C83" s="11"/>
      <c r="D83" s="93"/>
      <c r="E83" s="2"/>
      <c r="F83" s="2"/>
      <c r="G83" s="2"/>
      <c r="H83" s="2"/>
      <c r="I83" s="2"/>
      <c r="J83" s="3"/>
      <c r="K83" s="314"/>
      <c r="L83" s="142"/>
      <c r="M83" s="314"/>
      <c r="N83" s="142"/>
      <c r="O83" s="320"/>
      <c r="P83" s="236"/>
      <c r="Q83" s="318"/>
      <c r="R83" s="245"/>
      <c r="S83" s="245"/>
      <c r="T83" s="245"/>
      <c r="U83" s="245"/>
      <c r="V83" s="246"/>
      <c r="W83" s="30"/>
      <c r="X83" s="2"/>
      <c r="Y83" s="2"/>
      <c r="Z83" s="2"/>
      <c r="AA83" s="2"/>
      <c r="AB83" s="2"/>
      <c r="AC83" s="2"/>
      <c r="AD83" s="2"/>
    </row>
    <row r="84" spans="1:30" ht="12.5" x14ac:dyDescent="0.25">
      <c r="A84" s="2"/>
      <c r="B84" s="2"/>
      <c r="C84" s="11"/>
      <c r="D84" s="337"/>
      <c r="E84" s="277"/>
      <c r="F84" s="277"/>
      <c r="G84" s="277"/>
      <c r="H84" s="277"/>
      <c r="I84" s="338"/>
      <c r="J84" s="111"/>
      <c r="K84" s="316"/>
      <c r="L84" s="232"/>
      <c r="M84" s="316"/>
      <c r="N84" s="232"/>
      <c r="O84" s="317"/>
      <c r="P84" s="232"/>
      <c r="Q84" s="274"/>
      <c r="R84" s="245"/>
      <c r="S84" s="245"/>
      <c r="T84" s="245"/>
      <c r="U84" s="245"/>
      <c r="V84" s="246"/>
      <c r="W84" s="30"/>
      <c r="X84" s="2"/>
      <c r="Y84" s="2"/>
      <c r="Z84" s="2"/>
      <c r="AA84" s="2"/>
      <c r="AB84" s="2"/>
      <c r="AC84" s="2"/>
      <c r="AD84" s="2"/>
    </row>
    <row r="85" spans="1:30" ht="12.5" x14ac:dyDescent="0.25">
      <c r="A85" s="2"/>
      <c r="B85" s="2"/>
      <c r="C85" s="11"/>
      <c r="D85" s="93"/>
      <c r="E85" s="2"/>
      <c r="F85" s="2"/>
      <c r="G85" s="2"/>
      <c r="H85" s="2"/>
      <c r="I85" s="2"/>
      <c r="J85" s="3"/>
      <c r="K85" s="314"/>
      <c r="L85" s="142"/>
      <c r="M85" s="314"/>
      <c r="N85" s="142"/>
      <c r="O85" s="320"/>
      <c r="P85" s="236"/>
      <c r="Q85" s="318"/>
      <c r="R85" s="245"/>
      <c r="S85" s="245"/>
      <c r="T85" s="245"/>
      <c r="U85" s="245"/>
      <c r="V85" s="246"/>
      <c r="W85" s="30"/>
      <c r="X85" s="2"/>
      <c r="Y85" s="2"/>
      <c r="Z85" s="2"/>
      <c r="AA85" s="2"/>
      <c r="AB85" s="2"/>
      <c r="AC85" s="2"/>
      <c r="AD85" s="2"/>
    </row>
    <row r="86" spans="1:30" ht="12.5" x14ac:dyDescent="0.25">
      <c r="A86" s="2"/>
      <c r="B86" s="2"/>
      <c r="C86" s="11"/>
      <c r="D86" s="337"/>
      <c r="E86" s="277"/>
      <c r="F86" s="277"/>
      <c r="G86" s="277"/>
      <c r="H86" s="277"/>
      <c r="I86" s="338"/>
      <c r="J86" s="111"/>
      <c r="K86" s="316"/>
      <c r="L86" s="232"/>
      <c r="M86" s="316"/>
      <c r="N86" s="232"/>
      <c r="O86" s="317"/>
      <c r="P86" s="232"/>
      <c r="Q86" s="274"/>
      <c r="R86" s="245"/>
      <c r="S86" s="245"/>
      <c r="T86" s="245"/>
      <c r="U86" s="245"/>
      <c r="V86" s="246"/>
      <c r="W86" s="30"/>
      <c r="X86" s="2"/>
      <c r="Y86" s="2"/>
      <c r="Z86" s="2"/>
      <c r="AA86" s="2"/>
      <c r="AB86" s="2"/>
      <c r="AC86" s="2"/>
      <c r="AD86" s="2"/>
    </row>
    <row r="87" spans="1:30" ht="12.5" x14ac:dyDescent="0.25">
      <c r="A87" s="2"/>
      <c r="B87" s="2"/>
      <c r="C87" s="11"/>
      <c r="D87" s="93"/>
      <c r="E87" s="2"/>
      <c r="F87" s="2"/>
      <c r="G87" s="2"/>
      <c r="H87" s="2"/>
      <c r="I87" s="2"/>
      <c r="J87" s="3"/>
      <c r="K87" s="314"/>
      <c r="L87" s="142"/>
      <c r="M87" s="314"/>
      <c r="N87" s="142"/>
      <c r="O87" s="320"/>
      <c r="P87" s="236"/>
      <c r="Q87" s="318"/>
      <c r="R87" s="245"/>
      <c r="S87" s="245"/>
      <c r="T87" s="245"/>
      <c r="U87" s="245"/>
      <c r="V87" s="246"/>
      <c r="W87" s="30"/>
      <c r="X87" s="2"/>
      <c r="Y87" s="2"/>
      <c r="Z87" s="2"/>
      <c r="AA87" s="2"/>
      <c r="AB87" s="2"/>
      <c r="AC87" s="2"/>
      <c r="AD87" s="2"/>
    </row>
    <row r="88" spans="1:30" ht="12.5" x14ac:dyDescent="0.25">
      <c r="A88" s="2"/>
      <c r="B88" s="2"/>
      <c r="C88" s="11"/>
      <c r="D88" s="337"/>
      <c r="E88" s="277"/>
      <c r="F88" s="277"/>
      <c r="G88" s="277"/>
      <c r="H88" s="277"/>
      <c r="I88" s="338"/>
      <c r="J88" s="111"/>
      <c r="K88" s="316"/>
      <c r="L88" s="232"/>
      <c r="M88" s="316"/>
      <c r="N88" s="232"/>
      <c r="O88" s="317"/>
      <c r="P88" s="232"/>
      <c r="Q88" s="274"/>
      <c r="R88" s="245"/>
      <c r="S88" s="245"/>
      <c r="T88" s="245"/>
      <c r="U88" s="245"/>
      <c r="V88" s="246"/>
      <c r="W88" s="30"/>
      <c r="X88" s="2"/>
      <c r="Y88" s="2"/>
      <c r="Z88" s="2"/>
      <c r="AA88" s="2"/>
      <c r="AB88" s="2"/>
      <c r="AC88" s="2"/>
      <c r="AD88" s="2"/>
    </row>
    <row r="89" spans="1:30" ht="12.5" x14ac:dyDescent="0.25">
      <c r="A89" s="2"/>
      <c r="B89" s="2"/>
      <c r="C89" s="11"/>
      <c r="D89" s="93"/>
      <c r="E89" s="2"/>
      <c r="F89" s="2"/>
      <c r="G89" s="2"/>
      <c r="H89" s="2"/>
      <c r="I89" s="2"/>
      <c r="J89" s="3"/>
      <c r="K89" s="314"/>
      <c r="L89" s="142"/>
      <c r="M89" s="314"/>
      <c r="N89" s="142"/>
      <c r="O89" s="320"/>
      <c r="P89" s="236"/>
      <c r="Q89" s="318"/>
      <c r="R89" s="245"/>
      <c r="S89" s="245"/>
      <c r="T89" s="245"/>
      <c r="U89" s="245"/>
      <c r="V89" s="246"/>
      <c r="W89" s="30"/>
      <c r="X89" s="2"/>
      <c r="Y89" s="2"/>
      <c r="Z89" s="2"/>
      <c r="AA89" s="2"/>
      <c r="AB89" s="2"/>
      <c r="AC89" s="2"/>
      <c r="AD89" s="2"/>
    </row>
    <row r="90" spans="1:30" ht="12.5" x14ac:dyDescent="0.25">
      <c r="A90" s="2"/>
      <c r="B90" s="2"/>
      <c r="C90" s="11"/>
      <c r="D90" s="337"/>
      <c r="E90" s="277"/>
      <c r="F90" s="277"/>
      <c r="G90" s="277"/>
      <c r="H90" s="277"/>
      <c r="I90" s="338"/>
      <c r="J90" s="111"/>
      <c r="K90" s="316"/>
      <c r="L90" s="232"/>
      <c r="M90" s="316"/>
      <c r="N90" s="232"/>
      <c r="O90" s="317"/>
      <c r="P90" s="232"/>
      <c r="Q90" s="274"/>
      <c r="R90" s="245"/>
      <c r="S90" s="245"/>
      <c r="T90" s="245"/>
      <c r="U90" s="245"/>
      <c r="V90" s="246"/>
      <c r="W90" s="30"/>
      <c r="X90" s="2"/>
      <c r="Y90" s="2"/>
      <c r="Z90" s="2"/>
      <c r="AA90" s="2"/>
      <c r="AB90" s="2"/>
      <c r="AC90" s="2"/>
      <c r="AD90" s="2"/>
    </row>
    <row r="91" spans="1:30" ht="12.5" x14ac:dyDescent="0.25">
      <c r="A91" s="2"/>
      <c r="B91" s="2"/>
      <c r="C91" s="11"/>
      <c r="D91" s="93"/>
      <c r="E91" s="2"/>
      <c r="F91" s="2"/>
      <c r="G91" s="2"/>
      <c r="H91" s="2"/>
      <c r="I91" s="2"/>
      <c r="J91" s="3"/>
      <c r="K91" s="314"/>
      <c r="L91" s="142"/>
      <c r="M91" s="314"/>
      <c r="N91" s="142"/>
      <c r="O91" s="320"/>
      <c r="P91" s="236"/>
      <c r="Q91" s="318"/>
      <c r="R91" s="245"/>
      <c r="S91" s="245"/>
      <c r="T91" s="245"/>
      <c r="U91" s="245"/>
      <c r="V91" s="246"/>
      <c r="W91" s="30"/>
      <c r="X91" s="2"/>
      <c r="Y91" s="2"/>
      <c r="Z91" s="2"/>
      <c r="AA91" s="2"/>
      <c r="AB91" s="2"/>
      <c r="AC91" s="2"/>
      <c r="AD91" s="2"/>
    </row>
    <row r="92" spans="1:30" ht="12.5" x14ac:dyDescent="0.25">
      <c r="A92" s="2"/>
      <c r="B92" s="2"/>
      <c r="C92" s="11"/>
      <c r="D92" s="337"/>
      <c r="E92" s="277"/>
      <c r="F92" s="277"/>
      <c r="G92" s="277"/>
      <c r="H92" s="277"/>
      <c r="I92" s="338"/>
      <c r="J92" s="111"/>
      <c r="K92" s="316"/>
      <c r="L92" s="232"/>
      <c r="M92" s="316"/>
      <c r="N92" s="232"/>
      <c r="O92" s="317"/>
      <c r="P92" s="232"/>
      <c r="Q92" s="274"/>
      <c r="R92" s="245"/>
      <c r="S92" s="245"/>
      <c r="T92" s="245"/>
      <c r="U92" s="245"/>
      <c r="V92" s="246"/>
      <c r="W92" s="30"/>
      <c r="X92" s="2"/>
      <c r="Y92" s="2"/>
      <c r="Z92" s="2"/>
      <c r="AA92" s="2"/>
      <c r="AB92" s="2"/>
      <c r="AC92" s="2"/>
      <c r="AD92" s="2"/>
    </row>
    <row r="93" spans="1:30" ht="12.5" x14ac:dyDescent="0.25">
      <c r="A93" s="2"/>
      <c r="B93" s="2"/>
      <c r="C93" s="11"/>
      <c r="D93" s="93"/>
      <c r="E93" s="2"/>
      <c r="F93" s="2"/>
      <c r="G93" s="2"/>
      <c r="H93" s="2"/>
      <c r="I93" s="2"/>
      <c r="J93" s="3"/>
      <c r="K93" s="314"/>
      <c r="L93" s="142"/>
      <c r="M93" s="314"/>
      <c r="N93" s="142"/>
      <c r="O93" s="320"/>
      <c r="P93" s="236"/>
      <c r="Q93" s="318"/>
      <c r="R93" s="245"/>
      <c r="S93" s="245"/>
      <c r="T93" s="245"/>
      <c r="U93" s="245"/>
      <c r="V93" s="246"/>
      <c r="W93" s="30"/>
      <c r="X93" s="2"/>
      <c r="Y93" s="2"/>
      <c r="Z93" s="2"/>
      <c r="AA93" s="2"/>
      <c r="AB93" s="2"/>
      <c r="AC93" s="2"/>
      <c r="AD93" s="2"/>
    </row>
    <row r="94" spans="1:30" ht="12.5" x14ac:dyDescent="0.25">
      <c r="A94" s="2"/>
      <c r="B94" s="2"/>
      <c r="C94" s="11"/>
      <c r="D94" s="337"/>
      <c r="E94" s="277"/>
      <c r="F94" s="277"/>
      <c r="G94" s="277"/>
      <c r="H94" s="277"/>
      <c r="I94" s="338"/>
      <c r="J94" s="111"/>
      <c r="K94" s="316"/>
      <c r="L94" s="232"/>
      <c r="M94" s="316"/>
      <c r="N94" s="232"/>
      <c r="O94" s="317"/>
      <c r="P94" s="232"/>
      <c r="Q94" s="274"/>
      <c r="R94" s="245"/>
      <c r="S94" s="245"/>
      <c r="T94" s="245"/>
      <c r="U94" s="245"/>
      <c r="V94" s="246"/>
      <c r="W94" s="30"/>
      <c r="X94" s="2"/>
      <c r="Y94" s="2"/>
      <c r="Z94" s="2"/>
      <c r="AA94" s="2"/>
      <c r="AB94" s="2"/>
      <c r="AC94" s="2"/>
      <c r="AD94" s="2"/>
    </row>
    <row r="95" spans="1:30" ht="12.5" x14ac:dyDescent="0.25">
      <c r="A95" s="2"/>
      <c r="B95" s="2"/>
      <c r="C95" s="11"/>
      <c r="D95" s="93"/>
      <c r="E95" s="2"/>
      <c r="F95" s="2"/>
      <c r="G95" s="2"/>
      <c r="H95" s="2"/>
      <c r="I95" s="2"/>
      <c r="J95" s="3"/>
      <c r="K95" s="314"/>
      <c r="L95" s="142"/>
      <c r="M95" s="314"/>
      <c r="N95" s="142"/>
      <c r="O95" s="320"/>
      <c r="P95" s="236"/>
      <c r="Q95" s="318"/>
      <c r="R95" s="245"/>
      <c r="S95" s="245"/>
      <c r="T95" s="245"/>
      <c r="U95" s="245"/>
      <c r="V95" s="246"/>
      <c r="W95" s="30"/>
      <c r="X95" s="2"/>
      <c r="Y95" s="2"/>
      <c r="Z95" s="2"/>
      <c r="AA95" s="2"/>
      <c r="AB95" s="2"/>
      <c r="AC95" s="2"/>
      <c r="AD95" s="2"/>
    </row>
    <row r="96" spans="1:30" ht="12.5" x14ac:dyDescent="0.25">
      <c r="A96" s="2"/>
      <c r="B96" s="2"/>
      <c r="C96" s="11"/>
      <c r="D96" s="337"/>
      <c r="E96" s="277"/>
      <c r="F96" s="277"/>
      <c r="G96" s="277"/>
      <c r="H96" s="277"/>
      <c r="I96" s="338"/>
      <c r="J96" s="111"/>
      <c r="K96" s="316"/>
      <c r="L96" s="232"/>
      <c r="M96" s="316"/>
      <c r="N96" s="232"/>
      <c r="O96" s="317"/>
      <c r="P96" s="232"/>
      <c r="Q96" s="274"/>
      <c r="R96" s="245"/>
      <c r="S96" s="245"/>
      <c r="T96" s="245"/>
      <c r="U96" s="245"/>
      <c r="V96" s="246"/>
      <c r="W96" s="30"/>
      <c r="X96" s="2"/>
      <c r="Y96" s="2"/>
      <c r="Z96" s="2"/>
      <c r="AA96" s="2"/>
      <c r="AB96" s="2"/>
      <c r="AC96" s="2"/>
      <c r="AD96" s="2"/>
    </row>
    <row r="97" spans="1:30" ht="12.5" x14ac:dyDescent="0.25">
      <c r="A97" s="2"/>
      <c r="B97" s="2"/>
      <c r="C97" s="11"/>
      <c r="D97" s="93"/>
      <c r="E97" s="2"/>
      <c r="F97" s="2"/>
      <c r="G97" s="2"/>
      <c r="H97" s="2"/>
      <c r="I97" s="2"/>
      <c r="J97" s="3"/>
      <c r="K97" s="314"/>
      <c r="L97" s="142"/>
      <c r="M97" s="314"/>
      <c r="N97" s="142"/>
      <c r="O97" s="320"/>
      <c r="P97" s="236"/>
      <c r="Q97" s="318"/>
      <c r="R97" s="245"/>
      <c r="S97" s="245"/>
      <c r="T97" s="245"/>
      <c r="U97" s="245"/>
      <c r="V97" s="246"/>
      <c r="W97" s="30"/>
      <c r="X97" s="2"/>
      <c r="Y97" s="2"/>
      <c r="Z97" s="2"/>
      <c r="AA97" s="2"/>
      <c r="AB97" s="2"/>
      <c r="AC97" s="2"/>
      <c r="AD97" s="2"/>
    </row>
    <row r="98" spans="1:30" ht="12.5" x14ac:dyDescent="0.25">
      <c r="A98" s="2"/>
      <c r="B98" s="2"/>
      <c r="C98" s="11"/>
      <c r="D98" s="337"/>
      <c r="E98" s="277"/>
      <c r="F98" s="277"/>
      <c r="G98" s="277"/>
      <c r="H98" s="277"/>
      <c r="I98" s="338"/>
      <c r="J98" s="111"/>
      <c r="K98" s="316"/>
      <c r="L98" s="232"/>
      <c r="M98" s="316"/>
      <c r="N98" s="232"/>
      <c r="O98" s="317"/>
      <c r="P98" s="232"/>
      <c r="Q98" s="274"/>
      <c r="R98" s="245"/>
      <c r="S98" s="245"/>
      <c r="T98" s="245"/>
      <c r="U98" s="245"/>
      <c r="V98" s="246"/>
      <c r="W98" s="30"/>
      <c r="X98" s="2"/>
      <c r="Y98" s="2"/>
      <c r="Z98" s="2"/>
      <c r="AA98" s="2"/>
      <c r="AB98" s="2"/>
      <c r="AC98" s="2"/>
      <c r="AD98" s="2"/>
    </row>
    <row r="99" spans="1:30" ht="12.5" x14ac:dyDescent="0.25">
      <c r="A99" s="2"/>
      <c r="B99" s="2"/>
      <c r="C99" s="11"/>
      <c r="D99" s="93"/>
      <c r="E99" s="2"/>
      <c r="F99" s="2"/>
      <c r="G99" s="2"/>
      <c r="H99" s="2"/>
      <c r="I99" s="2"/>
      <c r="J99" s="3"/>
      <c r="K99" s="314"/>
      <c r="L99" s="142"/>
      <c r="M99" s="314"/>
      <c r="N99" s="142"/>
      <c r="O99" s="320"/>
      <c r="P99" s="236"/>
      <c r="Q99" s="318"/>
      <c r="R99" s="245"/>
      <c r="S99" s="245"/>
      <c r="T99" s="245"/>
      <c r="U99" s="245"/>
      <c r="V99" s="246"/>
      <c r="W99" s="30"/>
      <c r="X99" s="2"/>
      <c r="Y99" s="2"/>
      <c r="Z99" s="2"/>
      <c r="AA99" s="2"/>
      <c r="AB99" s="2"/>
      <c r="AC99" s="2"/>
      <c r="AD99" s="2"/>
    </row>
    <row r="100" spans="1:30" ht="12.5" x14ac:dyDescent="0.25">
      <c r="A100" s="2"/>
      <c r="B100" s="2"/>
      <c r="C100" s="11"/>
      <c r="D100" s="337"/>
      <c r="E100" s="277"/>
      <c r="F100" s="277"/>
      <c r="G100" s="277"/>
      <c r="H100" s="277"/>
      <c r="I100" s="338"/>
      <c r="J100" s="111"/>
      <c r="K100" s="316"/>
      <c r="L100" s="232"/>
      <c r="M100" s="316"/>
      <c r="N100" s="232"/>
      <c r="O100" s="317"/>
      <c r="P100" s="232"/>
      <c r="Q100" s="274"/>
      <c r="R100" s="245"/>
      <c r="S100" s="245"/>
      <c r="T100" s="245"/>
      <c r="U100" s="245"/>
      <c r="V100" s="246"/>
      <c r="W100" s="30"/>
      <c r="X100" s="2"/>
      <c r="Y100" s="2"/>
      <c r="Z100" s="2"/>
      <c r="AA100" s="2"/>
      <c r="AB100" s="2"/>
      <c r="AC100" s="2"/>
      <c r="AD100" s="2"/>
    </row>
    <row r="101" spans="1:30" ht="12.5" x14ac:dyDescent="0.25">
      <c r="A101" s="2"/>
      <c r="B101" s="2"/>
      <c r="C101" s="11"/>
      <c r="D101" s="93"/>
      <c r="E101" s="2"/>
      <c r="F101" s="2"/>
      <c r="G101" s="2"/>
      <c r="H101" s="2"/>
      <c r="I101" s="2"/>
      <c r="J101" s="3"/>
      <c r="K101" s="314"/>
      <c r="L101" s="142"/>
      <c r="M101" s="314"/>
      <c r="N101" s="142"/>
      <c r="O101" s="320"/>
      <c r="P101" s="236"/>
      <c r="Q101" s="318"/>
      <c r="R101" s="245"/>
      <c r="S101" s="245"/>
      <c r="T101" s="245"/>
      <c r="U101" s="245"/>
      <c r="V101" s="246"/>
      <c r="W101" s="30"/>
      <c r="X101" s="2"/>
      <c r="Y101" s="2"/>
      <c r="Z101" s="2"/>
      <c r="AA101" s="2"/>
      <c r="AB101" s="2"/>
      <c r="AC101" s="2"/>
      <c r="AD101" s="2"/>
    </row>
    <row r="102" spans="1:30" ht="12.5" x14ac:dyDescent="0.25">
      <c r="A102" s="2"/>
      <c r="B102" s="2"/>
      <c r="C102" s="11"/>
      <c r="D102" s="337"/>
      <c r="E102" s="277"/>
      <c r="F102" s="277"/>
      <c r="G102" s="277"/>
      <c r="H102" s="277"/>
      <c r="I102" s="338"/>
      <c r="J102" s="111"/>
      <c r="K102" s="316"/>
      <c r="L102" s="232"/>
      <c r="M102" s="316"/>
      <c r="N102" s="232"/>
      <c r="O102" s="317"/>
      <c r="P102" s="232"/>
      <c r="Q102" s="274"/>
      <c r="R102" s="245"/>
      <c r="S102" s="245"/>
      <c r="T102" s="245"/>
      <c r="U102" s="245"/>
      <c r="V102" s="246"/>
      <c r="W102" s="30"/>
      <c r="X102" s="2"/>
      <c r="Y102" s="2"/>
      <c r="Z102" s="2"/>
      <c r="AA102" s="2"/>
      <c r="AB102" s="2"/>
      <c r="AC102" s="2"/>
      <c r="AD102" s="2"/>
    </row>
    <row r="103" spans="1:30" ht="12.5" x14ac:dyDescent="0.25">
      <c r="A103" s="2"/>
      <c r="B103" s="2"/>
      <c r="C103" s="11"/>
      <c r="D103" s="93"/>
      <c r="E103" s="2"/>
      <c r="F103" s="2"/>
      <c r="G103" s="2"/>
      <c r="H103" s="2"/>
      <c r="I103" s="2"/>
      <c r="J103" s="3"/>
      <c r="K103" s="314"/>
      <c r="L103" s="142"/>
      <c r="M103" s="314"/>
      <c r="N103" s="142"/>
      <c r="O103" s="320"/>
      <c r="P103" s="236"/>
      <c r="Q103" s="318"/>
      <c r="R103" s="245"/>
      <c r="S103" s="245"/>
      <c r="T103" s="245"/>
      <c r="U103" s="245"/>
      <c r="V103" s="246"/>
      <c r="W103" s="30"/>
      <c r="X103" s="2"/>
      <c r="Y103" s="2"/>
      <c r="Z103" s="2"/>
      <c r="AA103" s="2"/>
      <c r="AB103" s="2"/>
      <c r="AC103" s="2"/>
      <c r="AD103" s="2"/>
    </row>
    <row r="104" spans="1:30" ht="12.5" x14ac:dyDescent="0.25">
      <c r="A104" s="2"/>
      <c r="B104" s="2"/>
      <c r="C104" s="11"/>
      <c r="D104" s="337"/>
      <c r="E104" s="277"/>
      <c r="F104" s="277"/>
      <c r="G104" s="277"/>
      <c r="H104" s="277"/>
      <c r="I104" s="338"/>
      <c r="J104" s="111"/>
      <c r="K104" s="316"/>
      <c r="L104" s="232"/>
      <c r="M104" s="316"/>
      <c r="N104" s="232"/>
      <c r="O104" s="317"/>
      <c r="P104" s="232"/>
      <c r="Q104" s="274"/>
      <c r="R104" s="245"/>
      <c r="S104" s="245"/>
      <c r="T104" s="245"/>
      <c r="U104" s="245"/>
      <c r="V104" s="246"/>
      <c r="W104" s="30"/>
      <c r="X104" s="2"/>
      <c r="Y104" s="2"/>
      <c r="Z104" s="2"/>
      <c r="AA104" s="2"/>
      <c r="AB104" s="2"/>
      <c r="AC104" s="2"/>
      <c r="AD104" s="2"/>
    </row>
    <row r="105" spans="1:30" ht="12.5" x14ac:dyDescent="0.25">
      <c r="A105" s="2"/>
      <c r="B105" s="2"/>
      <c r="C105" s="11"/>
      <c r="D105" s="93"/>
      <c r="E105" s="2"/>
      <c r="F105" s="2"/>
      <c r="G105" s="2"/>
      <c r="H105" s="2"/>
      <c r="I105" s="2"/>
      <c r="J105" s="3"/>
      <c r="K105" s="314"/>
      <c r="L105" s="142"/>
      <c r="M105" s="314"/>
      <c r="N105" s="142"/>
      <c r="O105" s="320"/>
      <c r="P105" s="236"/>
      <c r="Q105" s="318"/>
      <c r="R105" s="245"/>
      <c r="S105" s="245"/>
      <c r="T105" s="245"/>
      <c r="U105" s="245"/>
      <c r="V105" s="246"/>
      <c r="W105" s="30"/>
      <c r="X105" s="2"/>
      <c r="Y105" s="2"/>
      <c r="Z105" s="2"/>
      <c r="AA105" s="2"/>
      <c r="AB105" s="2"/>
      <c r="AC105" s="2"/>
      <c r="AD105" s="2"/>
    </row>
    <row r="106" spans="1:30" ht="12.5" x14ac:dyDescent="0.25">
      <c r="A106" s="2"/>
      <c r="B106" s="2"/>
      <c r="C106" s="11"/>
      <c r="D106" s="337"/>
      <c r="E106" s="277"/>
      <c r="F106" s="277"/>
      <c r="G106" s="277"/>
      <c r="H106" s="277"/>
      <c r="I106" s="338"/>
      <c r="J106" s="111"/>
      <c r="K106" s="316"/>
      <c r="L106" s="232"/>
      <c r="M106" s="316"/>
      <c r="N106" s="232"/>
      <c r="O106" s="317"/>
      <c r="P106" s="232"/>
      <c r="Q106" s="274"/>
      <c r="R106" s="245"/>
      <c r="S106" s="245"/>
      <c r="T106" s="245"/>
      <c r="U106" s="245"/>
      <c r="V106" s="246"/>
      <c r="W106" s="30"/>
      <c r="X106" s="2"/>
      <c r="Y106" s="2"/>
      <c r="Z106" s="2"/>
      <c r="AA106" s="2"/>
      <c r="AB106" s="2"/>
      <c r="AC106" s="2"/>
      <c r="AD106" s="2"/>
    </row>
    <row r="107" spans="1:30" ht="12.5" x14ac:dyDescent="0.25">
      <c r="A107" s="2"/>
      <c r="B107" s="2"/>
      <c r="C107" s="11"/>
      <c r="D107" s="93"/>
      <c r="E107" s="2"/>
      <c r="F107" s="2"/>
      <c r="G107" s="2"/>
      <c r="H107" s="2"/>
      <c r="I107" s="2"/>
      <c r="J107" s="3"/>
      <c r="K107" s="314"/>
      <c r="L107" s="142"/>
      <c r="M107" s="314"/>
      <c r="N107" s="142"/>
      <c r="O107" s="320"/>
      <c r="P107" s="236"/>
      <c r="Q107" s="318"/>
      <c r="R107" s="245"/>
      <c r="S107" s="245"/>
      <c r="T107" s="245"/>
      <c r="U107" s="245"/>
      <c r="V107" s="246"/>
      <c r="W107" s="30"/>
      <c r="X107" s="2"/>
      <c r="Y107" s="2"/>
      <c r="Z107" s="2"/>
      <c r="AA107" s="2"/>
      <c r="AB107" s="2"/>
      <c r="AC107" s="2"/>
      <c r="AD107" s="2"/>
    </row>
    <row r="108" spans="1:30" ht="12.5" x14ac:dyDescent="0.25">
      <c r="A108" s="2"/>
      <c r="B108" s="2"/>
      <c r="C108" s="11"/>
      <c r="D108" s="337"/>
      <c r="E108" s="277"/>
      <c r="F108" s="277"/>
      <c r="G108" s="277"/>
      <c r="H108" s="277"/>
      <c r="I108" s="338"/>
      <c r="J108" s="111"/>
      <c r="K108" s="316"/>
      <c r="L108" s="232"/>
      <c r="M108" s="316"/>
      <c r="N108" s="232"/>
      <c r="O108" s="317"/>
      <c r="P108" s="232"/>
      <c r="Q108" s="274"/>
      <c r="R108" s="245"/>
      <c r="S108" s="245"/>
      <c r="T108" s="245"/>
      <c r="U108" s="245"/>
      <c r="V108" s="246"/>
      <c r="W108" s="30"/>
      <c r="X108" s="2"/>
      <c r="Y108" s="2"/>
      <c r="Z108" s="2"/>
      <c r="AA108" s="2"/>
      <c r="AB108" s="2"/>
      <c r="AC108" s="2"/>
      <c r="AD108" s="2"/>
    </row>
    <row r="109" spans="1:30" ht="12.5" x14ac:dyDescent="0.25">
      <c r="A109" s="2"/>
      <c r="B109" s="2"/>
      <c r="C109" s="11"/>
      <c r="D109" s="93"/>
      <c r="E109" s="2"/>
      <c r="F109" s="2"/>
      <c r="G109" s="2"/>
      <c r="H109" s="2"/>
      <c r="I109" s="2"/>
      <c r="J109" s="3"/>
      <c r="K109" s="314"/>
      <c r="L109" s="142"/>
      <c r="M109" s="314"/>
      <c r="N109" s="142"/>
      <c r="O109" s="320"/>
      <c r="P109" s="236"/>
      <c r="Q109" s="318"/>
      <c r="R109" s="245"/>
      <c r="S109" s="245"/>
      <c r="T109" s="245"/>
      <c r="U109" s="245"/>
      <c r="V109" s="246"/>
      <c r="W109" s="30"/>
      <c r="X109" s="2"/>
      <c r="Y109" s="2"/>
      <c r="Z109" s="2"/>
      <c r="AA109" s="2"/>
      <c r="AB109" s="2"/>
      <c r="AC109" s="2"/>
      <c r="AD109" s="2"/>
    </row>
    <row r="110" spans="1:30" ht="12.5" x14ac:dyDescent="0.25">
      <c r="A110" s="2"/>
      <c r="B110" s="2"/>
      <c r="C110" s="11"/>
      <c r="D110" s="337"/>
      <c r="E110" s="277"/>
      <c r="F110" s="277"/>
      <c r="G110" s="277"/>
      <c r="H110" s="277"/>
      <c r="I110" s="338"/>
      <c r="J110" s="111"/>
      <c r="K110" s="316"/>
      <c r="L110" s="232"/>
      <c r="M110" s="316"/>
      <c r="N110" s="232"/>
      <c r="O110" s="317"/>
      <c r="P110" s="232"/>
      <c r="Q110" s="274"/>
      <c r="R110" s="245"/>
      <c r="S110" s="245"/>
      <c r="T110" s="245"/>
      <c r="U110" s="245"/>
      <c r="V110" s="246"/>
      <c r="W110" s="30"/>
      <c r="X110" s="2"/>
      <c r="Y110" s="2"/>
      <c r="Z110" s="2"/>
      <c r="AA110" s="2"/>
      <c r="AB110" s="2"/>
      <c r="AC110" s="2"/>
      <c r="AD110" s="2"/>
    </row>
    <row r="111" spans="1:30" ht="12.5" x14ac:dyDescent="0.25">
      <c r="A111" s="2"/>
      <c r="B111" s="2"/>
      <c r="C111" s="11"/>
      <c r="D111" s="93"/>
      <c r="E111" s="2"/>
      <c r="F111" s="2"/>
      <c r="G111" s="2"/>
      <c r="H111" s="2"/>
      <c r="I111" s="2"/>
      <c r="J111" s="3"/>
      <c r="K111" s="314"/>
      <c r="L111" s="142"/>
      <c r="M111" s="314"/>
      <c r="N111" s="142"/>
      <c r="O111" s="320"/>
      <c r="P111" s="236"/>
      <c r="Q111" s="318"/>
      <c r="R111" s="245"/>
      <c r="S111" s="245"/>
      <c r="T111" s="245"/>
      <c r="U111" s="245"/>
      <c r="V111" s="246"/>
      <c r="W111" s="30"/>
      <c r="X111" s="2"/>
      <c r="Y111" s="2"/>
      <c r="Z111" s="2"/>
      <c r="AA111" s="2"/>
      <c r="AB111" s="2"/>
      <c r="AC111" s="2"/>
      <c r="AD111" s="2"/>
    </row>
    <row r="112" spans="1:30" ht="12.5" x14ac:dyDescent="0.25">
      <c r="A112" s="2"/>
      <c r="B112" s="2"/>
      <c r="C112" s="11"/>
      <c r="D112" s="337"/>
      <c r="E112" s="277"/>
      <c r="F112" s="277"/>
      <c r="G112" s="277"/>
      <c r="H112" s="277"/>
      <c r="I112" s="338"/>
      <c r="J112" s="111"/>
      <c r="K112" s="316"/>
      <c r="L112" s="232"/>
      <c r="M112" s="316"/>
      <c r="N112" s="232"/>
      <c r="O112" s="317"/>
      <c r="P112" s="232"/>
      <c r="Q112" s="274"/>
      <c r="R112" s="245"/>
      <c r="S112" s="245"/>
      <c r="T112" s="245"/>
      <c r="U112" s="245"/>
      <c r="V112" s="246"/>
      <c r="W112" s="30"/>
      <c r="X112" s="2"/>
      <c r="Y112" s="2"/>
      <c r="Z112" s="2"/>
      <c r="AA112" s="2"/>
      <c r="AB112" s="2"/>
      <c r="AC112" s="2"/>
      <c r="AD112" s="2"/>
    </row>
    <row r="113" spans="1:30" ht="12.5" x14ac:dyDescent="0.25">
      <c r="A113" s="2"/>
      <c r="B113" s="2"/>
      <c r="C113" s="11"/>
      <c r="D113" s="93"/>
      <c r="E113" s="2"/>
      <c r="F113" s="2"/>
      <c r="G113" s="2"/>
      <c r="H113" s="2"/>
      <c r="I113" s="2"/>
      <c r="J113" s="3"/>
      <c r="K113" s="314"/>
      <c r="L113" s="142"/>
      <c r="M113" s="314"/>
      <c r="N113" s="142"/>
      <c r="O113" s="320"/>
      <c r="P113" s="236"/>
      <c r="Q113" s="318"/>
      <c r="R113" s="245"/>
      <c r="S113" s="245"/>
      <c r="T113" s="245"/>
      <c r="U113" s="245"/>
      <c r="V113" s="246"/>
      <c r="W113" s="30"/>
      <c r="X113" s="2"/>
      <c r="Y113" s="2"/>
      <c r="Z113" s="2"/>
      <c r="AA113" s="2"/>
      <c r="AB113" s="2"/>
      <c r="AC113" s="2"/>
      <c r="AD113" s="2"/>
    </row>
    <row r="114" spans="1:30" ht="12.5" x14ac:dyDescent="0.25">
      <c r="A114" s="2"/>
      <c r="B114" s="2"/>
      <c r="C114" s="11"/>
      <c r="D114" s="337"/>
      <c r="E114" s="277"/>
      <c r="F114" s="277"/>
      <c r="G114" s="277"/>
      <c r="H114" s="277"/>
      <c r="I114" s="338"/>
      <c r="J114" s="111"/>
      <c r="K114" s="316"/>
      <c r="L114" s="232"/>
      <c r="M114" s="316"/>
      <c r="N114" s="232"/>
      <c r="O114" s="317"/>
      <c r="P114" s="232"/>
      <c r="Q114" s="274"/>
      <c r="R114" s="245"/>
      <c r="S114" s="245"/>
      <c r="T114" s="245"/>
      <c r="U114" s="245"/>
      <c r="V114" s="246"/>
      <c r="W114" s="30"/>
      <c r="X114" s="2"/>
      <c r="Y114" s="2"/>
      <c r="Z114" s="2"/>
      <c r="AA114" s="2"/>
      <c r="AB114" s="2"/>
      <c r="AC114" s="2"/>
      <c r="AD114" s="2"/>
    </row>
    <row r="115" spans="1:30" ht="12.5" x14ac:dyDescent="0.25">
      <c r="A115" s="2"/>
      <c r="B115" s="2"/>
      <c r="C115" s="11"/>
      <c r="D115" s="93"/>
      <c r="E115" s="2"/>
      <c r="F115" s="2"/>
      <c r="G115" s="2"/>
      <c r="H115" s="2"/>
      <c r="I115" s="2"/>
      <c r="J115" s="3"/>
      <c r="K115" s="314"/>
      <c r="L115" s="142"/>
      <c r="M115" s="314"/>
      <c r="N115" s="142"/>
      <c r="O115" s="320"/>
      <c r="P115" s="236"/>
      <c r="Q115" s="318"/>
      <c r="R115" s="245"/>
      <c r="S115" s="245"/>
      <c r="T115" s="245"/>
      <c r="U115" s="245"/>
      <c r="V115" s="246"/>
      <c r="W115" s="30"/>
      <c r="X115" s="2"/>
      <c r="Y115" s="2"/>
      <c r="Z115" s="2"/>
      <c r="AA115" s="2"/>
      <c r="AB115" s="2"/>
      <c r="AC115" s="2"/>
      <c r="AD115" s="2"/>
    </row>
    <row r="116" spans="1:30" ht="12.5" x14ac:dyDescent="0.25">
      <c r="A116" s="2"/>
      <c r="B116" s="2"/>
      <c r="C116" s="11"/>
      <c r="D116" s="337"/>
      <c r="E116" s="277"/>
      <c r="F116" s="277"/>
      <c r="G116" s="277"/>
      <c r="H116" s="277"/>
      <c r="I116" s="338"/>
      <c r="J116" s="111"/>
      <c r="K116" s="316"/>
      <c r="L116" s="232"/>
      <c r="M116" s="316"/>
      <c r="N116" s="232"/>
      <c r="O116" s="317"/>
      <c r="P116" s="232"/>
      <c r="Q116" s="274"/>
      <c r="R116" s="245"/>
      <c r="S116" s="245"/>
      <c r="T116" s="245"/>
      <c r="U116" s="245"/>
      <c r="V116" s="246"/>
      <c r="W116" s="30"/>
      <c r="X116" s="2"/>
      <c r="Y116" s="2"/>
      <c r="Z116" s="2"/>
      <c r="AA116" s="2"/>
      <c r="AB116" s="2"/>
      <c r="AC116" s="2"/>
      <c r="AD116" s="2"/>
    </row>
    <row r="117" spans="1:30" ht="12.5" x14ac:dyDescent="0.25">
      <c r="A117" s="2"/>
      <c r="B117" s="2"/>
      <c r="C117" s="11"/>
      <c r="D117" s="93"/>
      <c r="E117" s="2"/>
      <c r="F117" s="2"/>
      <c r="G117" s="2"/>
      <c r="H117" s="2"/>
      <c r="I117" s="2"/>
      <c r="J117" s="3"/>
      <c r="K117" s="314"/>
      <c r="L117" s="142"/>
      <c r="M117" s="314"/>
      <c r="N117" s="142"/>
      <c r="O117" s="320"/>
      <c r="P117" s="236"/>
      <c r="Q117" s="318"/>
      <c r="R117" s="245"/>
      <c r="S117" s="245"/>
      <c r="T117" s="245"/>
      <c r="U117" s="245"/>
      <c r="V117" s="246"/>
      <c r="W117" s="30"/>
      <c r="X117" s="2"/>
      <c r="Y117" s="2"/>
      <c r="Z117" s="2"/>
      <c r="AA117" s="2"/>
      <c r="AB117" s="2"/>
      <c r="AC117" s="2"/>
      <c r="AD117" s="2"/>
    </row>
    <row r="118" spans="1:30" ht="12.5" x14ac:dyDescent="0.25">
      <c r="A118" s="2"/>
      <c r="B118" s="2"/>
      <c r="C118" s="11"/>
      <c r="D118" s="337"/>
      <c r="E118" s="277"/>
      <c r="F118" s="277"/>
      <c r="G118" s="277"/>
      <c r="H118" s="277"/>
      <c r="I118" s="338"/>
      <c r="J118" s="111"/>
      <c r="K118" s="316"/>
      <c r="L118" s="232"/>
      <c r="M118" s="316"/>
      <c r="N118" s="232"/>
      <c r="O118" s="317"/>
      <c r="P118" s="232"/>
      <c r="Q118" s="274"/>
      <c r="R118" s="245"/>
      <c r="S118" s="245"/>
      <c r="T118" s="245"/>
      <c r="U118" s="245"/>
      <c r="V118" s="246"/>
      <c r="W118" s="30"/>
      <c r="X118" s="2"/>
      <c r="Y118" s="2"/>
      <c r="Z118" s="2"/>
      <c r="AA118" s="2"/>
      <c r="AB118" s="2"/>
      <c r="AC118" s="2"/>
      <c r="AD118" s="2"/>
    </row>
    <row r="119" spans="1:30" ht="12.5" x14ac:dyDescent="0.25">
      <c r="A119" s="2"/>
      <c r="B119" s="2"/>
      <c r="C119" s="11"/>
      <c r="D119" s="112"/>
      <c r="E119" s="28"/>
      <c r="F119" s="28"/>
      <c r="G119" s="28"/>
      <c r="H119" s="28"/>
      <c r="I119" s="28"/>
      <c r="J119" s="5"/>
      <c r="K119" s="339"/>
      <c r="L119" s="198"/>
      <c r="M119" s="339"/>
      <c r="N119" s="198"/>
      <c r="O119" s="320"/>
      <c r="P119" s="236"/>
      <c r="Q119" s="322"/>
      <c r="R119" s="194"/>
      <c r="S119" s="194"/>
      <c r="T119" s="194"/>
      <c r="U119" s="194"/>
      <c r="V119" s="323"/>
      <c r="W119" s="30"/>
      <c r="X119" s="2"/>
      <c r="Y119" s="2"/>
      <c r="Z119" s="2"/>
      <c r="AA119" s="2"/>
      <c r="AB119" s="2"/>
      <c r="AC119" s="2"/>
      <c r="AD119" s="2"/>
    </row>
    <row r="120" spans="1:30" ht="13" x14ac:dyDescent="0.3">
      <c r="A120" s="2"/>
      <c r="B120" s="2"/>
      <c r="C120" s="11"/>
      <c r="D120" s="335" t="s">
        <v>14</v>
      </c>
      <c r="E120" s="224"/>
      <c r="F120" s="224"/>
      <c r="G120" s="224"/>
      <c r="H120" s="224"/>
      <c r="I120" s="224"/>
      <c r="J120" s="224"/>
      <c r="K120" s="224"/>
      <c r="L120" s="224"/>
      <c r="M120" s="224"/>
      <c r="N120" s="273"/>
      <c r="O120" s="340">
        <f>SUM(O59:P119)</f>
        <v>0</v>
      </c>
      <c r="P120" s="273"/>
      <c r="Q120" s="113"/>
      <c r="R120" s="113"/>
      <c r="S120" s="113"/>
      <c r="T120" s="113"/>
      <c r="U120" s="113"/>
      <c r="V120" s="114"/>
      <c r="W120" s="30"/>
      <c r="X120" s="2"/>
      <c r="Y120" s="2"/>
      <c r="Z120" s="2"/>
      <c r="AA120" s="2"/>
      <c r="AB120" s="2"/>
      <c r="AC120" s="2"/>
      <c r="AD120" s="2"/>
    </row>
    <row r="121" spans="1:30" ht="12.5" x14ac:dyDescent="0.25">
      <c r="A121" s="2"/>
      <c r="B121" s="2"/>
      <c r="C121" s="2"/>
      <c r="D121" s="35"/>
      <c r="E121" s="35"/>
      <c r="F121" s="35"/>
      <c r="G121" s="35"/>
      <c r="H121" s="35"/>
      <c r="I121" s="35"/>
      <c r="J121" s="4"/>
      <c r="K121" s="4"/>
      <c r="L121" s="4"/>
      <c r="M121" s="4"/>
      <c r="N121" s="4"/>
      <c r="O121" s="4"/>
      <c r="P121" s="4"/>
      <c r="Q121" s="35"/>
      <c r="R121" s="35"/>
      <c r="S121" s="35"/>
      <c r="T121" s="35"/>
      <c r="U121" s="35"/>
      <c r="V121" s="35"/>
      <c r="W121" s="2"/>
      <c r="X121" s="2"/>
      <c r="Y121" s="2"/>
      <c r="Z121" s="2"/>
      <c r="AA121" s="2"/>
      <c r="AB121" s="2"/>
      <c r="AC121" s="2"/>
      <c r="AD121" s="2"/>
    </row>
    <row r="122" spans="1:30" ht="12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3"/>
      <c r="K122" s="3"/>
      <c r="L122" s="3"/>
      <c r="M122" s="3"/>
      <c r="N122" s="3"/>
      <c r="O122" s="3"/>
      <c r="P122" s="3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2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3"/>
      <c r="K123" s="3"/>
      <c r="L123" s="3"/>
      <c r="M123" s="3"/>
      <c r="N123" s="3"/>
      <c r="O123" s="3"/>
      <c r="P123" s="3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2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3"/>
      <c r="K124" s="3"/>
      <c r="L124" s="3"/>
      <c r="M124" s="3"/>
      <c r="N124" s="3"/>
      <c r="O124" s="3"/>
      <c r="P124" s="3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2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3"/>
      <c r="K125" s="3"/>
      <c r="L125" s="3"/>
      <c r="M125" s="3"/>
      <c r="N125" s="3"/>
      <c r="O125" s="3"/>
      <c r="P125" s="3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2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3"/>
      <c r="K126" s="3"/>
      <c r="L126" s="3"/>
      <c r="M126" s="3"/>
      <c r="N126" s="3"/>
      <c r="O126" s="3"/>
      <c r="P126" s="3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2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3"/>
      <c r="K127" s="3"/>
      <c r="L127" s="3"/>
      <c r="M127" s="3"/>
      <c r="N127" s="3"/>
      <c r="O127" s="3"/>
      <c r="P127" s="3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2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3"/>
      <c r="K128" s="3"/>
      <c r="L128" s="3"/>
      <c r="M128" s="3"/>
      <c r="N128" s="3"/>
      <c r="O128" s="3"/>
      <c r="P128" s="3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2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3"/>
      <c r="K129" s="3"/>
      <c r="L129" s="3"/>
      <c r="M129" s="3"/>
      <c r="N129" s="3"/>
      <c r="O129" s="3"/>
      <c r="P129" s="3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2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3"/>
      <c r="K130" s="3"/>
      <c r="L130" s="3"/>
      <c r="M130" s="3"/>
      <c r="N130" s="3"/>
      <c r="O130" s="3"/>
      <c r="P130" s="3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2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3"/>
      <c r="K131" s="3"/>
      <c r="L131" s="3"/>
      <c r="M131" s="3"/>
      <c r="N131" s="3"/>
      <c r="O131" s="3"/>
      <c r="P131" s="3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2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3"/>
      <c r="K132" s="3"/>
      <c r="L132" s="3"/>
      <c r="M132" s="3"/>
      <c r="N132" s="3"/>
      <c r="O132" s="3"/>
      <c r="P132" s="3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2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3"/>
      <c r="K133" s="3"/>
      <c r="L133" s="3"/>
      <c r="M133" s="3"/>
      <c r="N133" s="3"/>
      <c r="O133" s="3"/>
      <c r="P133" s="3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2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3"/>
      <c r="K134" s="3"/>
      <c r="L134" s="3"/>
      <c r="M134" s="3"/>
      <c r="N134" s="3"/>
      <c r="O134" s="3"/>
      <c r="P134" s="3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2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3"/>
      <c r="K135" s="3"/>
      <c r="L135" s="3"/>
      <c r="M135" s="3"/>
      <c r="N135" s="3"/>
      <c r="O135" s="3"/>
      <c r="P135" s="3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2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3"/>
      <c r="K136" s="3"/>
      <c r="L136" s="3"/>
      <c r="M136" s="3"/>
      <c r="N136" s="3"/>
      <c r="O136" s="3"/>
      <c r="P136" s="3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2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3"/>
      <c r="K137" s="3"/>
      <c r="L137" s="3"/>
      <c r="M137" s="3"/>
      <c r="N137" s="3"/>
      <c r="O137" s="3"/>
      <c r="P137" s="3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2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3"/>
      <c r="K138" s="3"/>
      <c r="L138" s="3"/>
      <c r="M138" s="3"/>
      <c r="N138" s="3"/>
      <c r="O138" s="3"/>
      <c r="P138" s="3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2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3"/>
      <c r="K139" s="3"/>
      <c r="L139" s="3"/>
      <c r="M139" s="3"/>
      <c r="N139" s="3"/>
      <c r="O139" s="3"/>
      <c r="P139" s="3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2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3"/>
      <c r="K140" s="3"/>
      <c r="L140" s="3"/>
      <c r="M140" s="3"/>
      <c r="N140" s="3"/>
      <c r="O140" s="3"/>
      <c r="P140" s="3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2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3"/>
      <c r="K141" s="3"/>
      <c r="L141" s="3"/>
      <c r="M141" s="3"/>
      <c r="N141" s="3"/>
      <c r="O141" s="3"/>
      <c r="P141" s="3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2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3"/>
      <c r="K142" s="3"/>
      <c r="L142" s="3"/>
      <c r="M142" s="3"/>
      <c r="N142" s="3"/>
      <c r="O142" s="3"/>
      <c r="P142" s="3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2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3"/>
      <c r="K143" s="3"/>
      <c r="L143" s="3"/>
      <c r="M143" s="3"/>
      <c r="N143" s="3"/>
      <c r="O143" s="3"/>
      <c r="P143" s="3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2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3"/>
      <c r="K144" s="3"/>
      <c r="L144" s="3"/>
      <c r="M144" s="3"/>
      <c r="N144" s="3"/>
      <c r="O144" s="3"/>
      <c r="P144" s="3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2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3"/>
      <c r="K145" s="3"/>
      <c r="L145" s="3"/>
      <c r="M145" s="3"/>
      <c r="N145" s="3"/>
      <c r="O145" s="3"/>
      <c r="P145" s="3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2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3"/>
      <c r="K146" s="3"/>
      <c r="L146" s="3"/>
      <c r="M146" s="3"/>
      <c r="N146" s="3"/>
      <c r="O146" s="3"/>
      <c r="P146" s="3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2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3"/>
      <c r="K147" s="3"/>
      <c r="L147" s="3"/>
      <c r="M147" s="3"/>
      <c r="N147" s="3"/>
      <c r="O147" s="3"/>
      <c r="P147" s="3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2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3"/>
      <c r="K148" s="3"/>
      <c r="L148" s="3"/>
      <c r="M148" s="3"/>
      <c r="N148" s="3"/>
      <c r="O148" s="3"/>
      <c r="P148" s="3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2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3"/>
      <c r="K149" s="3"/>
      <c r="L149" s="3"/>
      <c r="M149" s="3"/>
      <c r="N149" s="3"/>
      <c r="O149" s="3"/>
      <c r="P149" s="3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2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3"/>
      <c r="K150" s="3"/>
      <c r="L150" s="3"/>
      <c r="M150" s="3"/>
      <c r="N150" s="3"/>
      <c r="O150" s="3"/>
      <c r="P150" s="3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2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3"/>
      <c r="K151" s="3"/>
      <c r="L151" s="3"/>
      <c r="M151" s="3"/>
      <c r="N151" s="3"/>
      <c r="O151" s="3"/>
      <c r="P151" s="3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2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3"/>
      <c r="K152" s="3"/>
      <c r="L152" s="3"/>
      <c r="M152" s="3"/>
      <c r="N152" s="3"/>
      <c r="O152" s="3"/>
      <c r="P152" s="3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2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3"/>
      <c r="K153" s="3"/>
      <c r="L153" s="3"/>
      <c r="M153" s="3"/>
      <c r="N153" s="3"/>
      <c r="O153" s="3"/>
      <c r="P153" s="3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2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3"/>
      <c r="K154" s="3"/>
      <c r="L154" s="3"/>
      <c r="M154" s="3"/>
      <c r="N154" s="3"/>
      <c r="O154" s="3"/>
      <c r="P154" s="3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2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3"/>
      <c r="K155" s="3"/>
      <c r="L155" s="3"/>
      <c r="M155" s="3"/>
      <c r="N155" s="3"/>
      <c r="O155" s="3"/>
      <c r="P155" s="3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2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3"/>
      <c r="K156" s="3"/>
      <c r="L156" s="3"/>
      <c r="M156" s="3"/>
      <c r="N156" s="3"/>
      <c r="O156" s="3"/>
      <c r="P156" s="3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2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3"/>
      <c r="K157" s="3"/>
      <c r="L157" s="3"/>
      <c r="M157" s="3"/>
      <c r="N157" s="3"/>
      <c r="O157" s="3"/>
      <c r="P157" s="3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2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3"/>
      <c r="K158" s="3"/>
      <c r="L158" s="3"/>
      <c r="M158" s="3"/>
      <c r="N158" s="3"/>
      <c r="O158" s="3"/>
      <c r="P158" s="3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2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3"/>
      <c r="K159" s="3"/>
      <c r="L159" s="3"/>
      <c r="M159" s="3"/>
      <c r="N159" s="3"/>
      <c r="O159" s="3"/>
      <c r="P159" s="3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2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3"/>
      <c r="K160" s="3"/>
      <c r="L160" s="3"/>
      <c r="M160" s="3"/>
      <c r="N160" s="3"/>
      <c r="O160" s="3"/>
      <c r="P160" s="3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2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3"/>
      <c r="K161" s="3"/>
      <c r="L161" s="3"/>
      <c r="M161" s="3"/>
      <c r="N161" s="3"/>
      <c r="O161" s="3"/>
      <c r="P161" s="3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2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3"/>
      <c r="K162" s="3"/>
      <c r="L162" s="3"/>
      <c r="M162" s="3"/>
      <c r="N162" s="3"/>
      <c r="O162" s="3"/>
      <c r="P162" s="3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2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3"/>
      <c r="K163" s="3"/>
      <c r="L163" s="3"/>
      <c r="M163" s="3"/>
      <c r="N163" s="3"/>
      <c r="O163" s="3"/>
      <c r="P163" s="3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2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3"/>
      <c r="K164" s="3"/>
      <c r="L164" s="3"/>
      <c r="M164" s="3"/>
      <c r="N164" s="3"/>
      <c r="O164" s="3"/>
      <c r="P164" s="3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2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3"/>
      <c r="K165" s="3"/>
      <c r="L165" s="3"/>
      <c r="M165" s="3"/>
      <c r="N165" s="3"/>
      <c r="O165" s="3"/>
      <c r="P165" s="3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2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3"/>
      <c r="K166" s="3"/>
      <c r="L166" s="3"/>
      <c r="M166" s="3"/>
      <c r="N166" s="3"/>
      <c r="O166" s="3"/>
      <c r="P166" s="3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2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3"/>
      <c r="K167" s="3"/>
      <c r="L167" s="3"/>
      <c r="M167" s="3"/>
      <c r="N167" s="3"/>
      <c r="O167" s="3"/>
      <c r="P167" s="3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2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3"/>
      <c r="K168" s="3"/>
      <c r="L168" s="3"/>
      <c r="M168" s="3"/>
      <c r="N168" s="3"/>
      <c r="O168" s="3"/>
      <c r="P168" s="3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2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3"/>
      <c r="K169" s="3"/>
      <c r="L169" s="3"/>
      <c r="M169" s="3"/>
      <c r="N169" s="3"/>
      <c r="O169" s="3"/>
      <c r="P169" s="3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2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3"/>
      <c r="K170" s="3"/>
      <c r="L170" s="3"/>
      <c r="M170" s="3"/>
      <c r="N170" s="3"/>
      <c r="O170" s="3"/>
      <c r="P170" s="3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2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3"/>
      <c r="K171" s="3"/>
      <c r="L171" s="3"/>
      <c r="M171" s="3"/>
      <c r="N171" s="3"/>
      <c r="O171" s="3"/>
      <c r="P171" s="3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2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3"/>
      <c r="K172" s="3"/>
      <c r="L172" s="3"/>
      <c r="M172" s="3"/>
      <c r="N172" s="3"/>
      <c r="O172" s="3"/>
      <c r="P172" s="3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2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3"/>
      <c r="K173" s="3"/>
      <c r="L173" s="3"/>
      <c r="M173" s="3"/>
      <c r="N173" s="3"/>
      <c r="O173" s="3"/>
      <c r="P173" s="3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2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3"/>
      <c r="K174" s="3"/>
      <c r="L174" s="3"/>
      <c r="M174" s="3"/>
      <c r="N174" s="3"/>
      <c r="O174" s="3"/>
      <c r="P174" s="3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2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3"/>
      <c r="K175" s="3"/>
      <c r="L175" s="3"/>
      <c r="M175" s="3"/>
      <c r="N175" s="3"/>
      <c r="O175" s="3"/>
      <c r="P175" s="3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2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3"/>
      <c r="K176" s="3"/>
      <c r="L176" s="3"/>
      <c r="M176" s="3"/>
      <c r="N176" s="3"/>
      <c r="O176" s="3"/>
      <c r="P176" s="3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2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3"/>
      <c r="K177" s="3"/>
      <c r="L177" s="3"/>
      <c r="M177" s="3"/>
      <c r="N177" s="3"/>
      <c r="O177" s="3"/>
      <c r="P177" s="3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2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3"/>
      <c r="K178" s="3"/>
      <c r="L178" s="3"/>
      <c r="M178" s="3"/>
      <c r="N178" s="3"/>
      <c r="O178" s="3"/>
      <c r="P178" s="3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2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3"/>
      <c r="K179" s="3"/>
      <c r="L179" s="3"/>
      <c r="M179" s="3"/>
      <c r="N179" s="3"/>
      <c r="O179" s="3"/>
      <c r="P179" s="3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2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3"/>
      <c r="K180" s="3"/>
      <c r="L180" s="3"/>
      <c r="M180" s="3"/>
      <c r="N180" s="3"/>
      <c r="O180" s="3"/>
      <c r="P180" s="3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2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3"/>
      <c r="K181" s="3"/>
      <c r="L181" s="3"/>
      <c r="M181" s="3"/>
      <c r="N181" s="3"/>
      <c r="O181" s="3"/>
      <c r="P181" s="3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2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3"/>
      <c r="K182" s="3"/>
      <c r="L182" s="3"/>
      <c r="M182" s="3"/>
      <c r="N182" s="3"/>
      <c r="O182" s="3"/>
      <c r="P182" s="3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2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3"/>
      <c r="K183" s="3"/>
      <c r="L183" s="3"/>
      <c r="M183" s="3"/>
      <c r="N183" s="3"/>
      <c r="O183" s="3"/>
      <c r="P183" s="3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2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3"/>
      <c r="K184" s="3"/>
      <c r="L184" s="3"/>
      <c r="M184" s="3"/>
      <c r="N184" s="3"/>
      <c r="O184" s="3"/>
      <c r="P184" s="3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2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3"/>
      <c r="K185" s="3"/>
      <c r="L185" s="3"/>
      <c r="M185" s="3"/>
      <c r="N185" s="3"/>
      <c r="O185" s="3"/>
      <c r="P185" s="3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2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3"/>
      <c r="K186" s="3"/>
      <c r="L186" s="3"/>
      <c r="M186" s="3"/>
      <c r="N186" s="3"/>
      <c r="O186" s="3"/>
      <c r="P186" s="3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2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3"/>
      <c r="K187" s="3"/>
      <c r="L187" s="3"/>
      <c r="M187" s="3"/>
      <c r="N187" s="3"/>
      <c r="O187" s="3"/>
      <c r="P187" s="3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2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3"/>
      <c r="K188" s="3"/>
      <c r="L188" s="3"/>
      <c r="M188" s="3"/>
      <c r="N188" s="3"/>
      <c r="O188" s="3"/>
      <c r="P188" s="3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2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3"/>
      <c r="K189" s="3"/>
      <c r="L189" s="3"/>
      <c r="M189" s="3"/>
      <c r="N189" s="3"/>
      <c r="O189" s="3"/>
      <c r="P189" s="3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2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3"/>
      <c r="K190" s="3"/>
      <c r="L190" s="3"/>
      <c r="M190" s="3"/>
      <c r="N190" s="3"/>
      <c r="O190" s="3"/>
      <c r="P190" s="3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2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3"/>
      <c r="K191" s="3"/>
      <c r="L191" s="3"/>
      <c r="M191" s="3"/>
      <c r="N191" s="3"/>
      <c r="O191" s="3"/>
      <c r="P191" s="3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3"/>
      <c r="K192" s="3"/>
      <c r="L192" s="3"/>
      <c r="M192" s="3"/>
      <c r="N192" s="3"/>
      <c r="O192" s="3"/>
      <c r="P192" s="3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3"/>
      <c r="K193" s="3"/>
      <c r="L193" s="3"/>
      <c r="M193" s="3"/>
      <c r="N193" s="3"/>
      <c r="O193" s="3"/>
      <c r="P193" s="3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3"/>
      <c r="K194" s="3"/>
      <c r="L194" s="3"/>
      <c r="M194" s="3"/>
      <c r="N194" s="3"/>
      <c r="O194" s="3"/>
      <c r="P194" s="3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3"/>
      <c r="K195" s="3"/>
      <c r="L195" s="3"/>
      <c r="M195" s="3"/>
      <c r="N195" s="3"/>
      <c r="O195" s="3"/>
      <c r="P195" s="3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3"/>
      <c r="K196" s="3"/>
      <c r="L196" s="3"/>
      <c r="M196" s="3"/>
      <c r="N196" s="3"/>
      <c r="O196" s="3"/>
      <c r="P196" s="3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3"/>
      <c r="K197" s="3"/>
      <c r="L197" s="3"/>
      <c r="M197" s="3"/>
      <c r="N197" s="3"/>
      <c r="O197" s="3"/>
      <c r="P197" s="3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3"/>
      <c r="K198" s="3"/>
      <c r="L198" s="3"/>
      <c r="M198" s="3"/>
      <c r="N198" s="3"/>
      <c r="O198" s="3"/>
      <c r="P198" s="3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3"/>
      <c r="K199" s="3"/>
      <c r="L199" s="3"/>
      <c r="M199" s="3"/>
      <c r="N199" s="3"/>
      <c r="O199" s="3"/>
      <c r="P199" s="3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3"/>
      <c r="K200" s="3"/>
      <c r="L200" s="3"/>
      <c r="M200" s="3"/>
      <c r="N200" s="3"/>
      <c r="O200" s="3"/>
      <c r="P200" s="3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3"/>
      <c r="K201" s="3"/>
      <c r="L201" s="3"/>
      <c r="M201" s="3"/>
      <c r="N201" s="3"/>
      <c r="O201" s="3"/>
      <c r="P201" s="3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3"/>
      <c r="K202" s="3"/>
      <c r="L202" s="3"/>
      <c r="M202" s="3"/>
      <c r="N202" s="3"/>
      <c r="O202" s="3"/>
      <c r="P202" s="3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3"/>
      <c r="K203" s="3"/>
      <c r="L203" s="3"/>
      <c r="M203" s="3"/>
      <c r="N203" s="3"/>
      <c r="O203" s="3"/>
      <c r="P203" s="3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3"/>
      <c r="K204" s="3"/>
      <c r="L204" s="3"/>
      <c r="M204" s="3"/>
      <c r="N204" s="3"/>
      <c r="O204" s="3"/>
      <c r="P204" s="3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3"/>
      <c r="K205" s="3"/>
      <c r="L205" s="3"/>
      <c r="M205" s="3"/>
      <c r="N205" s="3"/>
      <c r="O205" s="3"/>
      <c r="P205" s="3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3"/>
      <c r="K206" s="3"/>
      <c r="L206" s="3"/>
      <c r="M206" s="3"/>
      <c r="N206" s="3"/>
      <c r="O206" s="3"/>
      <c r="P206" s="3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3"/>
      <c r="K207" s="3"/>
      <c r="L207" s="3"/>
      <c r="M207" s="3"/>
      <c r="N207" s="3"/>
      <c r="O207" s="3"/>
      <c r="P207" s="3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3"/>
      <c r="K208" s="3"/>
      <c r="L208" s="3"/>
      <c r="M208" s="3"/>
      <c r="N208" s="3"/>
      <c r="O208" s="3"/>
      <c r="P208" s="3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3"/>
      <c r="K209" s="3"/>
      <c r="L209" s="3"/>
      <c r="M209" s="3"/>
      <c r="N209" s="3"/>
      <c r="O209" s="3"/>
      <c r="P209" s="3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3"/>
      <c r="K210" s="3"/>
      <c r="L210" s="3"/>
      <c r="M210" s="3"/>
      <c r="N210" s="3"/>
      <c r="O210" s="3"/>
      <c r="P210" s="3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3"/>
      <c r="K211" s="3"/>
      <c r="L211" s="3"/>
      <c r="M211" s="3"/>
      <c r="N211" s="3"/>
      <c r="O211" s="3"/>
      <c r="P211" s="3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3"/>
      <c r="K212" s="3"/>
      <c r="L212" s="3"/>
      <c r="M212" s="3"/>
      <c r="N212" s="3"/>
      <c r="O212" s="3"/>
      <c r="P212" s="3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3"/>
      <c r="K213" s="3"/>
      <c r="L213" s="3"/>
      <c r="M213" s="3"/>
      <c r="N213" s="3"/>
      <c r="O213" s="3"/>
      <c r="P213" s="3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3"/>
      <c r="K214" s="3"/>
      <c r="L214" s="3"/>
      <c r="M214" s="3"/>
      <c r="N214" s="3"/>
      <c r="O214" s="3"/>
      <c r="P214" s="3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3"/>
      <c r="K215" s="3"/>
      <c r="L215" s="3"/>
      <c r="M215" s="3"/>
      <c r="N215" s="3"/>
      <c r="O215" s="3"/>
      <c r="P215" s="3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3"/>
      <c r="K216" s="3"/>
      <c r="L216" s="3"/>
      <c r="M216" s="3"/>
      <c r="N216" s="3"/>
      <c r="O216" s="3"/>
      <c r="P216" s="3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3"/>
      <c r="K217" s="3"/>
      <c r="L217" s="3"/>
      <c r="M217" s="3"/>
      <c r="N217" s="3"/>
      <c r="O217" s="3"/>
      <c r="P217" s="3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3"/>
      <c r="K218" s="3"/>
      <c r="L218" s="3"/>
      <c r="M218" s="3"/>
      <c r="N218" s="3"/>
      <c r="O218" s="3"/>
      <c r="P218" s="3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3"/>
      <c r="K219" s="3"/>
      <c r="L219" s="3"/>
      <c r="M219" s="3"/>
      <c r="N219" s="3"/>
      <c r="O219" s="3"/>
      <c r="P219" s="3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3"/>
      <c r="K220" s="3"/>
      <c r="L220" s="3"/>
      <c r="M220" s="3"/>
      <c r="N220" s="3"/>
      <c r="O220" s="3"/>
      <c r="P220" s="3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3"/>
      <c r="K221" s="3"/>
      <c r="L221" s="3"/>
      <c r="M221" s="3"/>
      <c r="N221" s="3"/>
      <c r="O221" s="3"/>
      <c r="P221" s="3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3"/>
      <c r="K222" s="3"/>
      <c r="L222" s="3"/>
      <c r="M222" s="3"/>
      <c r="N222" s="3"/>
      <c r="O222" s="3"/>
      <c r="P222" s="3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3"/>
      <c r="K223" s="3"/>
      <c r="L223" s="3"/>
      <c r="M223" s="3"/>
      <c r="N223" s="3"/>
      <c r="O223" s="3"/>
      <c r="P223" s="3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3"/>
      <c r="K224" s="3"/>
      <c r="L224" s="3"/>
      <c r="M224" s="3"/>
      <c r="N224" s="3"/>
      <c r="O224" s="3"/>
      <c r="P224" s="3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3"/>
      <c r="K225" s="3"/>
      <c r="L225" s="3"/>
      <c r="M225" s="3"/>
      <c r="N225" s="3"/>
      <c r="O225" s="3"/>
      <c r="P225" s="3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3"/>
      <c r="K226" s="3"/>
      <c r="L226" s="3"/>
      <c r="M226" s="3"/>
      <c r="N226" s="3"/>
      <c r="O226" s="3"/>
      <c r="P226" s="3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3"/>
      <c r="K227" s="3"/>
      <c r="L227" s="3"/>
      <c r="M227" s="3"/>
      <c r="N227" s="3"/>
      <c r="O227" s="3"/>
      <c r="P227" s="3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3"/>
      <c r="K228" s="3"/>
      <c r="L228" s="3"/>
      <c r="M228" s="3"/>
      <c r="N228" s="3"/>
      <c r="O228" s="3"/>
      <c r="P228" s="3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3"/>
      <c r="K229" s="3"/>
      <c r="L229" s="3"/>
      <c r="M229" s="3"/>
      <c r="N229" s="3"/>
      <c r="O229" s="3"/>
      <c r="P229" s="3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3"/>
      <c r="K230" s="3"/>
      <c r="L230" s="3"/>
      <c r="M230" s="3"/>
      <c r="N230" s="3"/>
      <c r="O230" s="3"/>
      <c r="P230" s="3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3"/>
      <c r="K231" s="3"/>
      <c r="L231" s="3"/>
      <c r="M231" s="3"/>
      <c r="N231" s="3"/>
      <c r="O231" s="3"/>
      <c r="P231" s="3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3"/>
      <c r="K232" s="3"/>
      <c r="L232" s="3"/>
      <c r="M232" s="3"/>
      <c r="N232" s="3"/>
      <c r="O232" s="3"/>
      <c r="P232" s="3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3"/>
      <c r="K233" s="3"/>
      <c r="L233" s="3"/>
      <c r="M233" s="3"/>
      <c r="N233" s="3"/>
      <c r="O233" s="3"/>
      <c r="P233" s="3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3"/>
      <c r="K234" s="3"/>
      <c r="L234" s="3"/>
      <c r="M234" s="3"/>
      <c r="N234" s="3"/>
      <c r="O234" s="3"/>
      <c r="P234" s="3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3"/>
      <c r="K235" s="3"/>
      <c r="L235" s="3"/>
      <c r="M235" s="3"/>
      <c r="N235" s="3"/>
      <c r="O235" s="3"/>
      <c r="P235" s="3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3"/>
      <c r="K236" s="3"/>
      <c r="L236" s="3"/>
      <c r="M236" s="3"/>
      <c r="N236" s="3"/>
      <c r="O236" s="3"/>
      <c r="P236" s="3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3"/>
      <c r="K237" s="3"/>
      <c r="L237" s="3"/>
      <c r="M237" s="3"/>
      <c r="N237" s="3"/>
      <c r="O237" s="3"/>
      <c r="P237" s="3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3"/>
      <c r="K238" s="3"/>
      <c r="L238" s="3"/>
      <c r="M238" s="3"/>
      <c r="N238" s="3"/>
      <c r="O238" s="3"/>
      <c r="P238" s="3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3"/>
      <c r="K239" s="3"/>
      <c r="L239" s="3"/>
      <c r="M239" s="3"/>
      <c r="N239" s="3"/>
      <c r="O239" s="3"/>
      <c r="P239" s="3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3"/>
      <c r="K240" s="3"/>
      <c r="L240" s="3"/>
      <c r="M240" s="3"/>
      <c r="N240" s="3"/>
      <c r="O240" s="3"/>
      <c r="P240" s="3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3"/>
      <c r="K241" s="3"/>
      <c r="L241" s="3"/>
      <c r="M241" s="3"/>
      <c r="N241" s="3"/>
      <c r="O241" s="3"/>
      <c r="P241" s="3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3"/>
      <c r="K242" s="3"/>
      <c r="L242" s="3"/>
      <c r="M242" s="3"/>
      <c r="N242" s="3"/>
      <c r="O242" s="3"/>
      <c r="P242" s="3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3"/>
      <c r="K243" s="3"/>
      <c r="L243" s="3"/>
      <c r="M243" s="3"/>
      <c r="N243" s="3"/>
      <c r="O243" s="3"/>
      <c r="P243" s="3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3"/>
      <c r="K244" s="3"/>
      <c r="L244" s="3"/>
      <c r="M244" s="3"/>
      <c r="N244" s="3"/>
      <c r="O244" s="3"/>
      <c r="P244" s="3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3"/>
      <c r="K245" s="3"/>
      <c r="L245" s="3"/>
      <c r="M245" s="3"/>
      <c r="N245" s="3"/>
      <c r="O245" s="3"/>
      <c r="P245" s="3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3"/>
      <c r="K246" s="3"/>
      <c r="L246" s="3"/>
      <c r="M246" s="3"/>
      <c r="N246" s="3"/>
      <c r="O246" s="3"/>
      <c r="P246" s="3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3"/>
      <c r="K247" s="3"/>
      <c r="L247" s="3"/>
      <c r="M247" s="3"/>
      <c r="N247" s="3"/>
      <c r="O247" s="3"/>
      <c r="P247" s="3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3"/>
      <c r="K248" s="3"/>
      <c r="L248" s="3"/>
      <c r="M248" s="3"/>
      <c r="N248" s="3"/>
      <c r="O248" s="3"/>
      <c r="P248" s="3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3"/>
      <c r="K249" s="3"/>
      <c r="L249" s="3"/>
      <c r="M249" s="3"/>
      <c r="N249" s="3"/>
      <c r="O249" s="3"/>
      <c r="P249" s="3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3"/>
      <c r="K250" s="3"/>
      <c r="L250" s="3"/>
      <c r="M250" s="3"/>
      <c r="N250" s="3"/>
      <c r="O250" s="3"/>
      <c r="P250" s="3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3"/>
      <c r="K251" s="3"/>
      <c r="L251" s="3"/>
      <c r="M251" s="3"/>
      <c r="N251" s="3"/>
      <c r="O251" s="3"/>
      <c r="P251" s="3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3"/>
      <c r="K252" s="3"/>
      <c r="L252" s="3"/>
      <c r="M252" s="3"/>
      <c r="N252" s="3"/>
      <c r="O252" s="3"/>
      <c r="P252" s="3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3"/>
      <c r="K253" s="3"/>
      <c r="L253" s="3"/>
      <c r="M253" s="3"/>
      <c r="N253" s="3"/>
      <c r="O253" s="3"/>
      <c r="P253" s="3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3"/>
      <c r="K254" s="3"/>
      <c r="L254" s="3"/>
      <c r="M254" s="3"/>
      <c r="N254" s="3"/>
      <c r="O254" s="3"/>
      <c r="P254" s="3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3"/>
      <c r="K255" s="3"/>
      <c r="L255" s="3"/>
      <c r="M255" s="3"/>
      <c r="N255" s="3"/>
      <c r="O255" s="3"/>
      <c r="P255" s="3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3"/>
      <c r="K256" s="3"/>
      <c r="L256" s="3"/>
      <c r="M256" s="3"/>
      <c r="N256" s="3"/>
      <c r="O256" s="3"/>
      <c r="P256" s="3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3"/>
      <c r="K257" s="3"/>
      <c r="L257" s="3"/>
      <c r="M257" s="3"/>
      <c r="N257" s="3"/>
      <c r="O257" s="3"/>
      <c r="P257" s="3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3"/>
      <c r="K258" s="3"/>
      <c r="L258" s="3"/>
      <c r="M258" s="3"/>
      <c r="N258" s="3"/>
      <c r="O258" s="3"/>
      <c r="P258" s="3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3"/>
      <c r="K259" s="3"/>
      <c r="L259" s="3"/>
      <c r="M259" s="3"/>
      <c r="N259" s="3"/>
      <c r="O259" s="3"/>
      <c r="P259" s="3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3"/>
      <c r="K260" s="3"/>
      <c r="L260" s="3"/>
      <c r="M260" s="3"/>
      <c r="N260" s="3"/>
      <c r="O260" s="3"/>
      <c r="P260" s="3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3"/>
      <c r="K261" s="3"/>
      <c r="L261" s="3"/>
      <c r="M261" s="3"/>
      <c r="N261" s="3"/>
      <c r="O261" s="3"/>
      <c r="P261" s="3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3"/>
      <c r="K262" s="3"/>
      <c r="L262" s="3"/>
      <c r="M262" s="3"/>
      <c r="N262" s="3"/>
      <c r="O262" s="3"/>
      <c r="P262" s="3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3"/>
      <c r="K263" s="3"/>
      <c r="L263" s="3"/>
      <c r="M263" s="3"/>
      <c r="N263" s="3"/>
      <c r="O263" s="3"/>
      <c r="P263" s="3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3"/>
      <c r="K264" s="3"/>
      <c r="L264" s="3"/>
      <c r="M264" s="3"/>
      <c r="N264" s="3"/>
      <c r="O264" s="3"/>
      <c r="P264" s="3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3"/>
      <c r="K265" s="3"/>
      <c r="L265" s="3"/>
      <c r="M265" s="3"/>
      <c r="N265" s="3"/>
      <c r="O265" s="3"/>
      <c r="P265" s="3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3"/>
      <c r="K266" s="3"/>
      <c r="L266" s="3"/>
      <c r="M266" s="3"/>
      <c r="N266" s="3"/>
      <c r="O266" s="3"/>
      <c r="P266" s="3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3"/>
      <c r="K267" s="3"/>
      <c r="L267" s="3"/>
      <c r="M267" s="3"/>
      <c r="N267" s="3"/>
      <c r="O267" s="3"/>
      <c r="P267" s="3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3"/>
      <c r="K268" s="3"/>
      <c r="L268" s="3"/>
      <c r="M268" s="3"/>
      <c r="N268" s="3"/>
      <c r="O268" s="3"/>
      <c r="P268" s="3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3"/>
      <c r="K269" s="3"/>
      <c r="L269" s="3"/>
      <c r="M269" s="3"/>
      <c r="N269" s="3"/>
      <c r="O269" s="3"/>
      <c r="P269" s="3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3"/>
      <c r="K270" s="3"/>
      <c r="L270" s="3"/>
      <c r="M270" s="3"/>
      <c r="N270" s="3"/>
      <c r="O270" s="3"/>
      <c r="P270" s="3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3"/>
      <c r="K271" s="3"/>
      <c r="L271" s="3"/>
      <c r="M271" s="3"/>
      <c r="N271" s="3"/>
      <c r="O271" s="3"/>
      <c r="P271" s="3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3"/>
      <c r="K272" s="3"/>
      <c r="L272" s="3"/>
      <c r="M272" s="3"/>
      <c r="N272" s="3"/>
      <c r="O272" s="3"/>
      <c r="P272" s="3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3"/>
      <c r="K273" s="3"/>
      <c r="L273" s="3"/>
      <c r="M273" s="3"/>
      <c r="N273" s="3"/>
      <c r="O273" s="3"/>
      <c r="P273" s="3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3"/>
      <c r="K274" s="3"/>
      <c r="L274" s="3"/>
      <c r="M274" s="3"/>
      <c r="N274" s="3"/>
      <c r="O274" s="3"/>
      <c r="P274" s="3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3"/>
      <c r="K275" s="3"/>
      <c r="L275" s="3"/>
      <c r="M275" s="3"/>
      <c r="N275" s="3"/>
      <c r="O275" s="3"/>
      <c r="P275" s="3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3"/>
      <c r="K276" s="3"/>
      <c r="L276" s="3"/>
      <c r="M276" s="3"/>
      <c r="N276" s="3"/>
      <c r="O276" s="3"/>
      <c r="P276" s="3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3"/>
      <c r="K277" s="3"/>
      <c r="L277" s="3"/>
      <c r="M277" s="3"/>
      <c r="N277" s="3"/>
      <c r="O277" s="3"/>
      <c r="P277" s="3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3"/>
      <c r="K278" s="3"/>
      <c r="L278" s="3"/>
      <c r="M278" s="3"/>
      <c r="N278" s="3"/>
      <c r="O278" s="3"/>
      <c r="P278" s="3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3"/>
      <c r="K279" s="3"/>
      <c r="L279" s="3"/>
      <c r="M279" s="3"/>
      <c r="N279" s="3"/>
      <c r="O279" s="3"/>
      <c r="P279" s="3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3"/>
      <c r="K280" s="3"/>
      <c r="L280" s="3"/>
      <c r="M280" s="3"/>
      <c r="N280" s="3"/>
      <c r="O280" s="3"/>
      <c r="P280" s="3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3"/>
      <c r="K281" s="3"/>
      <c r="L281" s="3"/>
      <c r="M281" s="3"/>
      <c r="N281" s="3"/>
      <c r="O281" s="3"/>
      <c r="P281" s="3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3"/>
      <c r="K282" s="3"/>
      <c r="L282" s="3"/>
      <c r="M282" s="3"/>
      <c r="N282" s="3"/>
      <c r="O282" s="3"/>
      <c r="P282" s="3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3"/>
      <c r="K283" s="3"/>
      <c r="L283" s="3"/>
      <c r="M283" s="3"/>
      <c r="N283" s="3"/>
      <c r="O283" s="3"/>
      <c r="P283" s="3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3"/>
      <c r="K284" s="3"/>
      <c r="L284" s="3"/>
      <c r="M284" s="3"/>
      <c r="N284" s="3"/>
      <c r="O284" s="3"/>
      <c r="P284" s="3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3"/>
      <c r="K285" s="3"/>
      <c r="L285" s="3"/>
      <c r="M285" s="3"/>
      <c r="N285" s="3"/>
      <c r="O285" s="3"/>
      <c r="P285" s="3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3"/>
      <c r="K286" s="3"/>
      <c r="L286" s="3"/>
      <c r="M286" s="3"/>
      <c r="N286" s="3"/>
      <c r="O286" s="3"/>
      <c r="P286" s="3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3"/>
      <c r="K287" s="3"/>
      <c r="L287" s="3"/>
      <c r="M287" s="3"/>
      <c r="N287" s="3"/>
      <c r="O287" s="3"/>
      <c r="P287" s="3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3"/>
      <c r="K288" s="3"/>
      <c r="L288" s="3"/>
      <c r="M288" s="3"/>
      <c r="N288" s="3"/>
      <c r="O288" s="3"/>
      <c r="P288" s="3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3"/>
      <c r="K289" s="3"/>
      <c r="L289" s="3"/>
      <c r="M289" s="3"/>
      <c r="N289" s="3"/>
      <c r="O289" s="3"/>
      <c r="P289" s="3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3"/>
      <c r="K290" s="3"/>
      <c r="L290" s="3"/>
      <c r="M290" s="3"/>
      <c r="N290" s="3"/>
      <c r="O290" s="3"/>
      <c r="P290" s="3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3"/>
      <c r="K291" s="3"/>
      <c r="L291" s="3"/>
      <c r="M291" s="3"/>
      <c r="N291" s="3"/>
      <c r="O291" s="3"/>
      <c r="P291" s="3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3"/>
      <c r="K292" s="3"/>
      <c r="L292" s="3"/>
      <c r="M292" s="3"/>
      <c r="N292" s="3"/>
      <c r="O292" s="3"/>
      <c r="P292" s="3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3"/>
      <c r="K293" s="3"/>
      <c r="L293" s="3"/>
      <c r="M293" s="3"/>
      <c r="N293" s="3"/>
      <c r="O293" s="3"/>
      <c r="P293" s="3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3"/>
      <c r="K294" s="3"/>
      <c r="L294" s="3"/>
      <c r="M294" s="3"/>
      <c r="N294" s="3"/>
      <c r="O294" s="3"/>
      <c r="P294" s="3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3"/>
      <c r="K295" s="3"/>
      <c r="L295" s="3"/>
      <c r="M295" s="3"/>
      <c r="N295" s="3"/>
      <c r="O295" s="3"/>
      <c r="P295" s="3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3"/>
      <c r="K296" s="3"/>
      <c r="L296" s="3"/>
      <c r="M296" s="3"/>
      <c r="N296" s="3"/>
      <c r="O296" s="3"/>
      <c r="P296" s="3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3"/>
      <c r="K297" s="3"/>
      <c r="L297" s="3"/>
      <c r="M297" s="3"/>
      <c r="N297" s="3"/>
      <c r="O297" s="3"/>
      <c r="P297" s="3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3"/>
      <c r="K298" s="3"/>
      <c r="L298" s="3"/>
      <c r="M298" s="3"/>
      <c r="N298" s="3"/>
      <c r="O298" s="3"/>
      <c r="P298" s="3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3"/>
      <c r="K299" s="3"/>
      <c r="L299" s="3"/>
      <c r="M299" s="3"/>
      <c r="N299" s="3"/>
      <c r="O299" s="3"/>
      <c r="P299" s="3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3"/>
      <c r="K300" s="3"/>
      <c r="L300" s="3"/>
      <c r="M300" s="3"/>
      <c r="N300" s="3"/>
      <c r="O300" s="3"/>
      <c r="P300" s="3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3"/>
      <c r="K301" s="3"/>
      <c r="L301" s="3"/>
      <c r="M301" s="3"/>
      <c r="N301" s="3"/>
      <c r="O301" s="3"/>
      <c r="P301" s="3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3"/>
      <c r="K302" s="3"/>
      <c r="L302" s="3"/>
      <c r="M302" s="3"/>
      <c r="N302" s="3"/>
      <c r="O302" s="3"/>
      <c r="P302" s="3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3"/>
      <c r="K303" s="3"/>
      <c r="L303" s="3"/>
      <c r="M303" s="3"/>
      <c r="N303" s="3"/>
      <c r="O303" s="3"/>
      <c r="P303" s="3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3"/>
      <c r="K304" s="3"/>
      <c r="L304" s="3"/>
      <c r="M304" s="3"/>
      <c r="N304" s="3"/>
      <c r="O304" s="3"/>
      <c r="P304" s="3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3"/>
      <c r="K305" s="3"/>
      <c r="L305" s="3"/>
      <c r="M305" s="3"/>
      <c r="N305" s="3"/>
      <c r="O305" s="3"/>
      <c r="P305" s="3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3"/>
      <c r="K306" s="3"/>
      <c r="L306" s="3"/>
      <c r="M306" s="3"/>
      <c r="N306" s="3"/>
      <c r="O306" s="3"/>
      <c r="P306" s="3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3"/>
      <c r="K307" s="3"/>
      <c r="L307" s="3"/>
      <c r="M307" s="3"/>
      <c r="N307" s="3"/>
      <c r="O307" s="3"/>
      <c r="P307" s="3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3"/>
      <c r="K308" s="3"/>
      <c r="L308" s="3"/>
      <c r="M308" s="3"/>
      <c r="N308" s="3"/>
      <c r="O308" s="3"/>
      <c r="P308" s="3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3"/>
      <c r="K309" s="3"/>
      <c r="L309" s="3"/>
      <c r="M309" s="3"/>
      <c r="N309" s="3"/>
      <c r="O309" s="3"/>
      <c r="P309" s="3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3"/>
      <c r="K310" s="3"/>
      <c r="L310" s="3"/>
      <c r="M310" s="3"/>
      <c r="N310" s="3"/>
      <c r="O310" s="3"/>
      <c r="P310" s="3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3"/>
      <c r="K311" s="3"/>
      <c r="L311" s="3"/>
      <c r="M311" s="3"/>
      <c r="N311" s="3"/>
      <c r="O311" s="3"/>
      <c r="P311" s="3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3"/>
      <c r="K312" s="3"/>
      <c r="L312" s="3"/>
      <c r="M312" s="3"/>
      <c r="N312" s="3"/>
      <c r="O312" s="3"/>
      <c r="P312" s="3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3"/>
      <c r="K313" s="3"/>
      <c r="L313" s="3"/>
      <c r="M313" s="3"/>
      <c r="N313" s="3"/>
      <c r="O313" s="3"/>
      <c r="P313" s="3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3"/>
      <c r="K314" s="3"/>
      <c r="L314" s="3"/>
      <c r="M314" s="3"/>
      <c r="N314" s="3"/>
      <c r="O314" s="3"/>
      <c r="P314" s="3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3"/>
      <c r="K315" s="3"/>
      <c r="L315" s="3"/>
      <c r="M315" s="3"/>
      <c r="N315" s="3"/>
      <c r="O315" s="3"/>
      <c r="P315" s="3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3"/>
      <c r="K316" s="3"/>
      <c r="L316" s="3"/>
      <c r="M316" s="3"/>
      <c r="N316" s="3"/>
      <c r="O316" s="3"/>
      <c r="P316" s="3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3"/>
      <c r="K317" s="3"/>
      <c r="L317" s="3"/>
      <c r="M317" s="3"/>
      <c r="N317" s="3"/>
      <c r="O317" s="3"/>
      <c r="P317" s="3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3"/>
      <c r="K318" s="3"/>
      <c r="L318" s="3"/>
      <c r="M318" s="3"/>
      <c r="N318" s="3"/>
      <c r="O318" s="3"/>
      <c r="P318" s="3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3"/>
      <c r="K319" s="3"/>
      <c r="L319" s="3"/>
      <c r="M319" s="3"/>
      <c r="N319" s="3"/>
      <c r="O319" s="3"/>
      <c r="P319" s="3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3"/>
      <c r="K320" s="3"/>
      <c r="L320" s="3"/>
      <c r="M320" s="3"/>
      <c r="N320" s="3"/>
      <c r="O320" s="3"/>
      <c r="P320" s="3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3"/>
      <c r="K321" s="3"/>
      <c r="L321" s="3"/>
      <c r="M321" s="3"/>
      <c r="N321" s="3"/>
      <c r="O321" s="3"/>
      <c r="P321" s="3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3"/>
      <c r="K322" s="3"/>
      <c r="L322" s="3"/>
      <c r="M322" s="3"/>
      <c r="N322" s="3"/>
      <c r="O322" s="3"/>
      <c r="P322" s="3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3"/>
      <c r="K323" s="3"/>
      <c r="L323" s="3"/>
      <c r="M323" s="3"/>
      <c r="N323" s="3"/>
      <c r="O323" s="3"/>
      <c r="P323" s="3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3"/>
      <c r="K324" s="3"/>
      <c r="L324" s="3"/>
      <c r="M324" s="3"/>
      <c r="N324" s="3"/>
      <c r="O324" s="3"/>
      <c r="P324" s="3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3"/>
      <c r="K325" s="3"/>
      <c r="L325" s="3"/>
      <c r="M325" s="3"/>
      <c r="N325" s="3"/>
      <c r="O325" s="3"/>
      <c r="P325" s="3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2.5" x14ac:dyDescent="0.25">
      <c r="J326" s="115"/>
      <c r="K326" s="115"/>
      <c r="L326" s="115"/>
      <c r="M326" s="115"/>
      <c r="N326" s="115"/>
      <c r="O326" s="115"/>
      <c r="P326" s="115"/>
    </row>
    <row r="327" spans="1:30" ht="12.5" x14ac:dyDescent="0.25">
      <c r="J327" s="115"/>
      <c r="K327" s="115"/>
      <c r="L327" s="115"/>
      <c r="M327" s="115"/>
      <c r="N327" s="115"/>
      <c r="O327" s="115"/>
      <c r="P327" s="115"/>
    </row>
    <row r="328" spans="1:30" ht="12.5" x14ac:dyDescent="0.25">
      <c r="J328" s="115"/>
      <c r="K328" s="115"/>
      <c r="L328" s="115"/>
      <c r="M328" s="115"/>
      <c r="N328" s="115"/>
      <c r="O328" s="115"/>
      <c r="P328" s="115"/>
    </row>
    <row r="329" spans="1:30" ht="12.5" x14ac:dyDescent="0.25">
      <c r="J329" s="115"/>
      <c r="K329" s="115"/>
      <c r="L329" s="115"/>
      <c r="M329" s="115"/>
      <c r="N329" s="115"/>
      <c r="O329" s="115"/>
      <c r="P329" s="115"/>
    </row>
    <row r="330" spans="1:30" ht="12.5" x14ac:dyDescent="0.25">
      <c r="J330" s="115"/>
      <c r="K330" s="115"/>
      <c r="L330" s="115"/>
      <c r="M330" s="115"/>
      <c r="N330" s="115"/>
      <c r="O330" s="115"/>
      <c r="P330" s="115"/>
    </row>
    <row r="331" spans="1:30" ht="12.5" x14ac:dyDescent="0.25">
      <c r="J331" s="115"/>
      <c r="K331" s="115"/>
      <c r="L331" s="115"/>
      <c r="M331" s="115"/>
      <c r="N331" s="115"/>
      <c r="O331" s="115"/>
      <c r="P331" s="115"/>
    </row>
    <row r="332" spans="1:30" ht="12.5" x14ac:dyDescent="0.25">
      <c r="J332" s="115"/>
      <c r="K332" s="115"/>
      <c r="L332" s="115"/>
      <c r="M332" s="115"/>
      <c r="N332" s="115"/>
      <c r="O332" s="115"/>
      <c r="P332" s="115"/>
    </row>
    <row r="333" spans="1:30" ht="12.5" x14ac:dyDescent="0.25">
      <c r="J333" s="115"/>
      <c r="K333" s="115"/>
      <c r="L333" s="115"/>
      <c r="M333" s="115"/>
      <c r="N333" s="115"/>
      <c r="O333" s="115"/>
      <c r="P333" s="115"/>
    </row>
    <row r="334" spans="1:30" ht="12.5" x14ac:dyDescent="0.25">
      <c r="J334" s="115"/>
      <c r="K334" s="115"/>
      <c r="L334" s="115"/>
      <c r="M334" s="115"/>
      <c r="N334" s="115"/>
      <c r="O334" s="115"/>
      <c r="P334" s="115"/>
    </row>
    <row r="335" spans="1:30" ht="12.5" x14ac:dyDescent="0.25">
      <c r="J335" s="115"/>
      <c r="K335" s="115"/>
      <c r="L335" s="115"/>
      <c r="M335" s="115"/>
      <c r="N335" s="115"/>
      <c r="O335" s="115"/>
      <c r="P335" s="115"/>
    </row>
    <row r="336" spans="1:30" ht="12.5" x14ac:dyDescent="0.25">
      <c r="J336" s="115"/>
      <c r="K336" s="115"/>
      <c r="L336" s="115"/>
      <c r="M336" s="115"/>
      <c r="N336" s="115"/>
      <c r="O336" s="115"/>
      <c r="P336" s="115"/>
    </row>
    <row r="337" spans="10:16" ht="12.5" x14ac:dyDescent="0.25">
      <c r="J337" s="115"/>
      <c r="K337" s="115"/>
      <c r="L337" s="115"/>
      <c r="M337" s="115"/>
      <c r="N337" s="115"/>
      <c r="O337" s="115"/>
      <c r="P337" s="115"/>
    </row>
    <row r="338" spans="10:16" ht="12.5" x14ac:dyDescent="0.25">
      <c r="J338" s="115"/>
      <c r="K338" s="115"/>
      <c r="L338" s="115"/>
      <c r="M338" s="115"/>
      <c r="N338" s="115"/>
      <c r="O338" s="115"/>
      <c r="P338" s="115"/>
    </row>
    <row r="339" spans="10:16" ht="12.5" x14ac:dyDescent="0.25">
      <c r="J339" s="115"/>
      <c r="K339" s="115"/>
      <c r="L339" s="115"/>
      <c r="M339" s="115"/>
      <c r="N339" s="115"/>
      <c r="O339" s="115"/>
      <c r="P339" s="115"/>
    </row>
    <row r="340" spans="10:16" ht="12.5" x14ac:dyDescent="0.25">
      <c r="J340" s="115"/>
      <c r="K340" s="115"/>
      <c r="L340" s="115"/>
      <c r="M340" s="115"/>
      <c r="N340" s="115"/>
      <c r="O340" s="115"/>
      <c r="P340" s="115"/>
    </row>
    <row r="341" spans="10:16" ht="12.5" x14ac:dyDescent="0.25">
      <c r="J341" s="115"/>
      <c r="K341" s="115"/>
      <c r="L341" s="115"/>
      <c r="M341" s="115"/>
      <c r="N341" s="115"/>
      <c r="O341" s="115"/>
      <c r="P341" s="115"/>
    </row>
    <row r="342" spans="10:16" ht="12.5" x14ac:dyDescent="0.25">
      <c r="J342" s="115"/>
      <c r="K342" s="115"/>
      <c r="L342" s="115"/>
      <c r="M342" s="115"/>
      <c r="N342" s="115"/>
      <c r="O342" s="115"/>
      <c r="P342" s="115"/>
    </row>
    <row r="343" spans="10:16" ht="12.5" x14ac:dyDescent="0.25">
      <c r="J343" s="115"/>
      <c r="K343" s="115"/>
      <c r="L343" s="115"/>
      <c r="M343" s="115"/>
      <c r="N343" s="115"/>
      <c r="O343" s="115"/>
      <c r="P343" s="115"/>
    </row>
    <row r="344" spans="10:16" ht="12.5" x14ac:dyDescent="0.25">
      <c r="J344" s="115"/>
      <c r="K344" s="115"/>
      <c r="L344" s="115"/>
      <c r="M344" s="115"/>
      <c r="N344" s="115"/>
      <c r="O344" s="115"/>
      <c r="P344" s="115"/>
    </row>
    <row r="345" spans="10:16" ht="12.5" x14ac:dyDescent="0.25">
      <c r="J345" s="115"/>
      <c r="K345" s="115"/>
      <c r="L345" s="115"/>
      <c r="M345" s="115"/>
      <c r="N345" s="115"/>
      <c r="O345" s="115"/>
      <c r="P345" s="115"/>
    </row>
    <row r="346" spans="10:16" ht="12.5" x14ac:dyDescent="0.25">
      <c r="J346" s="115"/>
      <c r="K346" s="115"/>
      <c r="L346" s="115"/>
      <c r="M346" s="115"/>
      <c r="N346" s="115"/>
      <c r="O346" s="115"/>
      <c r="P346" s="115"/>
    </row>
    <row r="347" spans="10:16" ht="12.5" x14ac:dyDescent="0.25">
      <c r="J347" s="115"/>
      <c r="K347" s="115"/>
      <c r="L347" s="115"/>
      <c r="M347" s="115"/>
      <c r="N347" s="115"/>
      <c r="O347" s="115"/>
      <c r="P347" s="115"/>
    </row>
    <row r="348" spans="10:16" ht="12.5" x14ac:dyDescent="0.25">
      <c r="J348" s="115"/>
      <c r="K348" s="115"/>
      <c r="L348" s="115"/>
      <c r="M348" s="115"/>
      <c r="N348" s="115"/>
      <c r="O348" s="115"/>
      <c r="P348" s="115"/>
    </row>
    <row r="349" spans="10:16" ht="12.5" x14ac:dyDescent="0.25">
      <c r="J349" s="115"/>
      <c r="K349" s="115"/>
      <c r="L349" s="115"/>
      <c r="M349" s="115"/>
      <c r="N349" s="115"/>
      <c r="O349" s="115"/>
      <c r="P349" s="115"/>
    </row>
    <row r="350" spans="10:16" ht="12.5" x14ac:dyDescent="0.25">
      <c r="J350" s="115"/>
      <c r="K350" s="115"/>
      <c r="L350" s="115"/>
      <c r="M350" s="115"/>
      <c r="N350" s="115"/>
      <c r="O350" s="115"/>
      <c r="P350" s="115"/>
    </row>
    <row r="351" spans="10:16" ht="12.5" x14ac:dyDescent="0.25">
      <c r="J351" s="115"/>
      <c r="K351" s="115"/>
      <c r="L351" s="115"/>
      <c r="M351" s="115"/>
      <c r="N351" s="115"/>
      <c r="O351" s="115"/>
      <c r="P351" s="115"/>
    </row>
    <row r="352" spans="10:16" ht="12.5" x14ac:dyDescent="0.25">
      <c r="J352" s="115"/>
      <c r="K352" s="115"/>
      <c r="L352" s="115"/>
      <c r="M352" s="115"/>
      <c r="N352" s="115"/>
      <c r="O352" s="115"/>
      <c r="P352" s="115"/>
    </row>
    <row r="353" spans="10:16" ht="12.5" x14ac:dyDescent="0.25">
      <c r="J353" s="115"/>
      <c r="K353" s="115"/>
      <c r="L353" s="115"/>
      <c r="M353" s="115"/>
      <c r="N353" s="115"/>
      <c r="O353" s="115"/>
      <c r="P353" s="115"/>
    </row>
    <row r="354" spans="10:16" ht="12.5" x14ac:dyDescent="0.25">
      <c r="J354" s="115"/>
      <c r="K354" s="115"/>
      <c r="L354" s="115"/>
      <c r="M354" s="115"/>
      <c r="N354" s="115"/>
      <c r="O354" s="115"/>
      <c r="P354" s="115"/>
    </row>
    <row r="355" spans="10:16" ht="12.5" x14ac:dyDescent="0.25">
      <c r="J355" s="115"/>
      <c r="K355" s="115"/>
      <c r="L355" s="115"/>
      <c r="M355" s="115"/>
      <c r="N355" s="115"/>
      <c r="O355" s="115"/>
      <c r="P355" s="115"/>
    </row>
    <row r="356" spans="10:16" ht="12.5" x14ac:dyDescent="0.25">
      <c r="J356" s="115"/>
      <c r="K356" s="115"/>
      <c r="L356" s="115"/>
      <c r="M356" s="115"/>
      <c r="N356" s="115"/>
      <c r="O356" s="115"/>
      <c r="P356" s="115"/>
    </row>
    <row r="357" spans="10:16" ht="12.5" x14ac:dyDescent="0.25">
      <c r="J357" s="115"/>
      <c r="K357" s="115"/>
      <c r="L357" s="115"/>
      <c r="M357" s="115"/>
      <c r="N357" s="115"/>
      <c r="O357" s="115"/>
      <c r="P357" s="115"/>
    </row>
    <row r="358" spans="10:16" ht="12.5" x14ac:dyDescent="0.25">
      <c r="J358" s="115"/>
      <c r="K358" s="115"/>
      <c r="L358" s="115"/>
      <c r="M358" s="115"/>
      <c r="N358" s="115"/>
      <c r="O358" s="115"/>
      <c r="P358" s="115"/>
    </row>
    <row r="359" spans="10:16" ht="12.5" x14ac:dyDescent="0.25">
      <c r="J359" s="115"/>
      <c r="K359" s="115"/>
      <c r="L359" s="115"/>
      <c r="M359" s="115"/>
      <c r="N359" s="115"/>
      <c r="O359" s="115"/>
      <c r="P359" s="115"/>
    </row>
    <row r="360" spans="10:16" ht="12.5" x14ac:dyDescent="0.25">
      <c r="J360" s="115"/>
      <c r="K360" s="115"/>
      <c r="L360" s="115"/>
      <c r="M360" s="115"/>
      <c r="N360" s="115"/>
      <c r="O360" s="115"/>
      <c r="P360" s="115"/>
    </row>
    <row r="361" spans="10:16" ht="12.5" x14ac:dyDescent="0.25">
      <c r="J361" s="115"/>
      <c r="K361" s="115"/>
      <c r="L361" s="115"/>
      <c r="M361" s="115"/>
      <c r="N361" s="115"/>
      <c r="O361" s="115"/>
      <c r="P361" s="115"/>
    </row>
    <row r="362" spans="10:16" ht="12.5" x14ac:dyDescent="0.25">
      <c r="J362" s="115"/>
      <c r="K362" s="115"/>
      <c r="L362" s="115"/>
      <c r="M362" s="115"/>
      <c r="N362" s="115"/>
      <c r="O362" s="115"/>
      <c r="P362" s="115"/>
    </row>
    <row r="363" spans="10:16" ht="12.5" x14ac:dyDescent="0.25">
      <c r="J363" s="115"/>
      <c r="K363" s="115"/>
      <c r="L363" s="115"/>
      <c r="M363" s="115"/>
      <c r="N363" s="115"/>
      <c r="O363" s="115"/>
      <c r="P363" s="115"/>
    </row>
    <row r="364" spans="10:16" ht="12.5" x14ac:dyDescent="0.25">
      <c r="J364" s="115"/>
      <c r="K364" s="115"/>
      <c r="L364" s="115"/>
      <c r="M364" s="115"/>
      <c r="N364" s="115"/>
      <c r="O364" s="115"/>
      <c r="P364" s="115"/>
    </row>
    <row r="365" spans="10:16" ht="12.5" x14ac:dyDescent="0.25">
      <c r="J365" s="115"/>
      <c r="K365" s="115"/>
      <c r="L365" s="115"/>
      <c r="M365" s="115"/>
      <c r="N365" s="115"/>
      <c r="O365" s="115"/>
      <c r="P365" s="115"/>
    </row>
    <row r="366" spans="10:16" ht="12.5" x14ac:dyDescent="0.25">
      <c r="J366" s="115"/>
      <c r="K366" s="115"/>
      <c r="L366" s="115"/>
      <c r="M366" s="115"/>
      <c r="N366" s="115"/>
      <c r="O366" s="115"/>
      <c r="P366" s="115"/>
    </row>
    <row r="367" spans="10:16" ht="12.5" x14ac:dyDescent="0.25">
      <c r="J367" s="115"/>
      <c r="K367" s="115"/>
      <c r="L367" s="115"/>
      <c r="M367" s="115"/>
      <c r="N367" s="115"/>
      <c r="O367" s="115"/>
      <c r="P367" s="115"/>
    </row>
    <row r="368" spans="10:16" ht="12.5" x14ac:dyDescent="0.25">
      <c r="J368" s="115"/>
      <c r="K368" s="115"/>
      <c r="L368" s="115"/>
      <c r="M368" s="115"/>
      <c r="N368" s="115"/>
      <c r="O368" s="115"/>
      <c r="P368" s="115"/>
    </row>
    <row r="369" spans="10:16" ht="12.5" x14ac:dyDescent="0.25">
      <c r="J369" s="115"/>
      <c r="K369" s="115"/>
      <c r="L369" s="115"/>
      <c r="M369" s="115"/>
      <c r="N369" s="115"/>
      <c r="O369" s="115"/>
      <c r="P369" s="115"/>
    </row>
    <row r="370" spans="10:16" ht="12.5" x14ac:dyDescent="0.25">
      <c r="J370" s="115"/>
      <c r="K370" s="115"/>
      <c r="L370" s="115"/>
      <c r="M370" s="115"/>
      <c r="N370" s="115"/>
      <c r="O370" s="115"/>
      <c r="P370" s="115"/>
    </row>
    <row r="371" spans="10:16" ht="12.5" x14ac:dyDescent="0.25">
      <c r="J371" s="115"/>
      <c r="K371" s="115"/>
      <c r="L371" s="115"/>
      <c r="M371" s="115"/>
      <c r="N371" s="115"/>
      <c r="O371" s="115"/>
      <c r="P371" s="115"/>
    </row>
    <row r="372" spans="10:16" ht="12.5" x14ac:dyDescent="0.25">
      <c r="J372" s="115"/>
      <c r="K372" s="115"/>
      <c r="L372" s="115"/>
      <c r="M372" s="115"/>
      <c r="N372" s="115"/>
      <c r="O372" s="115"/>
      <c r="P372" s="115"/>
    </row>
    <row r="373" spans="10:16" ht="12.5" x14ac:dyDescent="0.25">
      <c r="J373" s="115"/>
      <c r="K373" s="115"/>
      <c r="L373" s="115"/>
      <c r="M373" s="115"/>
      <c r="N373" s="115"/>
      <c r="O373" s="115"/>
      <c r="P373" s="115"/>
    </row>
    <row r="374" spans="10:16" ht="12.5" x14ac:dyDescent="0.25">
      <c r="J374" s="115"/>
      <c r="K374" s="115"/>
      <c r="L374" s="115"/>
      <c r="M374" s="115"/>
      <c r="N374" s="115"/>
      <c r="O374" s="115"/>
      <c r="P374" s="115"/>
    </row>
    <row r="375" spans="10:16" ht="12.5" x14ac:dyDescent="0.25">
      <c r="J375" s="115"/>
      <c r="K375" s="115"/>
      <c r="L375" s="115"/>
      <c r="M375" s="115"/>
      <c r="N375" s="115"/>
      <c r="O375" s="115"/>
      <c r="P375" s="115"/>
    </row>
    <row r="376" spans="10:16" ht="12.5" x14ac:dyDescent="0.25">
      <c r="J376" s="115"/>
      <c r="K376" s="115"/>
      <c r="L376" s="115"/>
      <c r="M376" s="115"/>
      <c r="N376" s="115"/>
      <c r="O376" s="115"/>
      <c r="P376" s="115"/>
    </row>
    <row r="377" spans="10:16" ht="12.5" x14ac:dyDescent="0.25">
      <c r="J377" s="115"/>
      <c r="K377" s="115"/>
      <c r="L377" s="115"/>
      <c r="M377" s="115"/>
      <c r="N377" s="115"/>
      <c r="O377" s="115"/>
      <c r="P377" s="115"/>
    </row>
    <row r="378" spans="10:16" ht="12.5" x14ac:dyDescent="0.25">
      <c r="J378" s="115"/>
      <c r="K378" s="115"/>
      <c r="L378" s="115"/>
      <c r="M378" s="115"/>
      <c r="N378" s="115"/>
      <c r="O378" s="115"/>
      <c r="P378" s="115"/>
    </row>
    <row r="379" spans="10:16" ht="12.5" x14ac:dyDescent="0.25">
      <c r="J379" s="115"/>
      <c r="K379" s="115"/>
      <c r="L379" s="115"/>
      <c r="M379" s="115"/>
      <c r="N379" s="115"/>
      <c r="O379" s="115"/>
      <c r="P379" s="115"/>
    </row>
    <row r="380" spans="10:16" ht="12.5" x14ac:dyDescent="0.25">
      <c r="J380" s="115"/>
      <c r="K380" s="115"/>
      <c r="L380" s="115"/>
      <c r="M380" s="115"/>
      <c r="N380" s="115"/>
      <c r="O380" s="115"/>
      <c r="P380" s="115"/>
    </row>
    <row r="381" spans="10:16" ht="12.5" x14ac:dyDescent="0.25">
      <c r="J381" s="115"/>
      <c r="K381" s="115"/>
      <c r="L381" s="115"/>
      <c r="M381" s="115"/>
      <c r="N381" s="115"/>
      <c r="O381" s="115"/>
      <c r="P381" s="115"/>
    </row>
    <row r="382" spans="10:16" ht="12.5" x14ac:dyDescent="0.25">
      <c r="J382" s="115"/>
      <c r="K382" s="115"/>
      <c r="L382" s="115"/>
      <c r="M382" s="115"/>
      <c r="N382" s="115"/>
      <c r="O382" s="115"/>
      <c r="P382" s="115"/>
    </row>
    <row r="383" spans="10:16" ht="12.5" x14ac:dyDescent="0.25">
      <c r="J383" s="115"/>
      <c r="K383" s="115"/>
      <c r="L383" s="115"/>
      <c r="M383" s="115"/>
      <c r="N383" s="115"/>
      <c r="O383" s="115"/>
      <c r="P383" s="115"/>
    </row>
    <row r="384" spans="10:16" ht="12.5" x14ac:dyDescent="0.25">
      <c r="J384" s="115"/>
      <c r="K384" s="115"/>
      <c r="L384" s="115"/>
      <c r="M384" s="115"/>
      <c r="N384" s="115"/>
      <c r="O384" s="115"/>
      <c r="P384" s="115"/>
    </row>
    <row r="385" spans="10:16" ht="12.5" x14ac:dyDescent="0.25">
      <c r="J385" s="115"/>
      <c r="K385" s="115"/>
      <c r="L385" s="115"/>
      <c r="M385" s="115"/>
      <c r="N385" s="115"/>
      <c r="O385" s="115"/>
      <c r="P385" s="115"/>
    </row>
    <row r="386" spans="10:16" ht="12.5" x14ac:dyDescent="0.25">
      <c r="J386" s="115"/>
      <c r="K386" s="115"/>
      <c r="L386" s="115"/>
      <c r="M386" s="115"/>
      <c r="N386" s="115"/>
      <c r="O386" s="115"/>
      <c r="P386" s="115"/>
    </row>
    <row r="387" spans="10:16" ht="12.5" x14ac:dyDescent="0.25">
      <c r="J387" s="115"/>
      <c r="K387" s="115"/>
      <c r="L387" s="115"/>
      <c r="M387" s="115"/>
      <c r="N387" s="115"/>
      <c r="O387" s="115"/>
      <c r="P387" s="115"/>
    </row>
    <row r="388" spans="10:16" ht="12.5" x14ac:dyDescent="0.25">
      <c r="J388" s="115"/>
      <c r="K388" s="115"/>
      <c r="L388" s="115"/>
      <c r="M388" s="115"/>
      <c r="N388" s="115"/>
      <c r="O388" s="115"/>
      <c r="P388" s="115"/>
    </row>
    <row r="389" spans="10:16" ht="12.5" x14ac:dyDescent="0.25">
      <c r="J389" s="115"/>
      <c r="K389" s="115"/>
      <c r="L389" s="115"/>
      <c r="M389" s="115"/>
      <c r="N389" s="115"/>
      <c r="O389" s="115"/>
      <c r="P389" s="115"/>
    </row>
    <row r="390" spans="10:16" ht="12.5" x14ac:dyDescent="0.25">
      <c r="J390" s="115"/>
      <c r="K390" s="115"/>
      <c r="L390" s="115"/>
      <c r="M390" s="115"/>
      <c r="N390" s="115"/>
      <c r="O390" s="115"/>
      <c r="P390" s="115"/>
    </row>
    <row r="391" spans="10:16" ht="12.5" x14ac:dyDescent="0.25">
      <c r="J391" s="115"/>
      <c r="K391" s="115"/>
      <c r="L391" s="115"/>
      <c r="M391" s="115"/>
      <c r="N391" s="115"/>
      <c r="O391" s="115"/>
      <c r="P391" s="115"/>
    </row>
    <row r="392" spans="10:16" ht="12.5" x14ac:dyDescent="0.25">
      <c r="J392" s="115"/>
      <c r="K392" s="115"/>
      <c r="L392" s="115"/>
      <c r="M392" s="115"/>
      <c r="N392" s="115"/>
      <c r="O392" s="115"/>
      <c r="P392" s="115"/>
    </row>
    <row r="393" spans="10:16" ht="12.5" x14ac:dyDescent="0.25">
      <c r="J393" s="115"/>
      <c r="K393" s="115"/>
      <c r="L393" s="115"/>
      <c r="M393" s="115"/>
      <c r="N393" s="115"/>
      <c r="O393" s="115"/>
      <c r="P393" s="115"/>
    </row>
    <row r="394" spans="10:16" ht="12.5" x14ac:dyDescent="0.25">
      <c r="J394" s="115"/>
      <c r="K394" s="115"/>
      <c r="L394" s="115"/>
      <c r="M394" s="115"/>
      <c r="N394" s="115"/>
      <c r="O394" s="115"/>
      <c r="P394" s="115"/>
    </row>
    <row r="395" spans="10:16" ht="12.5" x14ac:dyDescent="0.25">
      <c r="J395" s="115"/>
      <c r="K395" s="115"/>
      <c r="L395" s="115"/>
      <c r="M395" s="115"/>
      <c r="N395" s="115"/>
      <c r="O395" s="115"/>
      <c r="P395" s="115"/>
    </row>
    <row r="396" spans="10:16" ht="12.5" x14ac:dyDescent="0.25">
      <c r="J396" s="115"/>
      <c r="K396" s="115"/>
      <c r="L396" s="115"/>
      <c r="M396" s="115"/>
      <c r="N396" s="115"/>
      <c r="O396" s="115"/>
      <c r="P396" s="115"/>
    </row>
    <row r="397" spans="10:16" ht="12.5" x14ac:dyDescent="0.25">
      <c r="J397" s="115"/>
      <c r="K397" s="115"/>
      <c r="L397" s="115"/>
      <c r="M397" s="115"/>
      <c r="N397" s="115"/>
      <c r="O397" s="115"/>
      <c r="P397" s="115"/>
    </row>
    <row r="398" spans="10:16" ht="12.5" x14ac:dyDescent="0.25">
      <c r="J398" s="115"/>
      <c r="K398" s="115"/>
      <c r="L398" s="115"/>
      <c r="M398" s="115"/>
      <c r="N398" s="115"/>
      <c r="O398" s="115"/>
      <c r="P398" s="115"/>
    </row>
    <row r="399" spans="10:16" ht="12.5" x14ac:dyDescent="0.25">
      <c r="J399" s="115"/>
      <c r="K399" s="115"/>
      <c r="L399" s="115"/>
      <c r="M399" s="115"/>
      <c r="N399" s="115"/>
      <c r="O399" s="115"/>
      <c r="P399" s="115"/>
    </row>
    <row r="400" spans="10:16" ht="12.5" x14ac:dyDescent="0.25">
      <c r="J400" s="115"/>
      <c r="K400" s="115"/>
      <c r="L400" s="115"/>
      <c r="M400" s="115"/>
      <c r="N400" s="115"/>
      <c r="O400" s="115"/>
      <c r="P400" s="115"/>
    </row>
    <row r="401" spans="10:16" ht="12.5" x14ac:dyDescent="0.25">
      <c r="J401" s="115"/>
      <c r="K401" s="115"/>
      <c r="L401" s="115"/>
      <c r="M401" s="115"/>
      <c r="N401" s="115"/>
      <c r="O401" s="115"/>
      <c r="P401" s="115"/>
    </row>
    <row r="402" spans="10:16" ht="12.5" x14ac:dyDescent="0.25">
      <c r="J402" s="115"/>
      <c r="K402" s="115"/>
      <c r="L402" s="115"/>
      <c r="M402" s="115"/>
      <c r="N402" s="115"/>
      <c r="O402" s="115"/>
      <c r="P402" s="115"/>
    </row>
    <row r="403" spans="10:16" ht="12.5" x14ac:dyDescent="0.25">
      <c r="J403" s="115"/>
      <c r="K403" s="115"/>
      <c r="L403" s="115"/>
      <c r="M403" s="115"/>
      <c r="N403" s="115"/>
      <c r="O403" s="115"/>
      <c r="P403" s="115"/>
    </row>
    <row r="404" spans="10:16" ht="12.5" x14ac:dyDescent="0.25">
      <c r="J404" s="115"/>
      <c r="K404" s="115"/>
      <c r="L404" s="115"/>
      <c r="M404" s="115"/>
      <c r="N404" s="115"/>
      <c r="O404" s="115"/>
      <c r="P404" s="115"/>
    </row>
    <row r="405" spans="10:16" ht="12.5" x14ac:dyDescent="0.25">
      <c r="J405" s="115"/>
      <c r="K405" s="115"/>
      <c r="L405" s="115"/>
      <c r="M405" s="115"/>
      <c r="N405" s="115"/>
      <c r="O405" s="115"/>
      <c r="P405" s="115"/>
    </row>
    <row r="406" spans="10:16" ht="12.5" x14ac:dyDescent="0.25">
      <c r="J406" s="115"/>
      <c r="K406" s="115"/>
      <c r="L406" s="115"/>
      <c r="M406" s="115"/>
      <c r="N406" s="115"/>
      <c r="O406" s="115"/>
      <c r="P406" s="115"/>
    </row>
    <row r="407" spans="10:16" ht="12.5" x14ac:dyDescent="0.25">
      <c r="J407" s="115"/>
      <c r="K407" s="115"/>
      <c r="L407" s="115"/>
      <c r="M407" s="115"/>
      <c r="N407" s="115"/>
      <c r="O407" s="115"/>
      <c r="P407" s="115"/>
    </row>
    <row r="408" spans="10:16" ht="12.5" x14ac:dyDescent="0.25">
      <c r="J408" s="115"/>
      <c r="K408" s="115"/>
      <c r="L408" s="115"/>
      <c r="M408" s="115"/>
      <c r="N408" s="115"/>
      <c r="O408" s="115"/>
      <c r="P408" s="115"/>
    </row>
    <row r="409" spans="10:16" ht="12.5" x14ac:dyDescent="0.25">
      <c r="J409" s="115"/>
      <c r="K409" s="115"/>
      <c r="L409" s="115"/>
      <c r="M409" s="115"/>
      <c r="N409" s="115"/>
      <c r="O409" s="115"/>
      <c r="P409" s="115"/>
    </row>
    <row r="410" spans="10:16" ht="12.5" x14ac:dyDescent="0.25">
      <c r="J410" s="115"/>
      <c r="K410" s="115"/>
      <c r="L410" s="115"/>
      <c r="M410" s="115"/>
      <c r="N410" s="115"/>
      <c r="O410" s="115"/>
      <c r="P410" s="115"/>
    </row>
    <row r="411" spans="10:16" ht="12.5" x14ac:dyDescent="0.25">
      <c r="J411" s="115"/>
      <c r="K411" s="115"/>
      <c r="L411" s="115"/>
      <c r="M411" s="115"/>
      <c r="N411" s="115"/>
      <c r="O411" s="115"/>
      <c r="P411" s="115"/>
    </row>
    <row r="412" spans="10:16" ht="12.5" x14ac:dyDescent="0.25">
      <c r="J412" s="115"/>
      <c r="K412" s="115"/>
      <c r="L412" s="115"/>
      <c r="M412" s="115"/>
      <c r="N412" s="115"/>
      <c r="O412" s="115"/>
      <c r="P412" s="115"/>
    </row>
    <row r="413" spans="10:16" ht="12.5" x14ac:dyDescent="0.25">
      <c r="J413" s="115"/>
      <c r="K413" s="115"/>
      <c r="L413" s="115"/>
      <c r="M413" s="115"/>
      <c r="N413" s="115"/>
      <c r="O413" s="115"/>
      <c r="P413" s="115"/>
    </row>
    <row r="414" spans="10:16" ht="12.5" x14ac:dyDescent="0.25">
      <c r="J414" s="115"/>
      <c r="K414" s="115"/>
      <c r="L414" s="115"/>
      <c r="M414" s="115"/>
      <c r="N414" s="115"/>
      <c r="O414" s="115"/>
      <c r="P414" s="115"/>
    </row>
    <row r="415" spans="10:16" ht="12.5" x14ac:dyDescent="0.25">
      <c r="J415" s="115"/>
      <c r="K415" s="115"/>
      <c r="L415" s="115"/>
      <c r="M415" s="115"/>
      <c r="N415" s="115"/>
      <c r="O415" s="115"/>
      <c r="P415" s="115"/>
    </row>
    <row r="416" spans="10:16" ht="12.5" x14ac:dyDescent="0.25">
      <c r="J416" s="115"/>
      <c r="K416" s="115"/>
      <c r="L416" s="115"/>
      <c r="M416" s="115"/>
      <c r="N416" s="115"/>
      <c r="O416" s="115"/>
      <c r="P416" s="115"/>
    </row>
    <row r="417" spans="10:16" ht="12.5" x14ac:dyDescent="0.25">
      <c r="J417" s="115"/>
      <c r="K417" s="115"/>
      <c r="L417" s="115"/>
      <c r="M417" s="115"/>
      <c r="N417" s="115"/>
      <c r="O417" s="115"/>
      <c r="P417" s="115"/>
    </row>
    <row r="418" spans="10:16" ht="12.5" x14ac:dyDescent="0.25">
      <c r="J418" s="115"/>
      <c r="K418" s="115"/>
      <c r="L418" s="115"/>
      <c r="M418" s="115"/>
      <c r="N418" s="115"/>
      <c r="O418" s="115"/>
      <c r="P418" s="115"/>
    </row>
    <row r="419" spans="10:16" ht="12.5" x14ac:dyDescent="0.25">
      <c r="J419" s="115"/>
      <c r="K419" s="115"/>
      <c r="L419" s="115"/>
      <c r="M419" s="115"/>
      <c r="N419" s="115"/>
      <c r="O419" s="115"/>
      <c r="P419" s="115"/>
    </row>
    <row r="420" spans="10:16" ht="12.5" x14ac:dyDescent="0.25">
      <c r="J420" s="115"/>
      <c r="K420" s="115"/>
      <c r="L420" s="115"/>
      <c r="M420" s="115"/>
      <c r="N420" s="115"/>
      <c r="O420" s="115"/>
      <c r="P420" s="115"/>
    </row>
    <row r="421" spans="10:16" ht="12.5" x14ac:dyDescent="0.25">
      <c r="J421" s="115"/>
      <c r="K421" s="115"/>
      <c r="L421" s="115"/>
      <c r="M421" s="115"/>
      <c r="N421" s="115"/>
      <c r="O421" s="115"/>
      <c r="P421" s="115"/>
    </row>
    <row r="422" spans="10:16" ht="12.5" x14ac:dyDescent="0.25">
      <c r="J422" s="115"/>
      <c r="K422" s="115"/>
      <c r="L422" s="115"/>
      <c r="M422" s="115"/>
      <c r="N422" s="115"/>
      <c r="O422" s="115"/>
      <c r="P422" s="115"/>
    </row>
    <row r="423" spans="10:16" ht="12.5" x14ac:dyDescent="0.25">
      <c r="J423" s="115"/>
      <c r="K423" s="115"/>
      <c r="L423" s="115"/>
      <c r="M423" s="115"/>
      <c r="N423" s="115"/>
      <c r="O423" s="115"/>
      <c r="P423" s="115"/>
    </row>
    <row r="424" spans="10:16" ht="12.5" x14ac:dyDescent="0.25">
      <c r="J424" s="115"/>
      <c r="K424" s="115"/>
      <c r="L424" s="115"/>
      <c r="M424" s="115"/>
      <c r="N424" s="115"/>
      <c r="O424" s="115"/>
      <c r="P424" s="115"/>
    </row>
    <row r="425" spans="10:16" ht="12.5" x14ac:dyDescent="0.25">
      <c r="J425" s="115"/>
      <c r="K425" s="115"/>
      <c r="L425" s="115"/>
      <c r="M425" s="115"/>
      <c r="N425" s="115"/>
      <c r="O425" s="115"/>
      <c r="P425" s="115"/>
    </row>
    <row r="426" spans="10:16" ht="12.5" x14ac:dyDescent="0.25">
      <c r="J426" s="115"/>
      <c r="K426" s="115"/>
      <c r="L426" s="115"/>
      <c r="M426" s="115"/>
      <c r="N426" s="115"/>
      <c r="O426" s="115"/>
      <c r="P426" s="115"/>
    </row>
    <row r="427" spans="10:16" ht="12.5" x14ac:dyDescent="0.25">
      <c r="J427" s="115"/>
      <c r="K427" s="115"/>
      <c r="L427" s="115"/>
      <c r="M427" s="115"/>
      <c r="N427" s="115"/>
      <c r="O427" s="115"/>
      <c r="P427" s="115"/>
    </row>
    <row r="428" spans="10:16" ht="12.5" x14ac:dyDescent="0.25">
      <c r="J428" s="115"/>
      <c r="K428" s="115"/>
      <c r="L428" s="115"/>
      <c r="M428" s="115"/>
      <c r="N428" s="115"/>
      <c r="O428" s="115"/>
      <c r="P428" s="115"/>
    </row>
    <row r="429" spans="10:16" ht="12.5" x14ac:dyDescent="0.25">
      <c r="J429" s="115"/>
      <c r="K429" s="115"/>
      <c r="L429" s="115"/>
      <c r="M429" s="115"/>
      <c r="N429" s="115"/>
      <c r="O429" s="115"/>
      <c r="P429" s="115"/>
    </row>
    <row r="430" spans="10:16" ht="12.5" x14ac:dyDescent="0.25">
      <c r="J430" s="115"/>
      <c r="K430" s="115"/>
      <c r="L430" s="115"/>
      <c r="M430" s="115"/>
      <c r="N430" s="115"/>
      <c r="O430" s="115"/>
      <c r="P430" s="115"/>
    </row>
    <row r="431" spans="10:16" ht="12.5" x14ac:dyDescent="0.25">
      <c r="J431" s="115"/>
      <c r="K431" s="115"/>
      <c r="L431" s="115"/>
      <c r="M431" s="115"/>
      <c r="N431" s="115"/>
      <c r="O431" s="115"/>
      <c r="P431" s="115"/>
    </row>
    <row r="432" spans="10:16" ht="12.5" x14ac:dyDescent="0.25">
      <c r="J432" s="115"/>
      <c r="K432" s="115"/>
      <c r="L432" s="115"/>
      <c r="M432" s="115"/>
      <c r="N432" s="115"/>
      <c r="O432" s="115"/>
      <c r="P432" s="115"/>
    </row>
    <row r="433" spans="10:16" ht="12.5" x14ac:dyDescent="0.25">
      <c r="J433" s="115"/>
      <c r="K433" s="115"/>
      <c r="L433" s="115"/>
      <c r="M433" s="115"/>
      <c r="N433" s="115"/>
      <c r="O433" s="115"/>
      <c r="P433" s="115"/>
    </row>
    <row r="434" spans="10:16" ht="12.5" x14ac:dyDescent="0.25">
      <c r="J434" s="115"/>
      <c r="K434" s="115"/>
      <c r="L434" s="115"/>
      <c r="M434" s="115"/>
      <c r="N434" s="115"/>
      <c r="O434" s="115"/>
      <c r="P434" s="115"/>
    </row>
    <row r="435" spans="10:16" ht="12.5" x14ac:dyDescent="0.25">
      <c r="J435" s="115"/>
      <c r="K435" s="115"/>
      <c r="L435" s="115"/>
      <c r="M435" s="115"/>
      <c r="N435" s="115"/>
      <c r="O435" s="115"/>
      <c r="P435" s="115"/>
    </row>
    <row r="436" spans="10:16" ht="12.5" x14ac:dyDescent="0.25">
      <c r="J436" s="115"/>
      <c r="K436" s="115"/>
      <c r="L436" s="115"/>
      <c r="M436" s="115"/>
      <c r="N436" s="115"/>
      <c r="O436" s="115"/>
      <c r="P436" s="115"/>
    </row>
    <row r="437" spans="10:16" ht="12.5" x14ac:dyDescent="0.25">
      <c r="J437" s="115"/>
      <c r="K437" s="115"/>
      <c r="L437" s="115"/>
      <c r="M437" s="115"/>
      <c r="N437" s="115"/>
      <c r="O437" s="115"/>
      <c r="P437" s="115"/>
    </row>
    <row r="438" spans="10:16" ht="12.5" x14ac:dyDescent="0.25">
      <c r="J438" s="115"/>
      <c r="K438" s="115"/>
      <c r="L438" s="115"/>
      <c r="M438" s="115"/>
      <c r="N438" s="115"/>
      <c r="O438" s="115"/>
      <c r="P438" s="115"/>
    </row>
    <row r="439" spans="10:16" ht="12.5" x14ac:dyDescent="0.25">
      <c r="J439" s="115"/>
      <c r="K439" s="115"/>
      <c r="L439" s="115"/>
      <c r="M439" s="115"/>
      <c r="N439" s="115"/>
      <c r="O439" s="115"/>
      <c r="P439" s="115"/>
    </row>
    <row r="440" spans="10:16" ht="12.5" x14ac:dyDescent="0.25">
      <c r="J440" s="115"/>
      <c r="K440" s="115"/>
      <c r="L440" s="115"/>
      <c r="M440" s="115"/>
      <c r="N440" s="115"/>
      <c r="O440" s="115"/>
      <c r="P440" s="115"/>
    </row>
    <row r="441" spans="10:16" ht="12.5" x14ac:dyDescent="0.25">
      <c r="J441" s="115"/>
      <c r="K441" s="115"/>
      <c r="L441" s="115"/>
      <c r="M441" s="115"/>
      <c r="N441" s="115"/>
      <c r="O441" s="115"/>
      <c r="P441" s="115"/>
    </row>
    <row r="442" spans="10:16" ht="12.5" x14ac:dyDescent="0.25">
      <c r="J442" s="115"/>
      <c r="K442" s="115"/>
      <c r="L442" s="115"/>
      <c r="M442" s="115"/>
      <c r="N442" s="115"/>
      <c r="O442" s="115"/>
      <c r="P442" s="115"/>
    </row>
    <row r="443" spans="10:16" ht="12.5" x14ac:dyDescent="0.25">
      <c r="J443" s="115"/>
      <c r="K443" s="115"/>
      <c r="L443" s="115"/>
      <c r="M443" s="115"/>
      <c r="N443" s="115"/>
      <c r="O443" s="115"/>
      <c r="P443" s="115"/>
    </row>
    <row r="444" spans="10:16" ht="12.5" x14ac:dyDescent="0.25">
      <c r="J444" s="115"/>
      <c r="K444" s="115"/>
      <c r="L444" s="115"/>
      <c r="M444" s="115"/>
      <c r="N444" s="115"/>
      <c r="O444" s="115"/>
      <c r="P444" s="115"/>
    </row>
    <row r="445" spans="10:16" ht="12.5" x14ac:dyDescent="0.25">
      <c r="J445" s="115"/>
      <c r="K445" s="115"/>
      <c r="L445" s="115"/>
      <c r="M445" s="115"/>
      <c r="N445" s="115"/>
      <c r="O445" s="115"/>
      <c r="P445" s="115"/>
    </row>
    <row r="446" spans="10:16" ht="12.5" x14ac:dyDescent="0.25">
      <c r="J446" s="115"/>
      <c r="K446" s="115"/>
      <c r="L446" s="115"/>
      <c r="M446" s="115"/>
      <c r="N446" s="115"/>
      <c r="O446" s="115"/>
      <c r="P446" s="115"/>
    </row>
    <row r="447" spans="10:16" ht="12.5" x14ac:dyDescent="0.25">
      <c r="J447" s="115"/>
      <c r="K447" s="115"/>
      <c r="L447" s="115"/>
      <c r="M447" s="115"/>
      <c r="N447" s="115"/>
      <c r="O447" s="115"/>
      <c r="P447" s="115"/>
    </row>
    <row r="448" spans="10:16" ht="12.5" x14ac:dyDescent="0.25">
      <c r="J448" s="115"/>
      <c r="K448" s="115"/>
      <c r="L448" s="115"/>
      <c r="M448" s="115"/>
      <c r="N448" s="115"/>
      <c r="O448" s="115"/>
      <c r="P448" s="115"/>
    </row>
    <row r="449" spans="10:16" ht="12.5" x14ac:dyDescent="0.25">
      <c r="J449" s="115"/>
      <c r="K449" s="115"/>
      <c r="L449" s="115"/>
      <c r="M449" s="115"/>
      <c r="N449" s="115"/>
      <c r="O449" s="115"/>
      <c r="P449" s="115"/>
    </row>
    <row r="450" spans="10:16" ht="12.5" x14ac:dyDescent="0.25">
      <c r="J450" s="115"/>
      <c r="K450" s="115"/>
      <c r="L450" s="115"/>
      <c r="M450" s="115"/>
      <c r="N450" s="115"/>
      <c r="O450" s="115"/>
      <c r="P450" s="115"/>
    </row>
    <row r="451" spans="10:16" ht="12.5" x14ac:dyDescent="0.25">
      <c r="J451" s="115"/>
      <c r="K451" s="115"/>
      <c r="L451" s="115"/>
      <c r="M451" s="115"/>
      <c r="N451" s="115"/>
      <c r="O451" s="115"/>
      <c r="P451" s="115"/>
    </row>
    <row r="452" spans="10:16" ht="12.5" x14ac:dyDescent="0.25">
      <c r="J452" s="115"/>
      <c r="K452" s="115"/>
      <c r="L452" s="115"/>
      <c r="M452" s="115"/>
      <c r="N452" s="115"/>
      <c r="O452" s="115"/>
      <c r="P452" s="115"/>
    </row>
    <row r="453" spans="10:16" ht="12.5" x14ac:dyDescent="0.25">
      <c r="J453" s="115"/>
      <c r="K453" s="115"/>
      <c r="L453" s="115"/>
      <c r="M453" s="115"/>
      <c r="N453" s="115"/>
      <c r="O453" s="115"/>
      <c r="P453" s="115"/>
    </row>
    <row r="454" spans="10:16" ht="12.5" x14ac:dyDescent="0.25">
      <c r="J454" s="115"/>
      <c r="K454" s="115"/>
      <c r="L454" s="115"/>
      <c r="M454" s="115"/>
      <c r="N454" s="115"/>
      <c r="O454" s="115"/>
      <c r="P454" s="115"/>
    </row>
    <row r="455" spans="10:16" ht="12.5" x14ac:dyDescent="0.25">
      <c r="J455" s="115"/>
      <c r="K455" s="115"/>
      <c r="L455" s="115"/>
      <c r="M455" s="115"/>
      <c r="N455" s="115"/>
      <c r="O455" s="115"/>
      <c r="P455" s="115"/>
    </row>
    <row r="456" spans="10:16" ht="12.5" x14ac:dyDescent="0.25">
      <c r="J456" s="115"/>
      <c r="K456" s="115"/>
      <c r="L456" s="115"/>
      <c r="M456" s="115"/>
      <c r="N456" s="115"/>
      <c r="O456" s="115"/>
      <c r="P456" s="115"/>
    </row>
    <row r="457" spans="10:16" ht="12.5" x14ac:dyDescent="0.25">
      <c r="J457" s="115"/>
      <c r="K457" s="115"/>
      <c r="L457" s="115"/>
      <c r="M457" s="115"/>
      <c r="N457" s="115"/>
      <c r="O457" s="115"/>
      <c r="P457" s="115"/>
    </row>
    <row r="458" spans="10:16" ht="12.5" x14ac:dyDescent="0.25">
      <c r="J458" s="115"/>
      <c r="K458" s="115"/>
      <c r="L458" s="115"/>
      <c r="M458" s="115"/>
      <c r="N458" s="115"/>
      <c r="O458" s="115"/>
      <c r="P458" s="115"/>
    </row>
    <row r="459" spans="10:16" ht="12.5" x14ac:dyDescent="0.25">
      <c r="J459" s="115"/>
      <c r="K459" s="115"/>
      <c r="L459" s="115"/>
      <c r="M459" s="115"/>
      <c r="N459" s="115"/>
      <c r="O459" s="115"/>
      <c r="P459" s="115"/>
    </row>
    <row r="460" spans="10:16" ht="12.5" x14ac:dyDescent="0.25">
      <c r="J460" s="115"/>
      <c r="K460" s="115"/>
      <c r="L460" s="115"/>
      <c r="M460" s="115"/>
      <c r="N460" s="115"/>
      <c r="O460" s="115"/>
      <c r="P460" s="115"/>
    </row>
    <row r="461" spans="10:16" ht="12.5" x14ac:dyDescent="0.25">
      <c r="J461" s="115"/>
      <c r="K461" s="115"/>
      <c r="L461" s="115"/>
      <c r="M461" s="115"/>
      <c r="N461" s="115"/>
      <c r="O461" s="115"/>
      <c r="P461" s="115"/>
    </row>
    <row r="462" spans="10:16" ht="12.5" x14ac:dyDescent="0.25">
      <c r="J462" s="115"/>
      <c r="K462" s="115"/>
      <c r="L462" s="115"/>
      <c r="M462" s="115"/>
      <c r="N462" s="115"/>
      <c r="O462" s="115"/>
      <c r="P462" s="115"/>
    </row>
    <row r="463" spans="10:16" ht="12.5" x14ac:dyDescent="0.25">
      <c r="J463" s="115"/>
      <c r="K463" s="115"/>
      <c r="L463" s="115"/>
      <c r="M463" s="115"/>
      <c r="N463" s="115"/>
      <c r="O463" s="115"/>
      <c r="P463" s="115"/>
    </row>
    <row r="464" spans="10:16" ht="12.5" x14ac:dyDescent="0.25">
      <c r="J464" s="115"/>
      <c r="K464" s="115"/>
      <c r="L464" s="115"/>
      <c r="M464" s="115"/>
      <c r="N464" s="115"/>
      <c r="O464" s="115"/>
      <c r="P464" s="115"/>
    </row>
    <row r="465" spans="10:16" ht="12.5" x14ac:dyDescent="0.25">
      <c r="J465" s="115"/>
      <c r="K465" s="115"/>
      <c r="L465" s="115"/>
      <c r="M465" s="115"/>
      <c r="N465" s="115"/>
      <c r="O465" s="115"/>
      <c r="P465" s="115"/>
    </row>
    <row r="466" spans="10:16" ht="12.5" x14ac:dyDescent="0.25">
      <c r="J466" s="115"/>
      <c r="K466" s="115"/>
      <c r="L466" s="115"/>
      <c r="M466" s="115"/>
      <c r="N466" s="115"/>
      <c r="O466" s="115"/>
      <c r="P466" s="115"/>
    </row>
    <row r="467" spans="10:16" ht="12.5" x14ac:dyDescent="0.25">
      <c r="J467" s="115"/>
      <c r="K467" s="115"/>
      <c r="L467" s="115"/>
      <c r="M467" s="115"/>
      <c r="N467" s="115"/>
      <c r="O467" s="115"/>
      <c r="P467" s="115"/>
    </row>
    <row r="468" spans="10:16" ht="12.5" x14ac:dyDescent="0.25">
      <c r="J468" s="115"/>
      <c r="K468" s="115"/>
      <c r="L468" s="115"/>
      <c r="M468" s="115"/>
      <c r="N468" s="115"/>
      <c r="O468" s="115"/>
      <c r="P468" s="115"/>
    </row>
    <row r="469" spans="10:16" ht="12.5" x14ac:dyDescent="0.25">
      <c r="J469" s="115"/>
      <c r="K469" s="115"/>
      <c r="L469" s="115"/>
      <c r="M469" s="115"/>
      <c r="N469" s="115"/>
      <c r="O469" s="115"/>
      <c r="P469" s="115"/>
    </row>
    <row r="470" spans="10:16" ht="12.5" x14ac:dyDescent="0.25">
      <c r="J470" s="115"/>
      <c r="K470" s="115"/>
      <c r="L470" s="115"/>
      <c r="M470" s="115"/>
      <c r="N470" s="115"/>
      <c r="O470" s="115"/>
      <c r="P470" s="115"/>
    </row>
    <row r="471" spans="10:16" ht="12.5" x14ac:dyDescent="0.25">
      <c r="J471" s="115"/>
      <c r="K471" s="115"/>
      <c r="L471" s="115"/>
      <c r="M471" s="115"/>
      <c r="N471" s="115"/>
      <c r="O471" s="115"/>
      <c r="P471" s="115"/>
    </row>
    <row r="472" spans="10:16" ht="12.5" x14ac:dyDescent="0.25">
      <c r="J472" s="115"/>
      <c r="K472" s="115"/>
      <c r="L472" s="115"/>
      <c r="M472" s="115"/>
      <c r="N472" s="115"/>
      <c r="O472" s="115"/>
      <c r="P472" s="115"/>
    </row>
    <row r="473" spans="10:16" ht="12.5" x14ac:dyDescent="0.25">
      <c r="J473" s="115"/>
      <c r="K473" s="115"/>
      <c r="L473" s="115"/>
      <c r="M473" s="115"/>
      <c r="N473" s="115"/>
      <c r="O473" s="115"/>
      <c r="P473" s="115"/>
    </row>
    <row r="474" spans="10:16" ht="12.5" x14ac:dyDescent="0.25">
      <c r="J474" s="115"/>
      <c r="K474" s="115"/>
      <c r="L474" s="115"/>
      <c r="M474" s="115"/>
      <c r="N474" s="115"/>
      <c r="O474" s="115"/>
      <c r="P474" s="115"/>
    </row>
    <row r="475" spans="10:16" ht="12.5" x14ac:dyDescent="0.25">
      <c r="J475" s="115"/>
      <c r="K475" s="115"/>
      <c r="L475" s="115"/>
      <c r="M475" s="115"/>
      <c r="N475" s="115"/>
      <c r="O475" s="115"/>
      <c r="P475" s="115"/>
    </row>
    <row r="476" spans="10:16" ht="12.5" x14ac:dyDescent="0.25">
      <c r="J476" s="115"/>
      <c r="K476" s="115"/>
      <c r="L476" s="115"/>
      <c r="M476" s="115"/>
      <c r="N476" s="115"/>
      <c r="O476" s="115"/>
      <c r="P476" s="115"/>
    </row>
    <row r="477" spans="10:16" ht="12.5" x14ac:dyDescent="0.25">
      <c r="J477" s="115"/>
      <c r="K477" s="115"/>
      <c r="L477" s="115"/>
      <c r="M477" s="115"/>
      <c r="N477" s="115"/>
      <c r="O477" s="115"/>
      <c r="P477" s="115"/>
    </row>
    <row r="478" spans="10:16" ht="12.5" x14ac:dyDescent="0.25">
      <c r="J478" s="115"/>
      <c r="K478" s="115"/>
      <c r="L478" s="115"/>
      <c r="M478" s="115"/>
      <c r="N478" s="115"/>
      <c r="O478" s="115"/>
      <c r="P478" s="115"/>
    </row>
    <row r="479" spans="10:16" ht="12.5" x14ac:dyDescent="0.25">
      <c r="J479" s="115"/>
      <c r="K479" s="115"/>
      <c r="L479" s="115"/>
      <c r="M479" s="115"/>
      <c r="N479" s="115"/>
      <c r="O479" s="115"/>
      <c r="P479" s="115"/>
    </row>
    <row r="480" spans="10:16" ht="12.5" x14ac:dyDescent="0.25">
      <c r="J480" s="115"/>
      <c r="K480" s="115"/>
      <c r="L480" s="115"/>
      <c r="M480" s="115"/>
      <c r="N480" s="115"/>
      <c r="O480" s="115"/>
      <c r="P480" s="115"/>
    </row>
    <row r="481" spans="10:16" ht="12.5" x14ac:dyDescent="0.25">
      <c r="J481" s="115"/>
      <c r="K481" s="115"/>
      <c r="L481" s="115"/>
      <c r="M481" s="115"/>
      <c r="N481" s="115"/>
      <c r="O481" s="115"/>
      <c r="P481" s="115"/>
    </row>
    <row r="482" spans="10:16" ht="12.5" x14ac:dyDescent="0.25">
      <c r="J482" s="115"/>
      <c r="K482" s="115"/>
      <c r="L482" s="115"/>
      <c r="M482" s="115"/>
      <c r="N482" s="115"/>
      <c r="O482" s="115"/>
      <c r="P482" s="115"/>
    </row>
    <row r="483" spans="10:16" ht="12.5" x14ac:dyDescent="0.25">
      <c r="J483" s="115"/>
      <c r="K483" s="115"/>
      <c r="L483" s="115"/>
      <c r="M483" s="115"/>
      <c r="N483" s="115"/>
      <c r="O483" s="115"/>
      <c r="P483" s="115"/>
    </row>
    <row r="484" spans="10:16" ht="12.5" x14ac:dyDescent="0.25">
      <c r="J484" s="115"/>
      <c r="K484" s="115"/>
      <c r="L484" s="115"/>
      <c r="M484" s="115"/>
      <c r="N484" s="115"/>
      <c r="O484" s="115"/>
      <c r="P484" s="115"/>
    </row>
    <row r="485" spans="10:16" ht="12.5" x14ac:dyDescent="0.25">
      <c r="J485" s="115"/>
      <c r="K485" s="115"/>
      <c r="L485" s="115"/>
      <c r="M485" s="115"/>
      <c r="N485" s="115"/>
      <c r="O485" s="115"/>
      <c r="P485" s="115"/>
    </row>
    <row r="486" spans="10:16" ht="12.5" x14ac:dyDescent="0.25">
      <c r="J486" s="115"/>
      <c r="K486" s="115"/>
      <c r="L486" s="115"/>
      <c r="M486" s="115"/>
      <c r="N486" s="115"/>
      <c r="O486" s="115"/>
      <c r="P486" s="115"/>
    </row>
    <row r="487" spans="10:16" ht="12.5" x14ac:dyDescent="0.25">
      <c r="J487" s="115"/>
      <c r="K487" s="115"/>
      <c r="L487" s="115"/>
      <c r="M487" s="115"/>
      <c r="N487" s="115"/>
      <c r="O487" s="115"/>
      <c r="P487" s="115"/>
    </row>
    <row r="488" spans="10:16" ht="12.5" x14ac:dyDescent="0.25">
      <c r="J488" s="115"/>
      <c r="K488" s="115"/>
      <c r="L488" s="115"/>
      <c r="M488" s="115"/>
      <c r="N488" s="115"/>
      <c r="O488" s="115"/>
      <c r="P488" s="115"/>
    </row>
    <row r="489" spans="10:16" ht="12.5" x14ac:dyDescent="0.25">
      <c r="J489" s="115"/>
      <c r="K489" s="115"/>
      <c r="L489" s="115"/>
      <c r="M489" s="115"/>
      <c r="N489" s="115"/>
      <c r="O489" s="115"/>
      <c r="P489" s="115"/>
    </row>
    <row r="490" spans="10:16" ht="12.5" x14ac:dyDescent="0.25">
      <c r="J490" s="115"/>
      <c r="K490" s="115"/>
      <c r="L490" s="115"/>
      <c r="M490" s="115"/>
      <c r="N490" s="115"/>
      <c r="O490" s="115"/>
      <c r="P490" s="115"/>
    </row>
    <row r="491" spans="10:16" ht="12.5" x14ac:dyDescent="0.25">
      <c r="J491" s="115"/>
      <c r="K491" s="115"/>
      <c r="L491" s="115"/>
      <c r="M491" s="115"/>
      <c r="N491" s="115"/>
      <c r="O491" s="115"/>
      <c r="P491" s="115"/>
    </row>
    <row r="492" spans="10:16" ht="12.5" x14ac:dyDescent="0.25">
      <c r="J492" s="115"/>
      <c r="K492" s="115"/>
      <c r="L492" s="115"/>
      <c r="M492" s="115"/>
      <c r="N492" s="115"/>
      <c r="O492" s="115"/>
      <c r="P492" s="115"/>
    </row>
    <row r="493" spans="10:16" ht="12.5" x14ac:dyDescent="0.25">
      <c r="J493" s="115"/>
      <c r="K493" s="115"/>
      <c r="L493" s="115"/>
      <c r="M493" s="115"/>
      <c r="N493" s="115"/>
      <c r="O493" s="115"/>
      <c r="P493" s="115"/>
    </row>
    <row r="494" spans="10:16" ht="12.5" x14ac:dyDescent="0.25">
      <c r="J494" s="115"/>
      <c r="K494" s="115"/>
      <c r="L494" s="115"/>
      <c r="M494" s="115"/>
      <c r="N494" s="115"/>
      <c r="O494" s="115"/>
      <c r="P494" s="115"/>
    </row>
    <row r="495" spans="10:16" ht="12.5" x14ac:dyDescent="0.25">
      <c r="J495" s="115"/>
      <c r="K495" s="115"/>
      <c r="L495" s="115"/>
      <c r="M495" s="115"/>
      <c r="N495" s="115"/>
      <c r="O495" s="115"/>
      <c r="P495" s="115"/>
    </row>
    <row r="496" spans="10:16" ht="12.5" x14ac:dyDescent="0.25">
      <c r="J496" s="115"/>
      <c r="K496" s="115"/>
      <c r="L496" s="115"/>
      <c r="M496" s="115"/>
      <c r="N496" s="115"/>
      <c r="O496" s="115"/>
      <c r="P496" s="115"/>
    </row>
    <row r="497" spans="10:16" ht="12.5" x14ac:dyDescent="0.25">
      <c r="J497" s="115"/>
      <c r="K497" s="115"/>
      <c r="L497" s="115"/>
      <c r="M497" s="115"/>
      <c r="N497" s="115"/>
      <c r="O497" s="115"/>
      <c r="P497" s="115"/>
    </row>
    <row r="498" spans="10:16" ht="12.5" x14ac:dyDescent="0.25">
      <c r="J498" s="115"/>
      <c r="K498" s="115"/>
      <c r="L498" s="115"/>
      <c r="M498" s="115"/>
      <c r="N498" s="115"/>
      <c r="O498" s="115"/>
      <c r="P498" s="115"/>
    </row>
    <row r="499" spans="10:16" ht="12.5" x14ac:dyDescent="0.25">
      <c r="J499" s="115"/>
      <c r="K499" s="115"/>
      <c r="L499" s="115"/>
      <c r="M499" s="115"/>
      <c r="N499" s="115"/>
      <c r="O499" s="115"/>
      <c r="P499" s="115"/>
    </row>
    <row r="500" spans="10:16" ht="12.5" x14ac:dyDescent="0.25">
      <c r="J500" s="115"/>
      <c r="K500" s="115"/>
      <c r="L500" s="115"/>
      <c r="M500" s="115"/>
      <c r="N500" s="115"/>
      <c r="O500" s="115"/>
      <c r="P500" s="115"/>
    </row>
    <row r="501" spans="10:16" ht="12.5" x14ac:dyDescent="0.25">
      <c r="J501" s="115"/>
      <c r="K501" s="115"/>
      <c r="L501" s="115"/>
      <c r="M501" s="115"/>
      <c r="N501" s="115"/>
      <c r="O501" s="115"/>
      <c r="P501" s="115"/>
    </row>
    <row r="502" spans="10:16" ht="12.5" x14ac:dyDescent="0.25">
      <c r="J502" s="115"/>
      <c r="K502" s="115"/>
      <c r="L502" s="115"/>
      <c r="M502" s="115"/>
      <c r="N502" s="115"/>
      <c r="O502" s="115"/>
      <c r="P502" s="115"/>
    </row>
    <row r="503" spans="10:16" ht="12.5" x14ac:dyDescent="0.25">
      <c r="J503" s="115"/>
      <c r="K503" s="115"/>
      <c r="L503" s="115"/>
      <c r="M503" s="115"/>
      <c r="N503" s="115"/>
      <c r="O503" s="115"/>
      <c r="P503" s="115"/>
    </row>
    <row r="504" spans="10:16" ht="12.5" x14ac:dyDescent="0.25">
      <c r="J504" s="115"/>
      <c r="K504" s="115"/>
      <c r="L504" s="115"/>
      <c r="M504" s="115"/>
      <c r="N504" s="115"/>
      <c r="O504" s="115"/>
      <c r="P504" s="115"/>
    </row>
    <row r="505" spans="10:16" ht="12.5" x14ac:dyDescent="0.25">
      <c r="J505" s="115"/>
      <c r="K505" s="115"/>
      <c r="L505" s="115"/>
      <c r="M505" s="115"/>
      <c r="N505" s="115"/>
      <c r="O505" s="115"/>
      <c r="P505" s="115"/>
    </row>
    <row r="506" spans="10:16" ht="12.5" x14ac:dyDescent="0.25">
      <c r="J506" s="115"/>
      <c r="K506" s="115"/>
      <c r="L506" s="115"/>
      <c r="M506" s="115"/>
      <c r="N506" s="115"/>
      <c r="O506" s="115"/>
      <c r="P506" s="115"/>
    </row>
    <row r="507" spans="10:16" ht="12.5" x14ac:dyDescent="0.25">
      <c r="J507" s="115"/>
      <c r="K507" s="115"/>
      <c r="L507" s="115"/>
      <c r="M507" s="115"/>
      <c r="N507" s="115"/>
      <c r="O507" s="115"/>
      <c r="P507" s="115"/>
    </row>
    <row r="508" spans="10:16" ht="12.5" x14ac:dyDescent="0.25">
      <c r="J508" s="115"/>
      <c r="K508" s="115"/>
      <c r="L508" s="115"/>
      <c r="M508" s="115"/>
      <c r="N508" s="115"/>
      <c r="O508" s="115"/>
      <c r="P508" s="115"/>
    </row>
    <row r="509" spans="10:16" ht="12.5" x14ac:dyDescent="0.25">
      <c r="J509" s="115"/>
      <c r="K509" s="115"/>
      <c r="L509" s="115"/>
      <c r="M509" s="115"/>
      <c r="N509" s="115"/>
      <c r="O509" s="115"/>
      <c r="P509" s="115"/>
    </row>
    <row r="510" spans="10:16" ht="12.5" x14ac:dyDescent="0.25">
      <c r="J510" s="115"/>
      <c r="K510" s="115"/>
      <c r="L510" s="115"/>
      <c r="M510" s="115"/>
      <c r="N510" s="115"/>
      <c r="O510" s="115"/>
      <c r="P510" s="115"/>
    </row>
    <row r="511" spans="10:16" ht="12.5" x14ac:dyDescent="0.25">
      <c r="J511" s="115"/>
      <c r="K511" s="115"/>
      <c r="L511" s="115"/>
      <c r="M511" s="115"/>
      <c r="N511" s="115"/>
      <c r="O511" s="115"/>
      <c r="P511" s="115"/>
    </row>
    <row r="512" spans="10:16" ht="12.5" x14ac:dyDescent="0.25">
      <c r="J512" s="115"/>
      <c r="K512" s="115"/>
      <c r="L512" s="115"/>
      <c r="M512" s="115"/>
      <c r="N512" s="115"/>
      <c r="O512" s="115"/>
      <c r="P512" s="115"/>
    </row>
    <row r="513" spans="10:16" ht="12.5" x14ac:dyDescent="0.25">
      <c r="J513" s="115"/>
      <c r="K513" s="115"/>
      <c r="L513" s="115"/>
      <c r="M513" s="115"/>
      <c r="N513" s="115"/>
      <c r="O513" s="115"/>
      <c r="P513" s="115"/>
    </row>
    <row r="514" spans="10:16" ht="12.5" x14ac:dyDescent="0.25">
      <c r="J514" s="115"/>
      <c r="K514" s="115"/>
      <c r="L514" s="115"/>
      <c r="M514" s="115"/>
      <c r="N514" s="115"/>
      <c r="O514" s="115"/>
      <c r="P514" s="115"/>
    </row>
    <row r="515" spans="10:16" ht="12.5" x14ac:dyDescent="0.25">
      <c r="J515" s="115"/>
      <c r="K515" s="115"/>
      <c r="L515" s="115"/>
      <c r="M515" s="115"/>
      <c r="N515" s="115"/>
      <c r="O515" s="115"/>
      <c r="P515" s="115"/>
    </row>
    <row r="516" spans="10:16" ht="12.5" x14ac:dyDescent="0.25">
      <c r="J516" s="115"/>
      <c r="K516" s="115"/>
      <c r="L516" s="115"/>
      <c r="M516" s="115"/>
      <c r="N516" s="115"/>
      <c r="O516" s="115"/>
      <c r="P516" s="115"/>
    </row>
    <row r="517" spans="10:16" ht="12.5" x14ac:dyDescent="0.25">
      <c r="J517" s="115"/>
      <c r="K517" s="115"/>
      <c r="L517" s="115"/>
      <c r="M517" s="115"/>
      <c r="N517" s="115"/>
      <c r="O517" s="115"/>
      <c r="P517" s="115"/>
    </row>
    <row r="518" spans="10:16" ht="12.5" x14ac:dyDescent="0.25">
      <c r="J518" s="115"/>
      <c r="K518" s="115"/>
      <c r="L518" s="115"/>
      <c r="M518" s="115"/>
      <c r="N518" s="115"/>
      <c r="O518" s="115"/>
      <c r="P518" s="115"/>
    </row>
    <row r="519" spans="10:16" ht="12.5" x14ac:dyDescent="0.25">
      <c r="J519" s="115"/>
      <c r="K519" s="115"/>
      <c r="L519" s="115"/>
      <c r="M519" s="115"/>
      <c r="N519" s="115"/>
      <c r="O519" s="115"/>
      <c r="P519" s="115"/>
    </row>
    <row r="520" spans="10:16" ht="12.5" x14ac:dyDescent="0.25">
      <c r="J520" s="115"/>
      <c r="K520" s="115"/>
      <c r="L520" s="115"/>
      <c r="M520" s="115"/>
      <c r="N520" s="115"/>
      <c r="O520" s="115"/>
      <c r="P520" s="115"/>
    </row>
    <row r="521" spans="10:16" ht="12.5" x14ac:dyDescent="0.25">
      <c r="J521" s="115"/>
      <c r="K521" s="115"/>
      <c r="L521" s="115"/>
      <c r="M521" s="115"/>
      <c r="N521" s="115"/>
      <c r="O521" s="115"/>
      <c r="P521" s="115"/>
    </row>
    <row r="522" spans="10:16" ht="12.5" x14ac:dyDescent="0.25">
      <c r="J522" s="115"/>
      <c r="K522" s="115"/>
      <c r="L522" s="115"/>
      <c r="M522" s="115"/>
      <c r="N522" s="115"/>
      <c r="O522" s="115"/>
      <c r="P522" s="115"/>
    </row>
    <row r="523" spans="10:16" ht="12.5" x14ac:dyDescent="0.25">
      <c r="J523" s="115"/>
      <c r="K523" s="115"/>
      <c r="L523" s="115"/>
      <c r="M523" s="115"/>
      <c r="N523" s="115"/>
      <c r="O523" s="115"/>
      <c r="P523" s="115"/>
    </row>
    <row r="524" spans="10:16" ht="12.5" x14ac:dyDescent="0.25">
      <c r="J524" s="115"/>
      <c r="K524" s="115"/>
      <c r="L524" s="115"/>
      <c r="M524" s="115"/>
      <c r="N524" s="115"/>
      <c r="O524" s="115"/>
      <c r="P524" s="115"/>
    </row>
    <row r="525" spans="10:16" ht="12.5" x14ac:dyDescent="0.25">
      <c r="J525" s="115"/>
      <c r="K525" s="115"/>
      <c r="L525" s="115"/>
      <c r="M525" s="115"/>
      <c r="N525" s="115"/>
      <c r="O525" s="115"/>
      <c r="P525" s="115"/>
    </row>
    <row r="526" spans="10:16" ht="12.5" x14ac:dyDescent="0.25">
      <c r="J526" s="115"/>
      <c r="K526" s="115"/>
      <c r="L526" s="115"/>
      <c r="M526" s="115"/>
      <c r="N526" s="115"/>
      <c r="O526" s="115"/>
      <c r="P526" s="115"/>
    </row>
    <row r="527" spans="10:16" ht="12.5" x14ac:dyDescent="0.25">
      <c r="J527" s="115"/>
      <c r="K527" s="115"/>
      <c r="L527" s="115"/>
      <c r="M527" s="115"/>
      <c r="N527" s="115"/>
      <c r="O527" s="115"/>
      <c r="P527" s="115"/>
    </row>
    <row r="528" spans="10:16" ht="12.5" x14ac:dyDescent="0.25">
      <c r="J528" s="115"/>
      <c r="K528" s="115"/>
      <c r="L528" s="115"/>
      <c r="M528" s="115"/>
      <c r="N528" s="115"/>
      <c r="O528" s="115"/>
      <c r="P528" s="115"/>
    </row>
    <row r="529" spans="10:16" ht="12.5" x14ac:dyDescent="0.25">
      <c r="J529" s="115"/>
      <c r="K529" s="115"/>
      <c r="L529" s="115"/>
      <c r="M529" s="115"/>
      <c r="N529" s="115"/>
      <c r="O529" s="115"/>
      <c r="P529" s="115"/>
    </row>
    <row r="530" spans="10:16" ht="12.5" x14ac:dyDescent="0.25">
      <c r="J530" s="115"/>
      <c r="K530" s="115"/>
      <c r="L530" s="115"/>
      <c r="M530" s="115"/>
      <c r="N530" s="115"/>
      <c r="O530" s="115"/>
      <c r="P530" s="115"/>
    </row>
    <row r="531" spans="10:16" ht="12.5" x14ac:dyDescent="0.25">
      <c r="J531" s="115"/>
      <c r="K531" s="115"/>
      <c r="L531" s="115"/>
      <c r="M531" s="115"/>
      <c r="N531" s="115"/>
      <c r="O531" s="115"/>
      <c r="P531" s="115"/>
    </row>
    <row r="532" spans="10:16" ht="12.5" x14ac:dyDescent="0.25">
      <c r="J532" s="115"/>
      <c r="K532" s="115"/>
      <c r="L532" s="115"/>
      <c r="M532" s="115"/>
      <c r="N532" s="115"/>
      <c r="O532" s="115"/>
      <c r="P532" s="115"/>
    </row>
    <row r="533" spans="10:16" ht="12.5" x14ac:dyDescent="0.25">
      <c r="J533" s="115"/>
      <c r="K533" s="115"/>
      <c r="L533" s="115"/>
      <c r="M533" s="115"/>
      <c r="N533" s="115"/>
      <c r="O533" s="115"/>
      <c r="P533" s="115"/>
    </row>
    <row r="534" spans="10:16" ht="12.5" x14ac:dyDescent="0.25">
      <c r="J534" s="115"/>
      <c r="K534" s="115"/>
      <c r="L534" s="115"/>
      <c r="M534" s="115"/>
      <c r="N534" s="115"/>
      <c r="O534" s="115"/>
      <c r="P534" s="115"/>
    </row>
    <row r="535" spans="10:16" ht="12.5" x14ac:dyDescent="0.25">
      <c r="J535" s="115"/>
      <c r="K535" s="115"/>
      <c r="L535" s="115"/>
      <c r="M535" s="115"/>
      <c r="N535" s="115"/>
      <c r="O535" s="115"/>
      <c r="P535" s="115"/>
    </row>
    <row r="536" spans="10:16" ht="12.5" x14ac:dyDescent="0.25">
      <c r="J536" s="115"/>
      <c r="K536" s="115"/>
      <c r="L536" s="115"/>
      <c r="M536" s="115"/>
      <c r="N536" s="115"/>
      <c r="O536" s="115"/>
      <c r="P536" s="115"/>
    </row>
    <row r="537" spans="10:16" ht="12.5" x14ac:dyDescent="0.25">
      <c r="J537" s="115"/>
      <c r="K537" s="115"/>
      <c r="L537" s="115"/>
      <c r="M537" s="115"/>
      <c r="N537" s="115"/>
      <c r="O537" s="115"/>
      <c r="P537" s="115"/>
    </row>
    <row r="538" spans="10:16" ht="12.5" x14ac:dyDescent="0.25">
      <c r="J538" s="115"/>
      <c r="K538" s="115"/>
      <c r="L538" s="115"/>
      <c r="M538" s="115"/>
      <c r="N538" s="115"/>
      <c r="O538" s="115"/>
      <c r="P538" s="115"/>
    </row>
    <row r="539" spans="10:16" ht="12.5" x14ac:dyDescent="0.25">
      <c r="J539" s="115"/>
      <c r="K539" s="115"/>
      <c r="L539" s="115"/>
      <c r="M539" s="115"/>
      <c r="N539" s="115"/>
      <c r="O539" s="115"/>
      <c r="P539" s="115"/>
    </row>
    <row r="540" spans="10:16" ht="12.5" x14ac:dyDescent="0.25">
      <c r="J540" s="115"/>
      <c r="K540" s="115"/>
      <c r="L540" s="115"/>
      <c r="M540" s="115"/>
      <c r="N540" s="115"/>
      <c r="O540" s="115"/>
      <c r="P540" s="115"/>
    </row>
    <row r="541" spans="10:16" ht="12.5" x14ac:dyDescent="0.25">
      <c r="J541" s="115"/>
      <c r="K541" s="115"/>
      <c r="L541" s="115"/>
      <c r="M541" s="115"/>
      <c r="N541" s="115"/>
      <c r="O541" s="115"/>
      <c r="P541" s="115"/>
    </row>
    <row r="542" spans="10:16" ht="12.5" x14ac:dyDescent="0.25">
      <c r="J542" s="115"/>
      <c r="K542" s="115"/>
      <c r="L542" s="115"/>
      <c r="M542" s="115"/>
      <c r="N542" s="115"/>
      <c r="O542" s="115"/>
      <c r="P542" s="115"/>
    </row>
    <row r="543" spans="10:16" ht="12.5" x14ac:dyDescent="0.25">
      <c r="J543" s="115"/>
      <c r="K543" s="115"/>
      <c r="L543" s="115"/>
      <c r="M543" s="115"/>
      <c r="N543" s="115"/>
      <c r="O543" s="115"/>
      <c r="P543" s="115"/>
    </row>
    <row r="544" spans="10:16" ht="12.5" x14ac:dyDescent="0.25">
      <c r="J544" s="115"/>
      <c r="K544" s="115"/>
      <c r="L544" s="115"/>
      <c r="M544" s="115"/>
      <c r="N544" s="115"/>
      <c r="O544" s="115"/>
      <c r="P544" s="115"/>
    </row>
    <row r="545" spans="10:16" ht="12.5" x14ac:dyDescent="0.25">
      <c r="J545" s="115"/>
      <c r="K545" s="115"/>
      <c r="L545" s="115"/>
      <c r="M545" s="115"/>
      <c r="N545" s="115"/>
      <c r="O545" s="115"/>
      <c r="P545" s="115"/>
    </row>
    <row r="546" spans="10:16" ht="12.5" x14ac:dyDescent="0.25">
      <c r="J546" s="115"/>
      <c r="K546" s="115"/>
      <c r="L546" s="115"/>
      <c r="M546" s="115"/>
      <c r="N546" s="115"/>
      <c r="O546" s="115"/>
      <c r="P546" s="115"/>
    </row>
    <row r="547" spans="10:16" ht="12.5" x14ac:dyDescent="0.25">
      <c r="J547" s="115"/>
      <c r="K547" s="115"/>
      <c r="L547" s="115"/>
      <c r="M547" s="115"/>
      <c r="N547" s="115"/>
      <c r="O547" s="115"/>
      <c r="P547" s="115"/>
    </row>
    <row r="548" spans="10:16" ht="12.5" x14ac:dyDescent="0.25">
      <c r="J548" s="115"/>
      <c r="K548" s="115"/>
      <c r="L548" s="115"/>
      <c r="M548" s="115"/>
      <c r="N548" s="115"/>
      <c r="O548" s="115"/>
      <c r="P548" s="115"/>
    </row>
    <row r="549" spans="10:16" ht="12.5" x14ac:dyDescent="0.25">
      <c r="J549" s="115"/>
      <c r="K549" s="115"/>
      <c r="L549" s="115"/>
      <c r="M549" s="115"/>
      <c r="N549" s="115"/>
      <c r="O549" s="115"/>
      <c r="P549" s="115"/>
    </row>
    <row r="550" spans="10:16" ht="12.5" x14ac:dyDescent="0.25">
      <c r="J550" s="115"/>
      <c r="K550" s="115"/>
      <c r="L550" s="115"/>
      <c r="M550" s="115"/>
      <c r="N550" s="115"/>
      <c r="O550" s="115"/>
      <c r="P550" s="115"/>
    </row>
    <row r="551" spans="10:16" ht="12.5" x14ac:dyDescent="0.25">
      <c r="J551" s="115"/>
      <c r="K551" s="115"/>
      <c r="L551" s="115"/>
      <c r="M551" s="115"/>
      <c r="N551" s="115"/>
      <c r="O551" s="115"/>
      <c r="P551" s="115"/>
    </row>
    <row r="552" spans="10:16" ht="12.5" x14ac:dyDescent="0.25">
      <c r="J552" s="115"/>
      <c r="K552" s="115"/>
      <c r="L552" s="115"/>
      <c r="M552" s="115"/>
      <c r="N552" s="115"/>
      <c r="O552" s="115"/>
      <c r="P552" s="115"/>
    </row>
    <row r="553" spans="10:16" ht="12.5" x14ac:dyDescent="0.25">
      <c r="J553" s="115"/>
      <c r="K553" s="115"/>
      <c r="L553" s="115"/>
      <c r="M553" s="115"/>
      <c r="N553" s="115"/>
      <c r="O553" s="115"/>
      <c r="P553" s="115"/>
    </row>
    <row r="554" spans="10:16" ht="12.5" x14ac:dyDescent="0.25">
      <c r="J554" s="115"/>
      <c r="K554" s="115"/>
      <c r="L554" s="115"/>
      <c r="M554" s="115"/>
      <c r="N554" s="115"/>
      <c r="O554" s="115"/>
      <c r="P554" s="115"/>
    </row>
    <row r="555" spans="10:16" ht="12.5" x14ac:dyDescent="0.25">
      <c r="J555" s="115"/>
      <c r="K555" s="115"/>
      <c r="L555" s="115"/>
      <c r="M555" s="115"/>
      <c r="N555" s="115"/>
      <c r="O555" s="115"/>
      <c r="P555" s="115"/>
    </row>
    <row r="556" spans="10:16" ht="12.5" x14ac:dyDescent="0.25">
      <c r="J556" s="115"/>
      <c r="K556" s="115"/>
      <c r="L556" s="115"/>
      <c r="M556" s="115"/>
      <c r="N556" s="115"/>
      <c r="O556" s="115"/>
      <c r="P556" s="115"/>
    </row>
    <row r="557" spans="10:16" ht="12.5" x14ac:dyDescent="0.25">
      <c r="J557" s="115"/>
      <c r="K557" s="115"/>
      <c r="L557" s="115"/>
      <c r="M557" s="115"/>
      <c r="N557" s="115"/>
      <c r="O557" s="115"/>
      <c r="P557" s="115"/>
    </row>
    <row r="558" spans="10:16" ht="12.5" x14ac:dyDescent="0.25">
      <c r="J558" s="115"/>
      <c r="K558" s="115"/>
      <c r="L558" s="115"/>
      <c r="M558" s="115"/>
      <c r="N558" s="115"/>
      <c r="O558" s="115"/>
      <c r="P558" s="115"/>
    </row>
    <row r="559" spans="10:16" ht="12.5" x14ac:dyDescent="0.25">
      <c r="J559" s="115"/>
      <c r="K559" s="115"/>
      <c r="L559" s="115"/>
      <c r="M559" s="115"/>
      <c r="N559" s="115"/>
      <c r="O559" s="115"/>
      <c r="P559" s="115"/>
    </row>
    <row r="560" spans="10:16" ht="12.5" x14ac:dyDescent="0.25">
      <c r="J560" s="115"/>
      <c r="K560" s="115"/>
      <c r="L560" s="115"/>
      <c r="M560" s="115"/>
      <c r="N560" s="115"/>
      <c r="O560" s="115"/>
      <c r="P560" s="115"/>
    </row>
    <row r="561" spans="10:16" ht="12.5" x14ac:dyDescent="0.25">
      <c r="J561" s="115"/>
      <c r="K561" s="115"/>
      <c r="L561" s="115"/>
      <c r="M561" s="115"/>
      <c r="N561" s="115"/>
      <c r="O561" s="115"/>
      <c r="P561" s="115"/>
    </row>
    <row r="562" spans="10:16" ht="12.5" x14ac:dyDescent="0.25">
      <c r="J562" s="115"/>
      <c r="K562" s="115"/>
      <c r="L562" s="115"/>
      <c r="M562" s="115"/>
      <c r="N562" s="115"/>
      <c r="O562" s="115"/>
      <c r="P562" s="115"/>
    </row>
    <row r="563" spans="10:16" ht="12.5" x14ac:dyDescent="0.25">
      <c r="J563" s="115"/>
      <c r="K563" s="115"/>
      <c r="L563" s="115"/>
      <c r="M563" s="115"/>
      <c r="N563" s="115"/>
      <c r="O563" s="115"/>
      <c r="P563" s="115"/>
    </row>
    <row r="564" spans="10:16" ht="12.5" x14ac:dyDescent="0.25">
      <c r="J564" s="115"/>
      <c r="K564" s="115"/>
      <c r="L564" s="115"/>
      <c r="M564" s="115"/>
      <c r="N564" s="115"/>
      <c r="O564" s="115"/>
      <c r="P564" s="115"/>
    </row>
    <row r="565" spans="10:16" ht="12.5" x14ac:dyDescent="0.25">
      <c r="J565" s="115"/>
      <c r="K565" s="115"/>
      <c r="L565" s="115"/>
      <c r="M565" s="115"/>
      <c r="N565" s="115"/>
      <c r="O565" s="115"/>
      <c r="P565" s="115"/>
    </row>
    <row r="566" spans="10:16" ht="12.5" x14ac:dyDescent="0.25">
      <c r="J566" s="115"/>
      <c r="K566" s="115"/>
      <c r="L566" s="115"/>
      <c r="M566" s="115"/>
      <c r="N566" s="115"/>
      <c r="O566" s="115"/>
      <c r="P566" s="115"/>
    </row>
    <row r="567" spans="10:16" ht="12.5" x14ac:dyDescent="0.25">
      <c r="J567" s="115"/>
      <c r="K567" s="115"/>
      <c r="L567" s="115"/>
      <c r="M567" s="115"/>
      <c r="N567" s="115"/>
      <c r="O567" s="115"/>
      <c r="P567" s="115"/>
    </row>
    <row r="568" spans="10:16" ht="12.5" x14ac:dyDescent="0.25">
      <c r="J568" s="115"/>
      <c r="K568" s="115"/>
      <c r="L568" s="115"/>
      <c r="M568" s="115"/>
      <c r="N568" s="115"/>
      <c r="O568" s="115"/>
      <c r="P568" s="115"/>
    </row>
    <row r="569" spans="10:16" ht="12.5" x14ac:dyDescent="0.25">
      <c r="J569" s="115"/>
      <c r="K569" s="115"/>
      <c r="L569" s="115"/>
      <c r="M569" s="115"/>
      <c r="N569" s="115"/>
      <c r="O569" s="115"/>
      <c r="P569" s="115"/>
    </row>
    <row r="570" spans="10:16" ht="12.5" x14ac:dyDescent="0.25">
      <c r="J570" s="115"/>
      <c r="K570" s="115"/>
      <c r="L570" s="115"/>
      <c r="M570" s="115"/>
      <c r="N570" s="115"/>
      <c r="O570" s="115"/>
      <c r="P570" s="115"/>
    </row>
    <row r="571" spans="10:16" ht="12.5" x14ac:dyDescent="0.25">
      <c r="J571" s="115"/>
      <c r="K571" s="115"/>
      <c r="L571" s="115"/>
      <c r="M571" s="115"/>
      <c r="N571" s="115"/>
      <c r="O571" s="115"/>
      <c r="P571" s="115"/>
    </row>
    <row r="572" spans="10:16" ht="12.5" x14ac:dyDescent="0.25">
      <c r="J572" s="115"/>
      <c r="K572" s="115"/>
      <c r="L572" s="115"/>
      <c r="M572" s="115"/>
      <c r="N572" s="115"/>
      <c r="O572" s="115"/>
      <c r="P572" s="115"/>
    </row>
    <row r="573" spans="10:16" ht="12.5" x14ac:dyDescent="0.25">
      <c r="J573" s="115"/>
      <c r="K573" s="115"/>
      <c r="L573" s="115"/>
      <c r="M573" s="115"/>
      <c r="N573" s="115"/>
      <c r="O573" s="115"/>
      <c r="P573" s="115"/>
    </row>
    <row r="574" spans="10:16" ht="12.5" x14ac:dyDescent="0.25">
      <c r="J574" s="115"/>
      <c r="K574" s="115"/>
      <c r="L574" s="115"/>
      <c r="M574" s="115"/>
      <c r="N574" s="115"/>
      <c r="O574" s="115"/>
      <c r="P574" s="115"/>
    </row>
    <row r="575" spans="10:16" ht="12.5" x14ac:dyDescent="0.25">
      <c r="J575" s="115"/>
      <c r="K575" s="115"/>
      <c r="L575" s="115"/>
      <c r="M575" s="115"/>
      <c r="N575" s="115"/>
      <c r="O575" s="115"/>
      <c r="P575" s="115"/>
    </row>
    <row r="576" spans="10:16" ht="12.5" x14ac:dyDescent="0.25">
      <c r="J576" s="115"/>
      <c r="K576" s="115"/>
      <c r="L576" s="115"/>
      <c r="M576" s="115"/>
      <c r="N576" s="115"/>
      <c r="O576" s="115"/>
      <c r="P576" s="115"/>
    </row>
    <row r="577" spans="10:16" ht="12.5" x14ac:dyDescent="0.25">
      <c r="J577" s="115"/>
      <c r="K577" s="115"/>
      <c r="L577" s="115"/>
      <c r="M577" s="115"/>
      <c r="N577" s="115"/>
      <c r="O577" s="115"/>
      <c r="P577" s="115"/>
    </row>
    <row r="578" spans="10:16" ht="12.5" x14ac:dyDescent="0.25">
      <c r="J578" s="115"/>
      <c r="K578" s="115"/>
      <c r="L578" s="115"/>
      <c r="M578" s="115"/>
      <c r="N578" s="115"/>
      <c r="O578" s="115"/>
      <c r="P578" s="115"/>
    </row>
    <row r="579" spans="10:16" ht="12.5" x14ac:dyDescent="0.25">
      <c r="J579" s="115"/>
      <c r="K579" s="115"/>
      <c r="L579" s="115"/>
      <c r="M579" s="115"/>
      <c r="N579" s="115"/>
      <c r="O579" s="115"/>
      <c r="P579" s="115"/>
    </row>
    <row r="580" spans="10:16" ht="12.5" x14ac:dyDescent="0.25">
      <c r="J580" s="115"/>
      <c r="K580" s="115"/>
      <c r="L580" s="115"/>
      <c r="M580" s="115"/>
      <c r="N580" s="115"/>
      <c r="O580" s="115"/>
      <c r="P580" s="115"/>
    </row>
    <row r="581" spans="10:16" ht="12.5" x14ac:dyDescent="0.25">
      <c r="J581" s="115"/>
      <c r="K581" s="115"/>
      <c r="L581" s="115"/>
      <c r="M581" s="115"/>
      <c r="N581" s="115"/>
      <c r="O581" s="115"/>
      <c r="P581" s="115"/>
    </row>
    <row r="582" spans="10:16" ht="12.5" x14ac:dyDescent="0.25">
      <c r="J582" s="115"/>
      <c r="K582" s="115"/>
      <c r="L582" s="115"/>
      <c r="M582" s="115"/>
      <c r="N582" s="115"/>
      <c r="O582" s="115"/>
      <c r="P582" s="115"/>
    </row>
    <row r="583" spans="10:16" ht="12.5" x14ac:dyDescent="0.25">
      <c r="J583" s="115"/>
      <c r="K583" s="115"/>
      <c r="L583" s="115"/>
      <c r="M583" s="115"/>
      <c r="N583" s="115"/>
      <c r="O583" s="115"/>
      <c r="P583" s="115"/>
    </row>
    <row r="584" spans="10:16" ht="12.5" x14ac:dyDescent="0.25">
      <c r="J584" s="115"/>
      <c r="K584" s="115"/>
      <c r="L584" s="115"/>
      <c r="M584" s="115"/>
      <c r="N584" s="115"/>
      <c r="O584" s="115"/>
      <c r="P584" s="115"/>
    </row>
    <row r="585" spans="10:16" ht="12.5" x14ac:dyDescent="0.25">
      <c r="J585" s="115"/>
      <c r="K585" s="115"/>
      <c r="L585" s="115"/>
      <c r="M585" s="115"/>
      <c r="N585" s="115"/>
      <c r="O585" s="115"/>
      <c r="P585" s="115"/>
    </row>
    <row r="586" spans="10:16" ht="12.5" x14ac:dyDescent="0.25">
      <c r="J586" s="115"/>
      <c r="K586" s="115"/>
      <c r="L586" s="115"/>
      <c r="M586" s="115"/>
      <c r="N586" s="115"/>
      <c r="O586" s="115"/>
      <c r="P586" s="115"/>
    </row>
    <row r="587" spans="10:16" ht="12.5" x14ac:dyDescent="0.25">
      <c r="J587" s="115"/>
      <c r="K587" s="115"/>
      <c r="L587" s="115"/>
      <c r="M587" s="115"/>
      <c r="N587" s="115"/>
      <c r="O587" s="115"/>
      <c r="P587" s="115"/>
    </row>
    <row r="588" spans="10:16" ht="12.5" x14ac:dyDescent="0.25">
      <c r="J588" s="115"/>
      <c r="K588" s="115"/>
      <c r="L588" s="115"/>
      <c r="M588" s="115"/>
      <c r="N588" s="115"/>
      <c r="O588" s="115"/>
      <c r="P588" s="115"/>
    </row>
    <row r="589" spans="10:16" ht="12.5" x14ac:dyDescent="0.25">
      <c r="J589" s="115"/>
      <c r="K589" s="115"/>
      <c r="L589" s="115"/>
      <c r="M589" s="115"/>
      <c r="N589" s="115"/>
      <c r="O589" s="115"/>
      <c r="P589" s="115"/>
    </row>
    <row r="590" spans="10:16" ht="12.5" x14ac:dyDescent="0.25">
      <c r="J590" s="115"/>
      <c r="K590" s="115"/>
      <c r="L590" s="115"/>
      <c r="M590" s="115"/>
      <c r="N590" s="115"/>
      <c r="O590" s="115"/>
      <c r="P590" s="115"/>
    </row>
    <row r="591" spans="10:16" ht="12.5" x14ac:dyDescent="0.25">
      <c r="J591" s="115"/>
      <c r="K591" s="115"/>
      <c r="L591" s="115"/>
      <c r="M591" s="115"/>
      <c r="N591" s="115"/>
      <c r="O591" s="115"/>
      <c r="P591" s="115"/>
    </row>
    <row r="592" spans="10:16" ht="12.5" x14ac:dyDescent="0.25">
      <c r="J592" s="115"/>
      <c r="K592" s="115"/>
      <c r="L592" s="115"/>
      <c r="M592" s="115"/>
      <c r="N592" s="115"/>
      <c r="O592" s="115"/>
      <c r="P592" s="115"/>
    </row>
    <row r="593" spans="10:16" ht="12.5" x14ac:dyDescent="0.25">
      <c r="J593" s="115"/>
      <c r="K593" s="115"/>
      <c r="L593" s="115"/>
      <c r="M593" s="115"/>
      <c r="N593" s="115"/>
      <c r="O593" s="115"/>
      <c r="P593" s="115"/>
    </row>
    <row r="594" spans="10:16" ht="12.5" x14ac:dyDescent="0.25">
      <c r="J594" s="115"/>
      <c r="K594" s="115"/>
      <c r="L594" s="115"/>
      <c r="M594" s="115"/>
      <c r="N594" s="115"/>
      <c r="O594" s="115"/>
      <c r="P594" s="115"/>
    </row>
    <row r="595" spans="10:16" ht="12.5" x14ac:dyDescent="0.25">
      <c r="J595" s="115"/>
      <c r="K595" s="115"/>
      <c r="L595" s="115"/>
      <c r="M595" s="115"/>
      <c r="N595" s="115"/>
      <c r="O595" s="115"/>
      <c r="P595" s="115"/>
    </row>
    <row r="596" spans="10:16" ht="12.5" x14ac:dyDescent="0.25">
      <c r="J596" s="115"/>
      <c r="K596" s="115"/>
      <c r="L596" s="115"/>
      <c r="M596" s="115"/>
      <c r="N596" s="115"/>
      <c r="O596" s="115"/>
      <c r="P596" s="115"/>
    </row>
    <row r="597" spans="10:16" ht="12.5" x14ac:dyDescent="0.25">
      <c r="J597" s="115"/>
      <c r="K597" s="115"/>
      <c r="L597" s="115"/>
      <c r="M597" s="115"/>
      <c r="N597" s="115"/>
      <c r="O597" s="115"/>
      <c r="P597" s="115"/>
    </row>
    <row r="598" spans="10:16" ht="12.5" x14ac:dyDescent="0.25">
      <c r="J598" s="115"/>
      <c r="K598" s="115"/>
      <c r="L598" s="115"/>
      <c r="M598" s="115"/>
      <c r="N598" s="115"/>
      <c r="O598" s="115"/>
      <c r="P598" s="115"/>
    </row>
    <row r="599" spans="10:16" ht="12.5" x14ac:dyDescent="0.25">
      <c r="J599" s="115"/>
      <c r="K599" s="115"/>
      <c r="L599" s="115"/>
      <c r="M599" s="115"/>
      <c r="N599" s="115"/>
      <c r="O599" s="115"/>
      <c r="P599" s="115"/>
    </row>
    <row r="600" spans="10:16" ht="12.5" x14ac:dyDescent="0.25">
      <c r="J600" s="115"/>
      <c r="K600" s="115"/>
      <c r="L600" s="115"/>
      <c r="M600" s="115"/>
      <c r="N600" s="115"/>
      <c r="O600" s="115"/>
      <c r="P600" s="115"/>
    </row>
    <row r="601" spans="10:16" ht="12.5" x14ac:dyDescent="0.25">
      <c r="J601" s="115"/>
      <c r="K601" s="115"/>
      <c r="L601" s="115"/>
      <c r="M601" s="115"/>
      <c r="N601" s="115"/>
      <c r="O601" s="115"/>
      <c r="P601" s="115"/>
    </row>
    <row r="602" spans="10:16" ht="12.5" x14ac:dyDescent="0.25">
      <c r="J602" s="115"/>
      <c r="K602" s="115"/>
      <c r="L602" s="115"/>
      <c r="M602" s="115"/>
      <c r="N602" s="115"/>
      <c r="O602" s="115"/>
      <c r="P602" s="115"/>
    </row>
    <row r="603" spans="10:16" ht="12.5" x14ac:dyDescent="0.25">
      <c r="J603" s="115"/>
      <c r="K603" s="115"/>
      <c r="L603" s="115"/>
      <c r="M603" s="115"/>
      <c r="N603" s="115"/>
      <c r="O603" s="115"/>
      <c r="P603" s="115"/>
    </row>
    <row r="604" spans="10:16" ht="12.5" x14ac:dyDescent="0.25">
      <c r="J604" s="115"/>
      <c r="K604" s="115"/>
      <c r="L604" s="115"/>
      <c r="M604" s="115"/>
      <c r="N604" s="115"/>
      <c r="O604" s="115"/>
      <c r="P604" s="115"/>
    </row>
    <row r="605" spans="10:16" ht="12.5" x14ac:dyDescent="0.25">
      <c r="J605" s="115"/>
      <c r="K605" s="115"/>
      <c r="L605" s="115"/>
      <c r="M605" s="115"/>
      <c r="N605" s="115"/>
      <c r="O605" s="115"/>
      <c r="P605" s="115"/>
    </row>
    <row r="606" spans="10:16" ht="12.5" x14ac:dyDescent="0.25">
      <c r="J606" s="115"/>
      <c r="K606" s="115"/>
      <c r="L606" s="115"/>
      <c r="M606" s="115"/>
      <c r="N606" s="115"/>
      <c r="O606" s="115"/>
      <c r="P606" s="115"/>
    </row>
    <row r="607" spans="10:16" ht="12.5" x14ac:dyDescent="0.25">
      <c r="J607" s="115"/>
      <c r="K607" s="115"/>
      <c r="L607" s="115"/>
      <c r="M607" s="115"/>
      <c r="N607" s="115"/>
      <c r="O607" s="115"/>
      <c r="P607" s="115"/>
    </row>
    <row r="608" spans="10:16" ht="12.5" x14ac:dyDescent="0.25">
      <c r="J608" s="115"/>
      <c r="K608" s="115"/>
      <c r="L608" s="115"/>
      <c r="M608" s="115"/>
      <c r="N608" s="115"/>
      <c r="O608" s="115"/>
      <c r="P608" s="115"/>
    </row>
    <row r="609" spans="10:16" ht="12.5" x14ac:dyDescent="0.25">
      <c r="J609" s="115"/>
      <c r="K609" s="115"/>
      <c r="L609" s="115"/>
      <c r="M609" s="115"/>
      <c r="N609" s="115"/>
      <c r="O609" s="115"/>
      <c r="P609" s="115"/>
    </row>
    <row r="610" spans="10:16" ht="12.5" x14ac:dyDescent="0.25">
      <c r="J610" s="115"/>
      <c r="K610" s="115"/>
      <c r="L610" s="115"/>
      <c r="M610" s="115"/>
      <c r="N610" s="115"/>
      <c r="O610" s="115"/>
      <c r="P610" s="115"/>
    </row>
    <row r="611" spans="10:16" ht="12.5" x14ac:dyDescent="0.25">
      <c r="J611" s="115"/>
      <c r="K611" s="115"/>
      <c r="L611" s="115"/>
      <c r="M611" s="115"/>
      <c r="N611" s="115"/>
      <c r="O611" s="115"/>
      <c r="P611" s="115"/>
    </row>
    <row r="612" spans="10:16" ht="12.5" x14ac:dyDescent="0.25">
      <c r="J612" s="115"/>
      <c r="K612" s="115"/>
      <c r="L612" s="115"/>
      <c r="M612" s="115"/>
      <c r="N612" s="115"/>
      <c r="O612" s="115"/>
      <c r="P612" s="115"/>
    </row>
    <row r="613" spans="10:16" ht="12.5" x14ac:dyDescent="0.25">
      <c r="J613" s="115"/>
      <c r="K613" s="115"/>
      <c r="L613" s="115"/>
      <c r="M613" s="115"/>
      <c r="N613" s="115"/>
      <c r="O613" s="115"/>
      <c r="P613" s="115"/>
    </row>
    <row r="614" spans="10:16" ht="12.5" x14ac:dyDescent="0.25">
      <c r="J614" s="115"/>
      <c r="K614" s="115"/>
      <c r="L614" s="115"/>
      <c r="M614" s="115"/>
      <c r="N614" s="115"/>
      <c r="O614" s="115"/>
      <c r="P614" s="115"/>
    </row>
    <row r="615" spans="10:16" ht="12.5" x14ac:dyDescent="0.25">
      <c r="J615" s="115"/>
      <c r="K615" s="115"/>
      <c r="L615" s="115"/>
      <c r="M615" s="115"/>
      <c r="N615" s="115"/>
      <c r="O615" s="115"/>
      <c r="P615" s="115"/>
    </row>
    <row r="616" spans="10:16" ht="12.5" x14ac:dyDescent="0.25">
      <c r="J616" s="115"/>
      <c r="K616" s="115"/>
      <c r="L616" s="115"/>
      <c r="M616" s="115"/>
      <c r="N616" s="115"/>
      <c r="O616" s="115"/>
      <c r="P616" s="115"/>
    </row>
    <row r="617" spans="10:16" ht="12.5" x14ac:dyDescent="0.25">
      <c r="J617" s="115"/>
      <c r="K617" s="115"/>
      <c r="L617" s="115"/>
      <c r="M617" s="115"/>
      <c r="N617" s="115"/>
      <c r="O617" s="115"/>
      <c r="P617" s="115"/>
    </row>
    <row r="618" spans="10:16" ht="12.5" x14ac:dyDescent="0.25">
      <c r="J618" s="115"/>
      <c r="K618" s="115"/>
      <c r="L618" s="115"/>
      <c r="M618" s="115"/>
      <c r="N618" s="115"/>
      <c r="O618" s="115"/>
      <c r="P618" s="115"/>
    </row>
    <row r="619" spans="10:16" ht="12.5" x14ac:dyDescent="0.25">
      <c r="J619" s="115"/>
      <c r="K619" s="115"/>
      <c r="L619" s="115"/>
      <c r="M619" s="115"/>
      <c r="N619" s="115"/>
      <c r="O619" s="115"/>
      <c r="P619" s="115"/>
    </row>
    <row r="620" spans="10:16" ht="12.5" x14ac:dyDescent="0.25">
      <c r="J620" s="115"/>
      <c r="K620" s="115"/>
      <c r="L620" s="115"/>
      <c r="M620" s="115"/>
      <c r="N620" s="115"/>
      <c r="O620" s="115"/>
      <c r="P620" s="115"/>
    </row>
    <row r="621" spans="10:16" ht="12.5" x14ac:dyDescent="0.25">
      <c r="J621" s="115"/>
      <c r="K621" s="115"/>
      <c r="L621" s="115"/>
      <c r="M621" s="115"/>
      <c r="N621" s="115"/>
      <c r="O621" s="115"/>
      <c r="P621" s="115"/>
    </row>
    <row r="622" spans="10:16" ht="12.5" x14ac:dyDescent="0.25">
      <c r="J622" s="115"/>
      <c r="K622" s="115"/>
      <c r="L622" s="115"/>
      <c r="M622" s="115"/>
      <c r="N622" s="115"/>
      <c r="O622" s="115"/>
      <c r="P622" s="115"/>
    </row>
    <row r="623" spans="10:16" ht="12.5" x14ac:dyDescent="0.25">
      <c r="J623" s="115"/>
      <c r="K623" s="115"/>
      <c r="L623" s="115"/>
      <c r="M623" s="115"/>
      <c r="N623" s="115"/>
      <c r="O623" s="115"/>
      <c r="P623" s="115"/>
    </row>
    <row r="624" spans="10:16" ht="12.5" x14ac:dyDescent="0.25">
      <c r="J624" s="115"/>
      <c r="K624" s="115"/>
      <c r="L624" s="115"/>
      <c r="M624" s="115"/>
      <c r="N624" s="115"/>
      <c r="O624" s="115"/>
      <c r="P624" s="115"/>
    </row>
    <row r="625" spans="10:16" ht="12.5" x14ac:dyDescent="0.25">
      <c r="J625" s="115"/>
      <c r="K625" s="115"/>
      <c r="L625" s="115"/>
      <c r="M625" s="115"/>
      <c r="N625" s="115"/>
      <c r="O625" s="115"/>
      <c r="P625" s="115"/>
    </row>
    <row r="626" spans="10:16" ht="12.5" x14ac:dyDescent="0.25">
      <c r="J626" s="115"/>
      <c r="K626" s="115"/>
      <c r="L626" s="115"/>
      <c r="M626" s="115"/>
      <c r="N626" s="115"/>
      <c r="O626" s="115"/>
      <c r="P626" s="115"/>
    </row>
    <row r="627" spans="10:16" ht="12.5" x14ac:dyDescent="0.25">
      <c r="J627" s="115"/>
      <c r="K627" s="115"/>
      <c r="L627" s="115"/>
      <c r="M627" s="115"/>
      <c r="N627" s="115"/>
      <c r="O627" s="115"/>
      <c r="P627" s="115"/>
    </row>
    <row r="628" spans="10:16" ht="12.5" x14ac:dyDescent="0.25">
      <c r="J628" s="115"/>
      <c r="K628" s="115"/>
      <c r="L628" s="115"/>
      <c r="M628" s="115"/>
      <c r="N628" s="115"/>
      <c r="O628" s="115"/>
      <c r="P628" s="115"/>
    </row>
    <row r="629" spans="10:16" ht="12.5" x14ac:dyDescent="0.25">
      <c r="J629" s="115"/>
      <c r="K629" s="115"/>
      <c r="L629" s="115"/>
      <c r="M629" s="115"/>
      <c r="N629" s="115"/>
      <c r="O629" s="115"/>
      <c r="P629" s="115"/>
    </row>
    <row r="630" spans="10:16" ht="12.5" x14ac:dyDescent="0.25">
      <c r="J630" s="115"/>
      <c r="K630" s="115"/>
      <c r="L630" s="115"/>
      <c r="M630" s="115"/>
      <c r="N630" s="115"/>
      <c r="O630" s="115"/>
      <c r="P630" s="115"/>
    </row>
    <row r="631" spans="10:16" ht="12.5" x14ac:dyDescent="0.25">
      <c r="J631" s="115"/>
      <c r="K631" s="115"/>
      <c r="L631" s="115"/>
      <c r="M631" s="115"/>
      <c r="N631" s="115"/>
      <c r="O631" s="115"/>
      <c r="P631" s="115"/>
    </row>
    <row r="632" spans="10:16" ht="12.5" x14ac:dyDescent="0.25">
      <c r="J632" s="115"/>
      <c r="K632" s="115"/>
      <c r="L632" s="115"/>
      <c r="M632" s="115"/>
      <c r="N632" s="115"/>
      <c r="O632" s="115"/>
      <c r="P632" s="115"/>
    </row>
    <row r="633" spans="10:16" ht="12.5" x14ac:dyDescent="0.25">
      <c r="J633" s="115"/>
      <c r="K633" s="115"/>
      <c r="L633" s="115"/>
      <c r="M633" s="115"/>
      <c r="N633" s="115"/>
      <c r="O633" s="115"/>
      <c r="P633" s="115"/>
    </row>
    <row r="634" spans="10:16" ht="12.5" x14ac:dyDescent="0.25">
      <c r="J634" s="115"/>
      <c r="K634" s="115"/>
      <c r="L634" s="115"/>
      <c r="M634" s="115"/>
      <c r="N634" s="115"/>
      <c r="O634" s="115"/>
      <c r="P634" s="115"/>
    </row>
    <row r="635" spans="10:16" ht="12.5" x14ac:dyDescent="0.25">
      <c r="J635" s="115"/>
      <c r="K635" s="115"/>
      <c r="L635" s="115"/>
      <c r="M635" s="115"/>
      <c r="N635" s="115"/>
      <c r="O635" s="115"/>
      <c r="P635" s="115"/>
    </row>
    <row r="636" spans="10:16" ht="12.5" x14ac:dyDescent="0.25">
      <c r="J636" s="115"/>
      <c r="K636" s="115"/>
      <c r="L636" s="115"/>
      <c r="M636" s="115"/>
      <c r="N636" s="115"/>
      <c r="O636" s="115"/>
      <c r="P636" s="115"/>
    </row>
    <row r="637" spans="10:16" ht="12.5" x14ac:dyDescent="0.25">
      <c r="J637" s="115"/>
      <c r="K637" s="115"/>
      <c r="L637" s="115"/>
      <c r="M637" s="115"/>
      <c r="N637" s="115"/>
      <c r="O637" s="115"/>
      <c r="P637" s="115"/>
    </row>
    <row r="638" spans="10:16" ht="12.5" x14ac:dyDescent="0.25">
      <c r="J638" s="115"/>
      <c r="K638" s="115"/>
      <c r="L638" s="115"/>
      <c r="M638" s="115"/>
      <c r="N638" s="115"/>
      <c r="O638" s="115"/>
      <c r="P638" s="115"/>
    </row>
    <row r="639" spans="10:16" ht="12.5" x14ac:dyDescent="0.25">
      <c r="J639" s="115"/>
      <c r="K639" s="115"/>
      <c r="L639" s="115"/>
      <c r="M639" s="115"/>
      <c r="N639" s="115"/>
      <c r="O639" s="115"/>
      <c r="P639" s="115"/>
    </row>
    <row r="640" spans="10:16" ht="12.5" x14ac:dyDescent="0.25">
      <c r="J640" s="115"/>
      <c r="K640" s="115"/>
      <c r="L640" s="115"/>
      <c r="M640" s="115"/>
      <c r="N640" s="115"/>
      <c r="O640" s="115"/>
      <c r="P640" s="115"/>
    </row>
    <row r="641" spans="10:16" ht="12.5" x14ac:dyDescent="0.25">
      <c r="J641" s="115"/>
      <c r="K641" s="115"/>
      <c r="L641" s="115"/>
      <c r="M641" s="115"/>
      <c r="N641" s="115"/>
      <c r="O641" s="115"/>
      <c r="P641" s="115"/>
    </row>
    <row r="642" spans="10:16" ht="12.5" x14ac:dyDescent="0.25">
      <c r="J642" s="115"/>
      <c r="K642" s="115"/>
      <c r="L642" s="115"/>
      <c r="M642" s="115"/>
      <c r="N642" s="115"/>
      <c r="O642" s="115"/>
      <c r="P642" s="115"/>
    </row>
    <row r="643" spans="10:16" ht="12.5" x14ac:dyDescent="0.25">
      <c r="J643" s="115"/>
      <c r="K643" s="115"/>
      <c r="L643" s="115"/>
      <c r="M643" s="115"/>
      <c r="N643" s="115"/>
      <c r="O643" s="115"/>
      <c r="P643" s="115"/>
    </row>
    <row r="644" spans="10:16" ht="12.5" x14ac:dyDescent="0.25">
      <c r="J644" s="115"/>
      <c r="K644" s="115"/>
      <c r="L644" s="115"/>
      <c r="M644" s="115"/>
      <c r="N644" s="115"/>
      <c r="O644" s="115"/>
      <c r="P644" s="115"/>
    </row>
    <row r="645" spans="10:16" ht="12.5" x14ac:dyDescent="0.25">
      <c r="J645" s="115"/>
      <c r="K645" s="115"/>
      <c r="L645" s="115"/>
      <c r="M645" s="115"/>
      <c r="N645" s="115"/>
      <c r="O645" s="115"/>
      <c r="P645" s="115"/>
    </row>
    <row r="646" spans="10:16" ht="12.5" x14ac:dyDescent="0.25">
      <c r="J646" s="115"/>
      <c r="K646" s="115"/>
      <c r="L646" s="115"/>
      <c r="M646" s="115"/>
      <c r="N646" s="115"/>
      <c r="O646" s="115"/>
      <c r="P646" s="115"/>
    </row>
    <row r="647" spans="10:16" ht="12.5" x14ac:dyDescent="0.25">
      <c r="J647" s="115"/>
      <c r="K647" s="115"/>
      <c r="L647" s="115"/>
      <c r="M647" s="115"/>
      <c r="N647" s="115"/>
      <c r="O647" s="115"/>
      <c r="P647" s="115"/>
    </row>
    <row r="648" spans="10:16" ht="12.5" x14ac:dyDescent="0.25">
      <c r="J648" s="115"/>
      <c r="K648" s="115"/>
      <c r="L648" s="115"/>
      <c r="M648" s="115"/>
      <c r="N648" s="115"/>
      <c r="O648" s="115"/>
      <c r="P648" s="115"/>
    </row>
    <row r="649" spans="10:16" ht="12.5" x14ac:dyDescent="0.25">
      <c r="J649" s="115"/>
      <c r="K649" s="115"/>
      <c r="L649" s="115"/>
      <c r="M649" s="115"/>
      <c r="N649" s="115"/>
      <c r="O649" s="115"/>
      <c r="P649" s="115"/>
    </row>
    <row r="650" spans="10:16" ht="12.5" x14ac:dyDescent="0.25">
      <c r="J650" s="115"/>
      <c r="K650" s="115"/>
      <c r="L650" s="115"/>
      <c r="M650" s="115"/>
      <c r="N650" s="115"/>
      <c r="O650" s="115"/>
      <c r="P650" s="115"/>
    </row>
    <row r="651" spans="10:16" ht="12.5" x14ac:dyDescent="0.25">
      <c r="J651" s="115"/>
      <c r="K651" s="115"/>
      <c r="L651" s="115"/>
      <c r="M651" s="115"/>
      <c r="N651" s="115"/>
      <c r="O651" s="115"/>
      <c r="P651" s="115"/>
    </row>
    <row r="652" spans="10:16" ht="12.5" x14ac:dyDescent="0.25">
      <c r="J652" s="115"/>
      <c r="K652" s="115"/>
      <c r="L652" s="115"/>
      <c r="M652" s="115"/>
      <c r="N652" s="115"/>
      <c r="O652" s="115"/>
      <c r="P652" s="115"/>
    </row>
    <row r="653" spans="10:16" ht="12.5" x14ac:dyDescent="0.25">
      <c r="J653" s="115"/>
      <c r="K653" s="115"/>
      <c r="L653" s="115"/>
      <c r="M653" s="115"/>
      <c r="N653" s="115"/>
      <c r="O653" s="115"/>
      <c r="P653" s="115"/>
    </row>
    <row r="654" spans="10:16" ht="12.5" x14ac:dyDescent="0.25">
      <c r="J654" s="115"/>
      <c r="K654" s="115"/>
      <c r="L654" s="115"/>
      <c r="M654" s="115"/>
      <c r="N654" s="115"/>
      <c r="O654" s="115"/>
      <c r="P654" s="115"/>
    </row>
    <row r="655" spans="10:16" ht="12.5" x14ac:dyDescent="0.25">
      <c r="J655" s="115"/>
      <c r="K655" s="115"/>
      <c r="L655" s="115"/>
      <c r="M655" s="115"/>
      <c r="N655" s="115"/>
      <c r="O655" s="115"/>
      <c r="P655" s="115"/>
    </row>
    <row r="656" spans="10:16" ht="12.5" x14ac:dyDescent="0.25">
      <c r="J656" s="115"/>
      <c r="K656" s="115"/>
      <c r="L656" s="115"/>
      <c r="M656" s="115"/>
      <c r="N656" s="115"/>
      <c r="O656" s="115"/>
      <c r="P656" s="115"/>
    </row>
    <row r="657" spans="10:16" ht="12.5" x14ac:dyDescent="0.25">
      <c r="J657" s="115"/>
      <c r="K657" s="115"/>
      <c r="L657" s="115"/>
      <c r="M657" s="115"/>
      <c r="N657" s="115"/>
      <c r="O657" s="115"/>
      <c r="P657" s="115"/>
    </row>
    <row r="658" spans="10:16" ht="12.5" x14ac:dyDescent="0.25">
      <c r="J658" s="115"/>
      <c r="K658" s="115"/>
      <c r="L658" s="115"/>
      <c r="M658" s="115"/>
      <c r="N658" s="115"/>
      <c r="O658" s="115"/>
      <c r="P658" s="115"/>
    </row>
    <row r="659" spans="10:16" ht="12.5" x14ac:dyDescent="0.25">
      <c r="J659" s="115"/>
      <c r="K659" s="115"/>
      <c r="L659" s="115"/>
      <c r="M659" s="115"/>
      <c r="N659" s="115"/>
      <c r="O659" s="115"/>
      <c r="P659" s="115"/>
    </row>
    <row r="660" spans="10:16" ht="12.5" x14ac:dyDescent="0.25">
      <c r="J660" s="115"/>
      <c r="K660" s="115"/>
      <c r="L660" s="115"/>
      <c r="M660" s="115"/>
      <c r="N660" s="115"/>
      <c r="O660" s="115"/>
      <c r="P660" s="115"/>
    </row>
    <row r="661" spans="10:16" ht="12.5" x14ac:dyDescent="0.25">
      <c r="J661" s="115"/>
      <c r="K661" s="115"/>
      <c r="L661" s="115"/>
      <c r="M661" s="115"/>
      <c r="N661" s="115"/>
      <c r="O661" s="115"/>
      <c r="P661" s="115"/>
    </row>
    <row r="662" spans="10:16" ht="12.5" x14ac:dyDescent="0.25">
      <c r="J662" s="115"/>
      <c r="K662" s="115"/>
      <c r="L662" s="115"/>
      <c r="M662" s="115"/>
      <c r="N662" s="115"/>
      <c r="O662" s="115"/>
      <c r="P662" s="115"/>
    </row>
    <row r="663" spans="10:16" ht="12.5" x14ac:dyDescent="0.25">
      <c r="J663" s="115"/>
      <c r="K663" s="115"/>
      <c r="L663" s="115"/>
      <c r="M663" s="115"/>
      <c r="N663" s="115"/>
      <c r="O663" s="115"/>
      <c r="P663" s="115"/>
    </row>
    <row r="664" spans="10:16" ht="12.5" x14ac:dyDescent="0.25">
      <c r="J664" s="115"/>
      <c r="K664" s="115"/>
      <c r="L664" s="115"/>
      <c r="M664" s="115"/>
      <c r="N664" s="115"/>
      <c r="O664" s="115"/>
      <c r="P664" s="115"/>
    </row>
    <row r="665" spans="10:16" ht="12.5" x14ac:dyDescent="0.25">
      <c r="J665" s="115"/>
      <c r="K665" s="115"/>
      <c r="L665" s="115"/>
      <c r="M665" s="115"/>
      <c r="N665" s="115"/>
      <c r="O665" s="115"/>
      <c r="P665" s="115"/>
    </row>
    <row r="666" spans="10:16" ht="12.5" x14ac:dyDescent="0.25">
      <c r="J666" s="115"/>
      <c r="K666" s="115"/>
      <c r="L666" s="115"/>
      <c r="M666" s="115"/>
      <c r="N666" s="115"/>
      <c r="O666" s="115"/>
      <c r="P666" s="115"/>
    </row>
    <row r="667" spans="10:16" ht="12.5" x14ac:dyDescent="0.25">
      <c r="J667" s="115"/>
      <c r="K667" s="115"/>
      <c r="L667" s="115"/>
      <c r="M667" s="115"/>
      <c r="N667" s="115"/>
      <c r="O667" s="115"/>
      <c r="P667" s="115"/>
    </row>
    <row r="668" spans="10:16" ht="12.5" x14ac:dyDescent="0.25">
      <c r="J668" s="115"/>
      <c r="K668" s="115"/>
      <c r="L668" s="115"/>
      <c r="M668" s="115"/>
      <c r="N668" s="115"/>
      <c r="O668" s="115"/>
      <c r="P668" s="115"/>
    </row>
    <row r="669" spans="10:16" ht="12.5" x14ac:dyDescent="0.25">
      <c r="J669" s="115"/>
      <c r="K669" s="115"/>
      <c r="L669" s="115"/>
      <c r="M669" s="115"/>
      <c r="N669" s="115"/>
      <c r="O669" s="115"/>
      <c r="P669" s="115"/>
    </row>
    <row r="670" spans="10:16" ht="12.5" x14ac:dyDescent="0.25">
      <c r="J670" s="115"/>
      <c r="K670" s="115"/>
      <c r="L670" s="115"/>
      <c r="M670" s="115"/>
      <c r="N670" s="115"/>
      <c r="O670" s="115"/>
      <c r="P670" s="115"/>
    </row>
    <row r="671" spans="10:16" ht="12.5" x14ac:dyDescent="0.25">
      <c r="J671" s="115"/>
      <c r="K671" s="115"/>
      <c r="L671" s="115"/>
      <c r="M671" s="115"/>
      <c r="N671" s="115"/>
      <c r="O671" s="115"/>
      <c r="P671" s="115"/>
    </row>
    <row r="672" spans="10:16" ht="12.5" x14ac:dyDescent="0.25">
      <c r="J672" s="115"/>
      <c r="K672" s="115"/>
      <c r="L672" s="115"/>
      <c r="M672" s="115"/>
      <c r="N672" s="115"/>
      <c r="O672" s="115"/>
      <c r="P672" s="115"/>
    </row>
    <row r="673" spans="10:16" ht="12.5" x14ac:dyDescent="0.25">
      <c r="J673" s="115"/>
      <c r="K673" s="115"/>
      <c r="L673" s="115"/>
      <c r="M673" s="115"/>
      <c r="N673" s="115"/>
      <c r="O673" s="115"/>
      <c r="P673" s="115"/>
    </row>
    <row r="674" spans="10:16" ht="12.5" x14ac:dyDescent="0.25">
      <c r="J674" s="115"/>
      <c r="K674" s="115"/>
      <c r="L674" s="115"/>
      <c r="M674" s="115"/>
      <c r="N674" s="115"/>
      <c r="O674" s="115"/>
      <c r="P674" s="115"/>
    </row>
    <row r="675" spans="10:16" ht="12.5" x14ac:dyDescent="0.25">
      <c r="J675" s="115"/>
      <c r="K675" s="115"/>
      <c r="L675" s="115"/>
      <c r="M675" s="115"/>
      <c r="N675" s="115"/>
      <c r="O675" s="115"/>
      <c r="P675" s="115"/>
    </row>
    <row r="676" spans="10:16" ht="12.5" x14ac:dyDescent="0.25">
      <c r="J676" s="115"/>
      <c r="K676" s="115"/>
      <c r="L676" s="115"/>
      <c r="M676" s="115"/>
      <c r="N676" s="115"/>
      <c r="O676" s="115"/>
      <c r="P676" s="115"/>
    </row>
    <row r="677" spans="10:16" ht="12.5" x14ac:dyDescent="0.25">
      <c r="J677" s="115"/>
      <c r="K677" s="115"/>
      <c r="L677" s="115"/>
      <c r="M677" s="115"/>
      <c r="N677" s="115"/>
      <c r="O677" s="115"/>
      <c r="P677" s="115"/>
    </row>
    <row r="678" spans="10:16" ht="12.5" x14ac:dyDescent="0.25">
      <c r="J678" s="115"/>
      <c r="K678" s="115"/>
      <c r="L678" s="115"/>
      <c r="M678" s="115"/>
      <c r="N678" s="115"/>
      <c r="O678" s="115"/>
      <c r="P678" s="115"/>
    </row>
    <row r="679" spans="10:16" ht="12.5" x14ac:dyDescent="0.25">
      <c r="J679" s="115"/>
      <c r="K679" s="115"/>
      <c r="L679" s="115"/>
      <c r="M679" s="115"/>
      <c r="N679" s="115"/>
      <c r="O679" s="115"/>
      <c r="P679" s="115"/>
    </row>
    <row r="680" spans="10:16" ht="12.5" x14ac:dyDescent="0.25">
      <c r="J680" s="115"/>
      <c r="K680" s="115"/>
      <c r="L680" s="115"/>
      <c r="M680" s="115"/>
      <c r="N680" s="115"/>
      <c r="O680" s="115"/>
      <c r="P680" s="115"/>
    </row>
    <row r="681" spans="10:16" ht="12.5" x14ac:dyDescent="0.25">
      <c r="J681" s="115"/>
      <c r="K681" s="115"/>
      <c r="L681" s="115"/>
      <c r="M681" s="115"/>
      <c r="N681" s="115"/>
      <c r="O681" s="115"/>
      <c r="P681" s="115"/>
    </row>
    <row r="682" spans="10:16" ht="12.5" x14ac:dyDescent="0.25">
      <c r="J682" s="115"/>
      <c r="K682" s="115"/>
      <c r="L682" s="115"/>
      <c r="M682" s="115"/>
      <c r="N682" s="115"/>
      <c r="O682" s="115"/>
      <c r="P682" s="115"/>
    </row>
    <row r="683" spans="10:16" ht="12.5" x14ac:dyDescent="0.25">
      <c r="J683" s="115"/>
      <c r="K683" s="115"/>
      <c r="L683" s="115"/>
      <c r="M683" s="115"/>
      <c r="N683" s="115"/>
      <c r="O683" s="115"/>
      <c r="P683" s="115"/>
    </row>
    <row r="684" spans="10:16" ht="12.5" x14ac:dyDescent="0.25">
      <c r="J684" s="115"/>
      <c r="K684" s="115"/>
      <c r="L684" s="115"/>
      <c r="M684" s="115"/>
      <c r="N684" s="115"/>
      <c r="O684" s="115"/>
      <c r="P684" s="115"/>
    </row>
    <row r="685" spans="10:16" ht="12.5" x14ac:dyDescent="0.25">
      <c r="J685" s="115"/>
      <c r="K685" s="115"/>
      <c r="L685" s="115"/>
      <c r="M685" s="115"/>
      <c r="N685" s="115"/>
      <c r="O685" s="115"/>
      <c r="P685" s="115"/>
    </row>
    <row r="686" spans="10:16" ht="12.5" x14ac:dyDescent="0.25">
      <c r="J686" s="115"/>
      <c r="K686" s="115"/>
      <c r="L686" s="115"/>
      <c r="M686" s="115"/>
      <c r="N686" s="115"/>
      <c r="O686" s="115"/>
      <c r="P686" s="115"/>
    </row>
    <row r="687" spans="10:16" ht="12.5" x14ac:dyDescent="0.25">
      <c r="J687" s="115"/>
      <c r="K687" s="115"/>
      <c r="L687" s="115"/>
      <c r="M687" s="115"/>
      <c r="N687" s="115"/>
      <c r="O687" s="115"/>
      <c r="P687" s="115"/>
    </row>
    <row r="688" spans="10:16" ht="12.5" x14ac:dyDescent="0.25">
      <c r="J688" s="115"/>
      <c r="K688" s="115"/>
      <c r="L688" s="115"/>
      <c r="M688" s="115"/>
      <c r="N688" s="115"/>
      <c r="O688" s="115"/>
      <c r="P688" s="115"/>
    </row>
    <row r="689" spans="10:16" ht="12.5" x14ac:dyDescent="0.25">
      <c r="J689" s="115"/>
      <c r="K689" s="115"/>
      <c r="L689" s="115"/>
      <c r="M689" s="115"/>
      <c r="N689" s="115"/>
      <c r="O689" s="115"/>
      <c r="P689" s="115"/>
    </row>
    <row r="690" spans="10:16" ht="12.5" x14ac:dyDescent="0.25">
      <c r="J690" s="115"/>
      <c r="K690" s="115"/>
      <c r="L690" s="115"/>
      <c r="M690" s="115"/>
      <c r="N690" s="115"/>
      <c r="O690" s="115"/>
      <c r="P690" s="115"/>
    </row>
    <row r="691" spans="10:16" ht="12.5" x14ac:dyDescent="0.25">
      <c r="J691" s="115"/>
      <c r="K691" s="115"/>
      <c r="L691" s="115"/>
      <c r="M691" s="115"/>
      <c r="N691" s="115"/>
      <c r="O691" s="115"/>
      <c r="P691" s="115"/>
    </row>
    <row r="692" spans="10:16" ht="12.5" x14ac:dyDescent="0.25">
      <c r="J692" s="115"/>
      <c r="K692" s="115"/>
      <c r="L692" s="115"/>
      <c r="M692" s="115"/>
      <c r="N692" s="115"/>
      <c r="O692" s="115"/>
      <c r="P692" s="115"/>
    </row>
    <row r="693" spans="10:16" ht="12.5" x14ac:dyDescent="0.25">
      <c r="J693" s="115"/>
      <c r="K693" s="115"/>
      <c r="L693" s="115"/>
      <c r="M693" s="115"/>
      <c r="N693" s="115"/>
      <c r="O693" s="115"/>
      <c r="P693" s="115"/>
    </row>
    <row r="694" spans="10:16" ht="12.5" x14ac:dyDescent="0.25">
      <c r="J694" s="115"/>
      <c r="K694" s="115"/>
      <c r="L694" s="115"/>
      <c r="M694" s="115"/>
      <c r="N694" s="115"/>
      <c r="O694" s="115"/>
      <c r="P694" s="115"/>
    </row>
    <row r="695" spans="10:16" ht="12.5" x14ac:dyDescent="0.25">
      <c r="J695" s="115"/>
      <c r="K695" s="115"/>
      <c r="L695" s="115"/>
      <c r="M695" s="115"/>
      <c r="N695" s="115"/>
      <c r="O695" s="115"/>
      <c r="P695" s="115"/>
    </row>
    <row r="696" spans="10:16" ht="12.5" x14ac:dyDescent="0.25">
      <c r="J696" s="115"/>
      <c r="K696" s="115"/>
      <c r="L696" s="115"/>
      <c r="M696" s="115"/>
      <c r="N696" s="115"/>
      <c r="O696" s="115"/>
      <c r="P696" s="115"/>
    </row>
    <row r="697" spans="10:16" ht="12.5" x14ac:dyDescent="0.25">
      <c r="J697" s="115"/>
      <c r="K697" s="115"/>
      <c r="L697" s="115"/>
      <c r="M697" s="115"/>
      <c r="N697" s="115"/>
      <c r="O697" s="115"/>
      <c r="P697" s="115"/>
    </row>
    <row r="698" spans="10:16" ht="12.5" x14ac:dyDescent="0.25">
      <c r="J698" s="115"/>
      <c r="K698" s="115"/>
      <c r="L698" s="115"/>
      <c r="M698" s="115"/>
      <c r="N698" s="115"/>
      <c r="O698" s="115"/>
      <c r="P698" s="115"/>
    </row>
    <row r="699" spans="10:16" ht="12.5" x14ac:dyDescent="0.25">
      <c r="J699" s="115"/>
      <c r="K699" s="115"/>
      <c r="L699" s="115"/>
      <c r="M699" s="115"/>
      <c r="N699" s="115"/>
      <c r="O699" s="115"/>
      <c r="P699" s="115"/>
    </row>
    <row r="700" spans="10:16" ht="12.5" x14ac:dyDescent="0.25">
      <c r="J700" s="115"/>
      <c r="K700" s="115"/>
      <c r="L700" s="115"/>
      <c r="M700" s="115"/>
      <c r="N700" s="115"/>
      <c r="O700" s="115"/>
      <c r="P700" s="115"/>
    </row>
    <row r="701" spans="10:16" ht="12.5" x14ac:dyDescent="0.25">
      <c r="J701" s="115"/>
      <c r="K701" s="115"/>
      <c r="L701" s="115"/>
      <c r="M701" s="115"/>
      <c r="N701" s="115"/>
      <c r="O701" s="115"/>
      <c r="P701" s="115"/>
    </row>
    <row r="702" spans="10:16" ht="12.5" x14ac:dyDescent="0.25">
      <c r="J702" s="115"/>
      <c r="K702" s="115"/>
      <c r="L702" s="115"/>
      <c r="M702" s="115"/>
      <c r="N702" s="115"/>
      <c r="O702" s="115"/>
      <c r="P702" s="115"/>
    </row>
    <row r="703" spans="10:16" ht="12.5" x14ac:dyDescent="0.25">
      <c r="J703" s="115"/>
      <c r="K703" s="115"/>
      <c r="L703" s="115"/>
      <c r="M703" s="115"/>
      <c r="N703" s="115"/>
      <c r="O703" s="115"/>
      <c r="P703" s="115"/>
    </row>
    <row r="704" spans="10:16" ht="12.5" x14ac:dyDescent="0.25">
      <c r="J704" s="115"/>
      <c r="K704" s="115"/>
      <c r="L704" s="115"/>
      <c r="M704" s="115"/>
      <c r="N704" s="115"/>
      <c r="O704" s="115"/>
      <c r="P704" s="115"/>
    </row>
    <row r="705" spans="10:16" ht="12.5" x14ac:dyDescent="0.25">
      <c r="J705" s="115"/>
      <c r="K705" s="115"/>
      <c r="L705" s="115"/>
      <c r="M705" s="115"/>
      <c r="N705" s="115"/>
      <c r="O705" s="115"/>
      <c r="P705" s="115"/>
    </row>
    <row r="706" spans="10:16" ht="12.5" x14ac:dyDescent="0.25">
      <c r="J706" s="115"/>
      <c r="K706" s="115"/>
      <c r="L706" s="115"/>
      <c r="M706" s="115"/>
      <c r="N706" s="115"/>
      <c r="O706" s="115"/>
      <c r="P706" s="115"/>
    </row>
    <row r="707" spans="10:16" ht="12.5" x14ac:dyDescent="0.25">
      <c r="J707" s="115"/>
      <c r="K707" s="115"/>
      <c r="L707" s="115"/>
      <c r="M707" s="115"/>
      <c r="N707" s="115"/>
      <c r="O707" s="115"/>
      <c r="P707" s="115"/>
    </row>
    <row r="708" spans="10:16" ht="12.5" x14ac:dyDescent="0.25">
      <c r="J708" s="115"/>
      <c r="K708" s="115"/>
      <c r="L708" s="115"/>
      <c r="M708" s="115"/>
      <c r="N708" s="115"/>
      <c r="O708" s="115"/>
      <c r="P708" s="115"/>
    </row>
    <row r="709" spans="10:16" ht="12.5" x14ac:dyDescent="0.25">
      <c r="J709" s="115"/>
      <c r="K709" s="115"/>
      <c r="L709" s="115"/>
      <c r="M709" s="115"/>
      <c r="N709" s="115"/>
      <c r="O709" s="115"/>
      <c r="P709" s="115"/>
    </row>
    <row r="710" spans="10:16" ht="12.5" x14ac:dyDescent="0.25">
      <c r="J710" s="115"/>
      <c r="K710" s="115"/>
      <c r="L710" s="115"/>
      <c r="M710" s="115"/>
      <c r="N710" s="115"/>
      <c r="O710" s="115"/>
      <c r="P710" s="115"/>
    </row>
    <row r="711" spans="10:16" ht="12.5" x14ac:dyDescent="0.25">
      <c r="J711" s="115"/>
      <c r="K711" s="115"/>
      <c r="L711" s="115"/>
      <c r="M711" s="115"/>
      <c r="N711" s="115"/>
      <c r="O711" s="115"/>
      <c r="P711" s="115"/>
    </row>
    <row r="712" spans="10:16" ht="12.5" x14ac:dyDescent="0.25">
      <c r="J712" s="115"/>
      <c r="K712" s="115"/>
      <c r="L712" s="115"/>
      <c r="M712" s="115"/>
      <c r="N712" s="115"/>
      <c r="O712" s="115"/>
      <c r="P712" s="115"/>
    </row>
    <row r="713" spans="10:16" ht="12.5" x14ac:dyDescent="0.25">
      <c r="J713" s="115"/>
      <c r="K713" s="115"/>
      <c r="L713" s="115"/>
      <c r="M713" s="115"/>
      <c r="N713" s="115"/>
      <c r="O713" s="115"/>
      <c r="P713" s="115"/>
    </row>
    <row r="714" spans="10:16" ht="12.5" x14ac:dyDescent="0.25">
      <c r="J714" s="115"/>
      <c r="K714" s="115"/>
      <c r="L714" s="115"/>
      <c r="M714" s="115"/>
      <c r="N714" s="115"/>
      <c r="O714" s="115"/>
      <c r="P714" s="115"/>
    </row>
    <row r="715" spans="10:16" ht="12.5" x14ac:dyDescent="0.25">
      <c r="J715" s="115"/>
      <c r="K715" s="115"/>
      <c r="L715" s="115"/>
      <c r="M715" s="115"/>
      <c r="N715" s="115"/>
      <c r="O715" s="115"/>
      <c r="P715" s="115"/>
    </row>
    <row r="716" spans="10:16" ht="12.5" x14ac:dyDescent="0.25">
      <c r="J716" s="115"/>
      <c r="K716" s="115"/>
      <c r="L716" s="115"/>
      <c r="M716" s="115"/>
      <c r="N716" s="115"/>
      <c r="O716" s="115"/>
      <c r="P716" s="115"/>
    </row>
    <row r="717" spans="10:16" ht="12.5" x14ac:dyDescent="0.25">
      <c r="J717" s="115"/>
      <c r="K717" s="115"/>
      <c r="L717" s="115"/>
      <c r="M717" s="115"/>
      <c r="N717" s="115"/>
      <c r="O717" s="115"/>
      <c r="P717" s="115"/>
    </row>
    <row r="718" spans="10:16" ht="12.5" x14ac:dyDescent="0.25">
      <c r="J718" s="115"/>
      <c r="K718" s="115"/>
      <c r="L718" s="115"/>
      <c r="M718" s="115"/>
      <c r="N718" s="115"/>
      <c r="O718" s="115"/>
      <c r="P718" s="115"/>
    </row>
    <row r="719" spans="10:16" ht="12.5" x14ac:dyDescent="0.25">
      <c r="J719" s="115"/>
      <c r="K719" s="115"/>
      <c r="L719" s="115"/>
      <c r="M719" s="115"/>
      <c r="N719" s="115"/>
      <c r="O719" s="115"/>
      <c r="P719" s="115"/>
    </row>
    <row r="720" spans="10:16" ht="12.5" x14ac:dyDescent="0.25">
      <c r="J720" s="115"/>
      <c r="K720" s="115"/>
      <c r="L720" s="115"/>
      <c r="M720" s="115"/>
      <c r="N720" s="115"/>
      <c r="O720" s="115"/>
      <c r="P720" s="115"/>
    </row>
    <row r="721" spans="10:16" ht="12.5" x14ac:dyDescent="0.25">
      <c r="J721" s="115"/>
      <c r="K721" s="115"/>
      <c r="L721" s="115"/>
      <c r="M721" s="115"/>
      <c r="N721" s="115"/>
      <c r="O721" s="115"/>
      <c r="P721" s="115"/>
    </row>
    <row r="722" spans="10:16" ht="12.5" x14ac:dyDescent="0.25">
      <c r="J722" s="115"/>
      <c r="K722" s="115"/>
      <c r="L722" s="115"/>
      <c r="M722" s="115"/>
      <c r="N722" s="115"/>
      <c r="O722" s="115"/>
      <c r="P722" s="115"/>
    </row>
    <row r="723" spans="10:16" ht="12.5" x14ac:dyDescent="0.25">
      <c r="J723" s="115"/>
      <c r="K723" s="115"/>
      <c r="L723" s="115"/>
      <c r="M723" s="115"/>
      <c r="N723" s="115"/>
      <c r="O723" s="115"/>
      <c r="P723" s="115"/>
    </row>
    <row r="724" spans="10:16" ht="12.5" x14ac:dyDescent="0.25">
      <c r="J724" s="115"/>
      <c r="K724" s="115"/>
      <c r="L724" s="115"/>
      <c r="M724" s="115"/>
      <c r="N724" s="115"/>
      <c r="O724" s="115"/>
      <c r="P724" s="115"/>
    </row>
    <row r="725" spans="10:16" ht="12.5" x14ac:dyDescent="0.25">
      <c r="J725" s="115"/>
      <c r="K725" s="115"/>
      <c r="L725" s="115"/>
      <c r="M725" s="115"/>
      <c r="N725" s="115"/>
      <c r="O725" s="115"/>
      <c r="P725" s="115"/>
    </row>
    <row r="726" spans="10:16" ht="12.5" x14ac:dyDescent="0.25">
      <c r="J726" s="115"/>
      <c r="K726" s="115"/>
      <c r="L726" s="115"/>
      <c r="M726" s="115"/>
      <c r="N726" s="115"/>
      <c r="O726" s="115"/>
      <c r="P726" s="115"/>
    </row>
    <row r="727" spans="10:16" ht="12.5" x14ac:dyDescent="0.25">
      <c r="J727" s="115"/>
      <c r="K727" s="115"/>
      <c r="L727" s="115"/>
      <c r="M727" s="115"/>
      <c r="N727" s="115"/>
      <c r="O727" s="115"/>
      <c r="P727" s="115"/>
    </row>
    <row r="728" spans="10:16" ht="12.5" x14ac:dyDescent="0.25">
      <c r="J728" s="115"/>
      <c r="K728" s="115"/>
      <c r="L728" s="115"/>
      <c r="M728" s="115"/>
      <c r="N728" s="115"/>
      <c r="O728" s="115"/>
      <c r="P728" s="115"/>
    </row>
    <row r="729" spans="10:16" ht="12.5" x14ac:dyDescent="0.25">
      <c r="J729" s="115"/>
      <c r="K729" s="115"/>
      <c r="L729" s="115"/>
      <c r="M729" s="115"/>
      <c r="N729" s="115"/>
      <c r="O729" s="115"/>
      <c r="P729" s="115"/>
    </row>
    <row r="730" spans="10:16" ht="12.5" x14ac:dyDescent="0.25">
      <c r="J730" s="115"/>
      <c r="K730" s="115"/>
      <c r="L730" s="115"/>
      <c r="M730" s="115"/>
      <c r="N730" s="115"/>
      <c r="O730" s="115"/>
      <c r="P730" s="115"/>
    </row>
    <row r="731" spans="10:16" ht="12.5" x14ac:dyDescent="0.25">
      <c r="J731" s="115"/>
      <c r="K731" s="115"/>
      <c r="L731" s="115"/>
      <c r="M731" s="115"/>
      <c r="N731" s="115"/>
      <c r="O731" s="115"/>
      <c r="P731" s="115"/>
    </row>
    <row r="732" spans="10:16" ht="12.5" x14ac:dyDescent="0.25">
      <c r="J732" s="115"/>
      <c r="K732" s="115"/>
      <c r="L732" s="115"/>
      <c r="M732" s="115"/>
      <c r="N732" s="115"/>
      <c r="O732" s="115"/>
      <c r="P732" s="115"/>
    </row>
    <row r="733" spans="10:16" ht="12.5" x14ac:dyDescent="0.25">
      <c r="J733" s="115"/>
      <c r="K733" s="115"/>
      <c r="L733" s="115"/>
      <c r="M733" s="115"/>
      <c r="N733" s="115"/>
      <c r="O733" s="115"/>
      <c r="P733" s="115"/>
    </row>
    <row r="734" spans="10:16" ht="12.5" x14ac:dyDescent="0.25">
      <c r="J734" s="115"/>
      <c r="K734" s="115"/>
      <c r="L734" s="115"/>
      <c r="M734" s="115"/>
      <c r="N734" s="115"/>
      <c r="O734" s="115"/>
      <c r="P734" s="115"/>
    </row>
    <row r="735" spans="10:16" ht="12.5" x14ac:dyDescent="0.25">
      <c r="J735" s="115"/>
      <c r="K735" s="115"/>
      <c r="L735" s="115"/>
      <c r="M735" s="115"/>
      <c r="N735" s="115"/>
      <c r="O735" s="115"/>
      <c r="P735" s="115"/>
    </row>
    <row r="736" spans="10:16" ht="12.5" x14ac:dyDescent="0.25">
      <c r="J736" s="115"/>
      <c r="K736" s="115"/>
      <c r="L736" s="115"/>
      <c r="M736" s="115"/>
      <c r="N736" s="115"/>
      <c r="O736" s="115"/>
      <c r="P736" s="115"/>
    </row>
    <row r="737" spans="10:16" ht="12.5" x14ac:dyDescent="0.25">
      <c r="J737" s="115"/>
      <c r="K737" s="115"/>
      <c r="L737" s="115"/>
      <c r="M737" s="115"/>
      <c r="N737" s="115"/>
      <c r="O737" s="115"/>
      <c r="P737" s="115"/>
    </row>
    <row r="738" spans="10:16" ht="12.5" x14ac:dyDescent="0.25">
      <c r="J738" s="115"/>
      <c r="K738" s="115"/>
      <c r="L738" s="115"/>
      <c r="M738" s="115"/>
      <c r="N738" s="115"/>
      <c r="O738" s="115"/>
      <c r="P738" s="115"/>
    </row>
    <row r="739" spans="10:16" ht="12.5" x14ac:dyDescent="0.25">
      <c r="J739" s="115"/>
      <c r="K739" s="115"/>
      <c r="L739" s="115"/>
      <c r="M739" s="115"/>
      <c r="N739" s="115"/>
      <c r="O739" s="115"/>
      <c r="P739" s="115"/>
    </row>
    <row r="740" spans="10:16" ht="12.5" x14ac:dyDescent="0.25">
      <c r="J740" s="115"/>
      <c r="K740" s="115"/>
      <c r="L740" s="115"/>
      <c r="M740" s="115"/>
      <c r="N740" s="115"/>
      <c r="O740" s="115"/>
      <c r="P740" s="115"/>
    </row>
    <row r="741" spans="10:16" ht="12.5" x14ac:dyDescent="0.25">
      <c r="J741" s="115"/>
      <c r="K741" s="115"/>
      <c r="L741" s="115"/>
      <c r="M741" s="115"/>
      <c r="N741" s="115"/>
      <c r="O741" s="115"/>
      <c r="P741" s="115"/>
    </row>
    <row r="742" spans="10:16" ht="12.5" x14ac:dyDescent="0.25">
      <c r="J742" s="115"/>
      <c r="K742" s="115"/>
      <c r="L742" s="115"/>
      <c r="M742" s="115"/>
      <c r="N742" s="115"/>
      <c r="O742" s="115"/>
      <c r="P742" s="115"/>
    </row>
    <row r="743" spans="10:16" ht="12.5" x14ac:dyDescent="0.25">
      <c r="J743" s="115"/>
      <c r="K743" s="115"/>
      <c r="L743" s="115"/>
      <c r="M743" s="115"/>
      <c r="N743" s="115"/>
      <c r="O743" s="115"/>
      <c r="P743" s="115"/>
    </row>
    <row r="744" spans="10:16" ht="12.5" x14ac:dyDescent="0.25">
      <c r="J744" s="115"/>
      <c r="K744" s="115"/>
      <c r="L744" s="115"/>
      <c r="M744" s="115"/>
      <c r="N744" s="115"/>
      <c r="O744" s="115"/>
      <c r="P744" s="115"/>
    </row>
    <row r="745" spans="10:16" ht="12.5" x14ac:dyDescent="0.25">
      <c r="J745" s="115"/>
      <c r="K745" s="115"/>
      <c r="L745" s="115"/>
      <c r="M745" s="115"/>
      <c r="N745" s="115"/>
      <c r="O745" s="115"/>
      <c r="P745" s="115"/>
    </row>
    <row r="746" spans="10:16" ht="12.5" x14ac:dyDescent="0.25">
      <c r="J746" s="115"/>
      <c r="K746" s="115"/>
      <c r="L746" s="115"/>
      <c r="M746" s="115"/>
      <c r="N746" s="115"/>
      <c r="O746" s="115"/>
      <c r="P746" s="115"/>
    </row>
    <row r="747" spans="10:16" ht="12.5" x14ac:dyDescent="0.25">
      <c r="J747" s="115"/>
      <c r="K747" s="115"/>
      <c r="L747" s="115"/>
      <c r="M747" s="115"/>
      <c r="N747" s="115"/>
      <c r="O747" s="115"/>
      <c r="P747" s="115"/>
    </row>
    <row r="748" spans="10:16" ht="12.5" x14ac:dyDescent="0.25">
      <c r="J748" s="115"/>
      <c r="K748" s="115"/>
      <c r="L748" s="115"/>
      <c r="M748" s="115"/>
      <c r="N748" s="115"/>
      <c r="O748" s="115"/>
      <c r="P748" s="115"/>
    </row>
    <row r="749" spans="10:16" ht="12.5" x14ac:dyDescent="0.25">
      <c r="J749" s="115"/>
      <c r="K749" s="115"/>
      <c r="L749" s="115"/>
      <c r="M749" s="115"/>
      <c r="N749" s="115"/>
      <c r="O749" s="115"/>
      <c r="P749" s="115"/>
    </row>
    <row r="750" spans="10:16" ht="12.5" x14ac:dyDescent="0.25">
      <c r="J750" s="115"/>
      <c r="K750" s="115"/>
      <c r="L750" s="115"/>
      <c r="M750" s="115"/>
      <c r="N750" s="115"/>
      <c r="O750" s="115"/>
      <c r="P750" s="115"/>
    </row>
    <row r="751" spans="10:16" ht="12.5" x14ac:dyDescent="0.25">
      <c r="J751" s="115"/>
      <c r="K751" s="115"/>
      <c r="L751" s="115"/>
      <c r="M751" s="115"/>
      <c r="N751" s="115"/>
      <c r="O751" s="115"/>
      <c r="P751" s="115"/>
    </row>
    <row r="752" spans="10:16" ht="12.5" x14ac:dyDescent="0.25">
      <c r="J752" s="115"/>
      <c r="K752" s="115"/>
      <c r="L752" s="115"/>
      <c r="M752" s="115"/>
      <c r="N752" s="115"/>
      <c r="O752" s="115"/>
      <c r="P752" s="115"/>
    </row>
    <row r="753" spans="10:16" ht="12.5" x14ac:dyDescent="0.25">
      <c r="J753" s="115"/>
      <c r="K753" s="115"/>
      <c r="L753" s="115"/>
      <c r="M753" s="115"/>
      <c r="N753" s="115"/>
      <c r="O753" s="115"/>
      <c r="P753" s="115"/>
    </row>
    <row r="754" spans="10:16" ht="12.5" x14ac:dyDescent="0.25">
      <c r="J754" s="115"/>
      <c r="K754" s="115"/>
      <c r="L754" s="115"/>
      <c r="M754" s="115"/>
      <c r="N754" s="115"/>
      <c r="O754" s="115"/>
      <c r="P754" s="115"/>
    </row>
    <row r="755" spans="10:16" ht="12.5" x14ac:dyDescent="0.25">
      <c r="J755" s="115"/>
      <c r="K755" s="115"/>
      <c r="L755" s="115"/>
      <c r="M755" s="115"/>
      <c r="N755" s="115"/>
      <c r="O755" s="115"/>
      <c r="P755" s="115"/>
    </row>
    <row r="756" spans="10:16" ht="12.5" x14ac:dyDescent="0.25">
      <c r="J756" s="115"/>
      <c r="K756" s="115"/>
      <c r="L756" s="115"/>
      <c r="M756" s="115"/>
      <c r="N756" s="115"/>
      <c r="O756" s="115"/>
      <c r="P756" s="115"/>
    </row>
    <row r="757" spans="10:16" ht="12.5" x14ac:dyDescent="0.25">
      <c r="J757" s="115"/>
      <c r="K757" s="115"/>
      <c r="L757" s="115"/>
      <c r="M757" s="115"/>
      <c r="N757" s="115"/>
      <c r="O757" s="115"/>
      <c r="P757" s="115"/>
    </row>
    <row r="758" spans="10:16" ht="12.5" x14ac:dyDescent="0.25">
      <c r="J758" s="115"/>
      <c r="K758" s="115"/>
      <c r="L758" s="115"/>
      <c r="M758" s="115"/>
      <c r="N758" s="115"/>
      <c r="O758" s="115"/>
      <c r="P758" s="115"/>
    </row>
    <row r="759" spans="10:16" ht="12.5" x14ac:dyDescent="0.25">
      <c r="J759" s="115"/>
      <c r="K759" s="115"/>
      <c r="L759" s="115"/>
      <c r="M759" s="115"/>
      <c r="N759" s="115"/>
      <c r="O759" s="115"/>
      <c r="P759" s="115"/>
    </row>
    <row r="760" spans="10:16" ht="12.5" x14ac:dyDescent="0.25">
      <c r="J760" s="115"/>
      <c r="K760" s="115"/>
      <c r="L760" s="115"/>
      <c r="M760" s="115"/>
      <c r="N760" s="115"/>
      <c r="O760" s="115"/>
      <c r="P760" s="115"/>
    </row>
    <row r="761" spans="10:16" ht="12.5" x14ac:dyDescent="0.25">
      <c r="J761" s="115"/>
      <c r="K761" s="115"/>
      <c r="L761" s="115"/>
      <c r="M761" s="115"/>
      <c r="N761" s="115"/>
      <c r="O761" s="115"/>
      <c r="P761" s="115"/>
    </row>
    <row r="762" spans="10:16" ht="12.5" x14ac:dyDescent="0.25">
      <c r="J762" s="115"/>
      <c r="K762" s="115"/>
      <c r="L762" s="115"/>
      <c r="M762" s="115"/>
      <c r="N762" s="115"/>
      <c r="O762" s="115"/>
      <c r="P762" s="115"/>
    </row>
    <row r="763" spans="10:16" ht="12.5" x14ac:dyDescent="0.25">
      <c r="J763" s="115"/>
      <c r="K763" s="115"/>
      <c r="L763" s="115"/>
      <c r="M763" s="115"/>
      <c r="N763" s="115"/>
      <c r="O763" s="115"/>
      <c r="P763" s="115"/>
    </row>
    <row r="764" spans="10:16" ht="12.5" x14ac:dyDescent="0.25">
      <c r="J764" s="115"/>
      <c r="K764" s="115"/>
      <c r="L764" s="115"/>
      <c r="M764" s="115"/>
      <c r="N764" s="115"/>
      <c r="O764" s="115"/>
      <c r="P764" s="115"/>
    </row>
    <row r="765" spans="10:16" ht="12.5" x14ac:dyDescent="0.25">
      <c r="J765" s="115"/>
      <c r="K765" s="115"/>
      <c r="L765" s="115"/>
      <c r="M765" s="115"/>
      <c r="N765" s="115"/>
      <c r="O765" s="115"/>
      <c r="P765" s="115"/>
    </row>
    <row r="766" spans="10:16" ht="12.5" x14ac:dyDescent="0.25">
      <c r="J766" s="115"/>
      <c r="K766" s="115"/>
      <c r="L766" s="115"/>
      <c r="M766" s="115"/>
      <c r="N766" s="115"/>
      <c r="O766" s="115"/>
      <c r="P766" s="115"/>
    </row>
    <row r="767" spans="10:16" ht="12.5" x14ac:dyDescent="0.25">
      <c r="J767" s="115"/>
      <c r="K767" s="115"/>
      <c r="L767" s="115"/>
      <c r="M767" s="115"/>
      <c r="N767" s="115"/>
      <c r="O767" s="115"/>
      <c r="P767" s="115"/>
    </row>
    <row r="768" spans="10:16" ht="12.5" x14ac:dyDescent="0.25">
      <c r="J768" s="115"/>
      <c r="K768" s="115"/>
      <c r="L768" s="115"/>
      <c r="M768" s="115"/>
      <c r="N768" s="115"/>
      <c r="O768" s="115"/>
      <c r="P768" s="115"/>
    </row>
    <row r="769" spans="10:16" ht="12.5" x14ac:dyDescent="0.25">
      <c r="J769" s="115"/>
      <c r="K769" s="115"/>
      <c r="L769" s="115"/>
      <c r="M769" s="115"/>
      <c r="N769" s="115"/>
      <c r="O769" s="115"/>
      <c r="P769" s="115"/>
    </row>
    <row r="770" spans="10:16" ht="12.5" x14ac:dyDescent="0.25">
      <c r="J770" s="115"/>
      <c r="K770" s="115"/>
      <c r="L770" s="115"/>
      <c r="M770" s="115"/>
      <c r="N770" s="115"/>
      <c r="O770" s="115"/>
      <c r="P770" s="115"/>
    </row>
    <row r="771" spans="10:16" ht="12.5" x14ac:dyDescent="0.25">
      <c r="J771" s="115"/>
      <c r="K771" s="115"/>
      <c r="L771" s="115"/>
      <c r="M771" s="115"/>
      <c r="N771" s="115"/>
      <c r="O771" s="115"/>
      <c r="P771" s="115"/>
    </row>
    <row r="772" spans="10:16" ht="12.5" x14ac:dyDescent="0.25">
      <c r="J772" s="115"/>
      <c r="K772" s="115"/>
      <c r="L772" s="115"/>
      <c r="M772" s="115"/>
      <c r="N772" s="115"/>
      <c r="O772" s="115"/>
      <c r="P772" s="115"/>
    </row>
    <row r="773" spans="10:16" ht="12.5" x14ac:dyDescent="0.25">
      <c r="J773" s="115"/>
      <c r="K773" s="115"/>
      <c r="L773" s="115"/>
      <c r="M773" s="115"/>
      <c r="N773" s="115"/>
      <c r="O773" s="115"/>
      <c r="P773" s="115"/>
    </row>
    <row r="774" spans="10:16" ht="12.5" x14ac:dyDescent="0.25">
      <c r="J774" s="115"/>
      <c r="K774" s="115"/>
      <c r="L774" s="115"/>
      <c r="M774" s="115"/>
      <c r="N774" s="115"/>
      <c r="O774" s="115"/>
      <c r="P774" s="115"/>
    </row>
    <row r="775" spans="10:16" ht="12.5" x14ac:dyDescent="0.25">
      <c r="J775" s="115"/>
      <c r="K775" s="115"/>
      <c r="L775" s="115"/>
      <c r="M775" s="115"/>
      <c r="N775" s="115"/>
      <c r="O775" s="115"/>
      <c r="P775" s="115"/>
    </row>
    <row r="776" spans="10:16" ht="12.5" x14ac:dyDescent="0.25">
      <c r="J776" s="115"/>
      <c r="K776" s="115"/>
      <c r="L776" s="115"/>
      <c r="M776" s="115"/>
      <c r="N776" s="115"/>
      <c r="O776" s="115"/>
      <c r="P776" s="115"/>
    </row>
    <row r="777" spans="10:16" ht="12.5" x14ac:dyDescent="0.25">
      <c r="J777" s="115"/>
      <c r="K777" s="115"/>
      <c r="L777" s="115"/>
      <c r="M777" s="115"/>
      <c r="N777" s="115"/>
      <c r="O777" s="115"/>
      <c r="P777" s="115"/>
    </row>
    <row r="778" spans="10:16" ht="12.5" x14ac:dyDescent="0.25">
      <c r="J778" s="115"/>
      <c r="K778" s="115"/>
      <c r="L778" s="115"/>
      <c r="M778" s="115"/>
      <c r="N778" s="115"/>
      <c r="O778" s="115"/>
      <c r="P778" s="115"/>
    </row>
    <row r="779" spans="10:16" ht="12.5" x14ac:dyDescent="0.25">
      <c r="J779" s="115"/>
      <c r="K779" s="115"/>
      <c r="L779" s="115"/>
      <c r="M779" s="115"/>
      <c r="N779" s="115"/>
      <c r="O779" s="115"/>
      <c r="P779" s="115"/>
    </row>
    <row r="780" spans="10:16" ht="12.5" x14ac:dyDescent="0.25">
      <c r="J780" s="115"/>
      <c r="K780" s="115"/>
      <c r="L780" s="115"/>
      <c r="M780" s="115"/>
      <c r="N780" s="115"/>
      <c r="O780" s="115"/>
      <c r="P780" s="115"/>
    </row>
    <row r="781" spans="10:16" ht="12.5" x14ac:dyDescent="0.25">
      <c r="J781" s="115"/>
      <c r="K781" s="115"/>
      <c r="L781" s="115"/>
      <c r="M781" s="115"/>
      <c r="N781" s="115"/>
      <c r="O781" s="115"/>
      <c r="P781" s="115"/>
    </row>
    <row r="782" spans="10:16" ht="12.5" x14ac:dyDescent="0.25">
      <c r="J782" s="115"/>
      <c r="K782" s="115"/>
      <c r="L782" s="115"/>
      <c r="M782" s="115"/>
      <c r="N782" s="115"/>
      <c r="O782" s="115"/>
      <c r="P782" s="115"/>
    </row>
    <row r="783" spans="10:16" ht="12.5" x14ac:dyDescent="0.25">
      <c r="J783" s="115"/>
      <c r="K783" s="115"/>
      <c r="L783" s="115"/>
      <c r="M783" s="115"/>
      <c r="N783" s="115"/>
      <c r="O783" s="115"/>
      <c r="P783" s="115"/>
    </row>
    <row r="784" spans="10:16" ht="12.5" x14ac:dyDescent="0.25">
      <c r="J784" s="115"/>
      <c r="K784" s="115"/>
      <c r="L784" s="115"/>
      <c r="M784" s="115"/>
      <c r="N784" s="115"/>
      <c r="O784" s="115"/>
      <c r="P784" s="115"/>
    </row>
    <row r="785" spans="10:16" ht="12.5" x14ac:dyDescent="0.25">
      <c r="J785" s="115"/>
      <c r="K785" s="115"/>
      <c r="L785" s="115"/>
      <c r="M785" s="115"/>
      <c r="N785" s="115"/>
      <c r="O785" s="115"/>
      <c r="P785" s="115"/>
    </row>
    <row r="786" spans="10:16" ht="12.5" x14ac:dyDescent="0.25">
      <c r="J786" s="115"/>
      <c r="K786" s="115"/>
      <c r="L786" s="115"/>
      <c r="M786" s="115"/>
      <c r="N786" s="115"/>
      <c r="O786" s="115"/>
      <c r="P786" s="115"/>
    </row>
    <row r="787" spans="10:16" ht="12.5" x14ac:dyDescent="0.25">
      <c r="J787" s="115"/>
      <c r="K787" s="115"/>
      <c r="L787" s="115"/>
      <c r="M787" s="115"/>
      <c r="N787" s="115"/>
      <c r="O787" s="115"/>
      <c r="P787" s="115"/>
    </row>
    <row r="788" spans="10:16" ht="12.5" x14ac:dyDescent="0.25">
      <c r="J788" s="115"/>
      <c r="K788" s="115"/>
      <c r="L788" s="115"/>
      <c r="M788" s="115"/>
      <c r="N788" s="115"/>
      <c r="O788" s="115"/>
      <c r="P788" s="115"/>
    </row>
    <row r="789" spans="10:16" ht="12.5" x14ac:dyDescent="0.25">
      <c r="J789" s="115"/>
      <c r="K789" s="115"/>
      <c r="L789" s="115"/>
      <c r="M789" s="115"/>
      <c r="N789" s="115"/>
      <c r="O789" s="115"/>
      <c r="P789" s="115"/>
    </row>
    <row r="790" spans="10:16" ht="12.5" x14ac:dyDescent="0.25">
      <c r="J790" s="115"/>
      <c r="K790" s="115"/>
      <c r="L790" s="115"/>
      <c r="M790" s="115"/>
      <c r="N790" s="115"/>
      <c r="O790" s="115"/>
      <c r="P790" s="115"/>
    </row>
    <row r="791" spans="10:16" ht="12.5" x14ac:dyDescent="0.25">
      <c r="J791" s="115"/>
      <c r="K791" s="115"/>
      <c r="L791" s="115"/>
      <c r="M791" s="115"/>
      <c r="N791" s="115"/>
      <c r="O791" s="115"/>
      <c r="P791" s="115"/>
    </row>
    <row r="792" spans="10:16" ht="12.5" x14ac:dyDescent="0.25">
      <c r="J792" s="115"/>
      <c r="K792" s="115"/>
      <c r="L792" s="115"/>
      <c r="M792" s="115"/>
      <c r="N792" s="115"/>
      <c r="O792" s="115"/>
      <c r="P792" s="115"/>
    </row>
    <row r="793" spans="10:16" ht="12.5" x14ac:dyDescent="0.25">
      <c r="J793" s="115"/>
      <c r="K793" s="115"/>
      <c r="L793" s="115"/>
      <c r="M793" s="115"/>
      <c r="N793" s="115"/>
      <c r="O793" s="115"/>
      <c r="P793" s="115"/>
    </row>
    <row r="794" spans="10:16" ht="12.5" x14ac:dyDescent="0.25">
      <c r="J794" s="115"/>
      <c r="K794" s="115"/>
      <c r="L794" s="115"/>
      <c r="M794" s="115"/>
      <c r="N794" s="115"/>
      <c r="O794" s="115"/>
      <c r="P794" s="115"/>
    </row>
    <row r="795" spans="10:16" ht="12.5" x14ac:dyDescent="0.25">
      <c r="J795" s="115"/>
      <c r="K795" s="115"/>
      <c r="L795" s="115"/>
      <c r="M795" s="115"/>
      <c r="N795" s="115"/>
      <c r="O795" s="115"/>
      <c r="P795" s="115"/>
    </row>
    <row r="796" spans="10:16" ht="12.5" x14ac:dyDescent="0.25">
      <c r="J796" s="115"/>
      <c r="K796" s="115"/>
      <c r="L796" s="115"/>
      <c r="M796" s="115"/>
      <c r="N796" s="115"/>
      <c r="O796" s="115"/>
      <c r="P796" s="115"/>
    </row>
    <row r="797" spans="10:16" ht="12.5" x14ac:dyDescent="0.25">
      <c r="J797" s="115"/>
      <c r="K797" s="115"/>
      <c r="L797" s="115"/>
      <c r="M797" s="115"/>
      <c r="N797" s="115"/>
      <c r="O797" s="115"/>
      <c r="P797" s="115"/>
    </row>
    <row r="798" spans="10:16" ht="12.5" x14ac:dyDescent="0.25">
      <c r="J798" s="115"/>
      <c r="K798" s="115"/>
      <c r="L798" s="115"/>
      <c r="M798" s="115"/>
      <c r="N798" s="115"/>
      <c r="O798" s="115"/>
      <c r="P798" s="115"/>
    </row>
    <row r="799" spans="10:16" ht="12.5" x14ac:dyDescent="0.25">
      <c r="J799" s="115"/>
      <c r="K799" s="115"/>
      <c r="L799" s="115"/>
      <c r="M799" s="115"/>
      <c r="N799" s="115"/>
      <c r="O799" s="115"/>
      <c r="P799" s="115"/>
    </row>
    <row r="800" spans="10:16" ht="12.5" x14ac:dyDescent="0.25">
      <c r="J800" s="115"/>
      <c r="K800" s="115"/>
      <c r="L800" s="115"/>
      <c r="M800" s="115"/>
      <c r="N800" s="115"/>
      <c r="O800" s="115"/>
      <c r="P800" s="115"/>
    </row>
    <row r="801" spans="10:16" ht="12.5" x14ac:dyDescent="0.25">
      <c r="J801" s="115"/>
      <c r="K801" s="115"/>
      <c r="L801" s="115"/>
      <c r="M801" s="115"/>
      <c r="N801" s="115"/>
      <c r="O801" s="115"/>
      <c r="P801" s="115"/>
    </row>
    <row r="802" spans="10:16" ht="12.5" x14ac:dyDescent="0.25">
      <c r="J802" s="115"/>
      <c r="K802" s="115"/>
      <c r="L802" s="115"/>
      <c r="M802" s="115"/>
      <c r="N802" s="115"/>
      <c r="O802" s="115"/>
      <c r="P802" s="115"/>
    </row>
    <row r="803" spans="10:16" ht="12.5" x14ac:dyDescent="0.25">
      <c r="J803" s="115"/>
      <c r="K803" s="115"/>
      <c r="L803" s="115"/>
      <c r="M803" s="115"/>
      <c r="N803" s="115"/>
      <c r="O803" s="115"/>
      <c r="P803" s="115"/>
    </row>
    <row r="804" spans="10:16" ht="12.5" x14ac:dyDescent="0.25">
      <c r="J804" s="115"/>
      <c r="K804" s="115"/>
      <c r="L804" s="115"/>
      <c r="M804" s="115"/>
      <c r="N804" s="115"/>
      <c r="O804" s="115"/>
      <c r="P804" s="115"/>
    </row>
    <row r="805" spans="10:16" ht="12.5" x14ac:dyDescent="0.25">
      <c r="J805" s="115"/>
      <c r="K805" s="115"/>
      <c r="L805" s="115"/>
      <c r="M805" s="115"/>
      <c r="N805" s="115"/>
      <c r="O805" s="115"/>
      <c r="P805" s="115"/>
    </row>
    <row r="806" spans="10:16" ht="12.5" x14ac:dyDescent="0.25">
      <c r="J806" s="115"/>
      <c r="K806" s="115"/>
      <c r="L806" s="115"/>
      <c r="M806" s="115"/>
      <c r="N806" s="115"/>
      <c r="O806" s="115"/>
      <c r="P806" s="115"/>
    </row>
    <row r="807" spans="10:16" ht="12.5" x14ac:dyDescent="0.25">
      <c r="J807" s="115"/>
      <c r="K807" s="115"/>
      <c r="L807" s="115"/>
      <c r="M807" s="115"/>
      <c r="N807" s="115"/>
      <c r="O807" s="115"/>
      <c r="P807" s="115"/>
    </row>
    <row r="808" spans="10:16" ht="12.5" x14ac:dyDescent="0.25">
      <c r="J808" s="115"/>
      <c r="K808" s="115"/>
      <c r="L808" s="115"/>
      <c r="M808" s="115"/>
      <c r="N808" s="115"/>
      <c r="O808" s="115"/>
      <c r="P808" s="115"/>
    </row>
    <row r="809" spans="10:16" ht="12.5" x14ac:dyDescent="0.25">
      <c r="J809" s="115"/>
      <c r="K809" s="115"/>
      <c r="L809" s="115"/>
      <c r="M809" s="115"/>
      <c r="N809" s="115"/>
      <c r="O809" s="115"/>
      <c r="P809" s="115"/>
    </row>
    <row r="810" spans="10:16" ht="12.5" x14ac:dyDescent="0.25">
      <c r="J810" s="115"/>
      <c r="K810" s="115"/>
      <c r="L810" s="115"/>
      <c r="M810" s="115"/>
      <c r="N810" s="115"/>
      <c r="O810" s="115"/>
      <c r="P810" s="115"/>
    </row>
    <row r="811" spans="10:16" ht="12.5" x14ac:dyDescent="0.25">
      <c r="J811" s="115"/>
      <c r="K811" s="115"/>
      <c r="L811" s="115"/>
      <c r="M811" s="115"/>
      <c r="N811" s="115"/>
      <c r="O811" s="115"/>
      <c r="P811" s="115"/>
    </row>
    <row r="812" spans="10:16" ht="12.5" x14ac:dyDescent="0.25">
      <c r="J812" s="115"/>
      <c r="K812" s="115"/>
      <c r="L812" s="115"/>
      <c r="M812" s="115"/>
      <c r="N812" s="115"/>
      <c r="O812" s="115"/>
      <c r="P812" s="115"/>
    </row>
    <row r="813" spans="10:16" ht="12.5" x14ac:dyDescent="0.25">
      <c r="J813" s="115"/>
      <c r="K813" s="115"/>
      <c r="L813" s="115"/>
      <c r="M813" s="115"/>
      <c r="N813" s="115"/>
      <c r="O813" s="115"/>
      <c r="P813" s="115"/>
    </row>
    <row r="814" spans="10:16" ht="12.5" x14ac:dyDescent="0.25">
      <c r="J814" s="115"/>
      <c r="K814" s="115"/>
      <c r="L814" s="115"/>
      <c r="M814" s="115"/>
      <c r="N814" s="115"/>
      <c r="O814" s="115"/>
      <c r="P814" s="115"/>
    </row>
    <row r="815" spans="10:16" ht="12.5" x14ac:dyDescent="0.25">
      <c r="J815" s="115"/>
      <c r="K815" s="115"/>
      <c r="L815" s="115"/>
      <c r="M815" s="115"/>
      <c r="N815" s="115"/>
      <c r="O815" s="115"/>
      <c r="P815" s="115"/>
    </row>
    <row r="816" spans="10:16" ht="12.5" x14ac:dyDescent="0.25">
      <c r="J816" s="115"/>
      <c r="K816" s="115"/>
      <c r="L816" s="115"/>
      <c r="M816" s="115"/>
      <c r="N816" s="115"/>
      <c r="O816" s="115"/>
      <c r="P816" s="115"/>
    </row>
    <row r="817" spans="10:16" ht="12.5" x14ac:dyDescent="0.25">
      <c r="J817" s="115"/>
      <c r="K817" s="115"/>
      <c r="L817" s="115"/>
      <c r="M817" s="115"/>
      <c r="N817" s="115"/>
      <c r="O817" s="115"/>
      <c r="P817" s="115"/>
    </row>
    <row r="818" spans="10:16" ht="12.5" x14ac:dyDescent="0.25">
      <c r="J818" s="115"/>
      <c r="K818" s="115"/>
      <c r="L818" s="115"/>
      <c r="M818" s="115"/>
      <c r="N818" s="115"/>
      <c r="O818" s="115"/>
      <c r="P818" s="115"/>
    </row>
    <row r="819" spans="10:16" ht="12.5" x14ac:dyDescent="0.25">
      <c r="J819" s="115"/>
      <c r="K819" s="115"/>
      <c r="L819" s="115"/>
      <c r="M819" s="115"/>
      <c r="N819" s="115"/>
      <c r="O819" s="115"/>
      <c r="P819" s="115"/>
    </row>
    <row r="820" spans="10:16" ht="12.5" x14ac:dyDescent="0.25">
      <c r="J820" s="115"/>
      <c r="K820" s="115"/>
      <c r="L820" s="115"/>
      <c r="M820" s="115"/>
      <c r="N820" s="115"/>
      <c r="O820" s="115"/>
      <c r="P820" s="115"/>
    </row>
    <row r="821" spans="10:16" ht="12.5" x14ac:dyDescent="0.25">
      <c r="J821" s="115"/>
      <c r="K821" s="115"/>
      <c r="L821" s="115"/>
      <c r="M821" s="115"/>
      <c r="N821" s="115"/>
      <c r="O821" s="115"/>
      <c r="P821" s="115"/>
    </row>
    <row r="822" spans="10:16" ht="12.5" x14ac:dyDescent="0.25">
      <c r="J822" s="115"/>
      <c r="K822" s="115"/>
      <c r="L822" s="115"/>
      <c r="M822" s="115"/>
      <c r="N822" s="115"/>
      <c r="O822" s="115"/>
      <c r="P822" s="115"/>
    </row>
    <row r="823" spans="10:16" ht="12.5" x14ac:dyDescent="0.25">
      <c r="J823" s="115"/>
      <c r="K823" s="115"/>
      <c r="L823" s="115"/>
      <c r="M823" s="115"/>
      <c r="N823" s="115"/>
      <c r="O823" s="115"/>
      <c r="P823" s="115"/>
    </row>
    <row r="824" spans="10:16" ht="12.5" x14ac:dyDescent="0.25">
      <c r="J824" s="115"/>
      <c r="K824" s="115"/>
      <c r="L824" s="115"/>
      <c r="M824" s="115"/>
      <c r="N824" s="115"/>
      <c r="O824" s="115"/>
      <c r="P824" s="115"/>
    </row>
    <row r="825" spans="10:16" ht="12.5" x14ac:dyDescent="0.25">
      <c r="J825" s="115"/>
      <c r="K825" s="115"/>
      <c r="L825" s="115"/>
      <c r="M825" s="115"/>
      <c r="N825" s="115"/>
      <c r="O825" s="115"/>
      <c r="P825" s="115"/>
    </row>
    <row r="826" spans="10:16" ht="12.5" x14ac:dyDescent="0.25">
      <c r="J826" s="115"/>
      <c r="K826" s="115"/>
      <c r="L826" s="115"/>
      <c r="M826" s="115"/>
      <c r="N826" s="115"/>
      <c r="O826" s="115"/>
      <c r="P826" s="115"/>
    </row>
    <row r="827" spans="10:16" ht="12.5" x14ac:dyDescent="0.25">
      <c r="J827" s="115"/>
      <c r="K827" s="115"/>
      <c r="L827" s="115"/>
      <c r="M827" s="115"/>
      <c r="N827" s="115"/>
      <c r="O827" s="115"/>
      <c r="P827" s="115"/>
    </row>
    <row r="828" spans="10:16" ht="12.5" x14ac:dyDescent="0.25">
      <c r="J828" s="115"/>
      <c r="K828" s="115"/>
      <c r="L828" s="115"/>
      <c r="M828" s="115"/>
      <c r="N828" s="115"/>
      <c r="O828" s="115"/>
      <c r="P828" s="115"/>
    </row>
    <row r="829" spans="10:16" ht="12.5" x14ac:dyDescent="0.25">
      <c r="J829" s="115"/>
      <c r="K829" s="115"/>
      <c r="L829" s="115"/>
      <c r="M829" s="115"/>
      <c r="N829" s="115"/>
      <c r="O829" s="115"/>
      <c r="P829" s="115"/>
    </row>
    <row r="830" spans="10:16" ht="12.5" x14ac:dyDescent="0.25">
      <c r="J830" s="115"/>
      <c r="K830" s="115"/>
      <c r="L830" s="115"/>
      <c r="M830" s="115"/>
      <c r="N830" s="115"/>
      <c r="O830" s="115"/>
      <c r="P830" s="115"/>
    </row>
    <row r="831" spans="10:16" ht="12.5" x14ac:dyDescent="0.25">
      <c r="J831" s="115"/>
      <c r="K831" s="115"/>
      <c r="L831" s="115"/>
      <c r="M831" s="115"/>
      <c r="N831" s="115"/>
      <c r="O831" s="115"/>
      <c r="P831" s="115"/>
    </row>
    <row r="832" spans="10:16" ht="12.5" x14ac:dyDescent="0.25">
      <c r="J832" s="115"/>
      <c r="K832" s="115"/>
      <c r="L832" s="115"/>
      <c r="M832" s="115"/>
      <c r="N832" s="115"/>
      <c r="O832" s="115"/>
      <c r="P832" s="115"/>
    </row>
    <row r="833" spans="10:16" ht="12.5" x14ac:dyDescent="0.25">
      <c r="J833" s="115"/>
      <c r="K833" s="115"/>
      <c r="L833" s="115"/>
      <c r="M833" s="115"/>
      <c r="N833" s="115"/>
      <c r="O833" s="115"/>
      <c r="P833" s="115"/>
    </row>
    <row r="834" spans="10:16" ht="12.5" x14ac:dyDescent="0.25">
      <c r="J834" s="115"/>
      <c r="K834" s="115"/>
      <c r="L834" s="115"/>
      <c r="M834" s="115"/>
      <c r="N834" s="115"/>
      <c r="O834" s="115"/>
      <c r="P834" s="115"/>
    </row>
    <row r="835" spans="10:16" ht="12.5" x14ac:dyDescent="0.25">
      <c r="J835" s="115"/>
      <c r="K835" s="115"/>
      <c r="L835" s="115"/>
      <c r="M835" s="115"/>
      <c r="N835" s="115"/>
      <c r="O835" s="115"/>
      <c r="P835" s="115"/>
    </row>
    <row r="836" spans="10:16" ht="12.5" x14ac:dyDescent="0.25">
      <c r="J836" s="115"/>
      <c r="K836" s="115"/>
      <c r="L836" s="115"/>
      <c r="M836" s="115"/>
      <c r="N836" s="115"/>
      <c r="O836" s="115"/>
      <c r="P836" s="115"/>
    </row>
    <row r="837" spans="10:16" ht="12.5" x14ac:dyDescent="0.25">
      <c r="J837" s="115"/>
      <c r="K837" s="115"/>
      <c r="L837" s="115"/>
      <c r="M837" s="115"/>
      <c r="N837" s="115"/>
      <c r="O837" s="115"/>
      <c r="P837" s="115"/>
    </row>
    <row r="838" spans="10:16" ht="12.5" x14ac:dyDescent="0.25">
      <c r="J838" s="115"/>
      <c r="K838" s="115"/>
      <c r="L838" s="115"/>
      <c r="M838" s="115"/>
      <c r="N838" s="115"/>
      <c r="O838" s="115"/>
      <c r="P838" s="115"/>
    </row>
    <row r="839" spans="10:16" ht="12.5" x14ac:dyDescent="0.25">
      <c r="J839" s="115"/>
      <c r="K839" s="115"/>
      <c r="L839" s="115"/>
      <c r="M839" s="115"/>
      <c r="N839" s="115"/>
      <c r="O839" s="115"/>
      <c r="P839" s="115"/>
    </row>
    <row r="840" spans="10:16" ht="12.5" x14ac:dyDescent="0.25">
      <c r="J840" s="115"/>
      <c r="K840" s="115"/>
      <c r="L840" s="115"/>
      <c r="M840" s="115"/>
      <c r="N840" s="115"/>
      <c r="O840" s="115"/>
      <c r="P840" s="115"/>
    </row>
    <row r="841" spans="10:16" ht="12.5" x14ac:dyDescent="0.25">
      <c r="J841" s="115"/>
      <c r="K841" s="115"/>
      <c r="L841" s="115"/>
      <c r="M841" s="115"/>
      <c r="N841" s="115"/>
      <c r="O841" s="115"/>
      <c r="P841" s="115"/>
    </row>
    <row r="842" spans="10:16" ht="12.5" x14ac:dyDescent="0.25">
      <c r="J842" s="115"/>
      <c r="K842" s="115"/>
      <c r="L842" s="115"/>
      <c r="M842" s="115"/>
      <c r="N842" s="115"/>
      <c r="O842" s="115"/>
      <c r="P842" s="115"/>
    </row>
    <row r="843" spans="10:16" ht="12.5" x14ac:dyDescent="0.25">
      <c r="J843" s="115"/>
      <c r="K843" s="115"/>
      <c r="L843" s="115"/>
      <c r="M843" s="115"/>
      <c r="N843" s="115"/>
      <c r="O843" s="115"/>
      <c r="P843" s="115"/>
    </row>
    <row r="844" spans="10:16" ht="12.5" x14ac:dyDescent="0.25">
      <c r="J844" s="115"/>
      <c r="K844" s="115"/>
      <c r="L844" s="115"/>
      <c r="M844" s="115"/>
      <c r="N844" s="115"/>
      <c r="O844" s="115"/>
      <c r="P844" s="115"/>
    </row>
    <row r="845" spans="10:16" ht="12.5" x14ac:dyDescent="0.25">
      <c r="J845" s="115"/>
      <c r="K845" s="115"/>
      <c r="L845" s="115"/>
      <c r="M845" s="115"/>
      <c r="N845" s="115"/>
      <c r="O845" s="115"/>
      <c r="P845" s="115"/>
    </row>
    <row r="846" spans="10:16" ht="12.5" x14ac:dyDescent="0.25">
      <c r="J846" s="115"/>
      <c r="K846" s="115"/>
      <c r="L846" s="115"/>
      <c r="M846" s="115"/>
      <c r="N846" s="115"/>
      <c r="O846" s="115"/>
      <c r="P846" s="115"/>
    </row>
    <row r="847" spans="10:16" ht="12.5" x14ac:dyDescent="0.25">
      <c r="J847" s="115"/>
      <c r="K847" s="115"/>
      <c r="L847" s="115"/>
      <c r="M847" s="115"/>
      <c r="N847" s="115"/>
      <c r="O847" s="115"/>
      <c r="P847" s="115"/>
    </row>
    <row r="848" spans="10:16" ht="12.5" x14ac:dyDescent="0.25">
      <c r="J848" s="115"/>
      <c r="K848" s="115"/>
      <c r="L848" s="115"/>
      <c r="M848" s="115"/>
      <c r="N848" s="115"/>
      <c r="O848" s="115"/>
      <c r="P848" s="115"/>
    </row>
    <row r="849" spans="10:16" ht="12.5" x14ac:dyDescent="0.25">
      <c r="J849" s="115"/>
      <c r="K849" s="115"/>
      <c r="L849" s="115"/>
      <c r="M849" s="115"/>
      <c r="N849" s="115"/>
      <c r="O849" s="115"/>
      <c r="P849" s="115"/>
    </row>
    <row r="850" spans="10:16" ht="12.5" x14ac:dyDescent="0.25">
      <c r="J850" s="115"/>
      <c r="K850" s="115"/>
      <c r="L850" s="115"/>
      <c r="M850" s="115"/>
      <c r="N850" s="115"/>
      <c r="O850" s="115"/>
      <c r="P850" s="115"/>
    </row>
    <row r="851" spans="10:16" ht="12.5" x14ac:dyDescent="0.25">
      <c r="J851" s="115"/>
      <c r="K851" s="115"/>
      <c r="L851" s="115"/>
      <c r="M851" s="115"/>
      <c r="N851" s="115"/>
      <c r="O851" s="115"/>
      <c r="P851" s="115"/>
    </row>
    <row r="852" spans="10:16" ht="12.5" x14ac:dyDescent="0.25">
      <c r="J852" s="115"/>
      <c r="K852" s="115"/>
      <c r="L852" s="115"/>
      <c r="M852" s="115"/>
      <c r="N852" s="115"/>
      <c r="O852" s="115"/>
      <c r="P852" s="115"/>
    </row>
    <row r="853" spans="10:16" ht="12.5" x14ac:dyDescent="0.25">
      <c r="J853" s="115"/>
      <c r="K853" s="115"/>
      <c r="L853" s="115"/>
      <c r="M853" s="115"/>
      <c r="N853" s="115"/>
      <c r="O853" s="115"/>
      <c r="P853" s="115"/>
    </row>
    <row r="854" spans="10:16" ht="12.5" x14ac:dyDescent="0.25">
      <c r="J854" s="115"/>
      <c r="K854" s="115"/>
      <c r="L854" s="115"/>
      <c r="M854" s="115"/>
      <c r="N854" s="115"/>
      <c r="O854" s="115"/>
      <c r="P854" s="115"/>
    </row>
    <row r="855" spans="10:16" ht="12.5" x14ac:dyDescent="0.25">
      <c r="J855" s="115"/>
      <c r="K855" s="115"/>
      <c r="L855" s="115"/>
      <c r="M855" s="115"/>
      <c r="N855" s="115"/>
      <c r="O855" s="115"/>
      <c r="P855" s="115"/>
    </row>
    <row r="856" spans="10:16" ht="12.5" x14ac:dyDescent="0.25">
      <c r="J856" s="115"/>
      <c r="K856" s="115"/>
      <c r="L856" s="115"/>
      <c r="M856" s="115"/>
      <c r="N856" s="115"/>
      <c r="O856" s="115"/>
      <c r="P856" s="115"/>
    </row>
    <row r="857" spans="10:16" ht="12.5" x14ac:dyDescent="0.25">
      <c r="J857" s="115"/>
      <c r="K857" s="115"/>
      <c r="L857" s="115"/>
      <c r="M857" s="115"/>
      <c r="N857" s="115"/>
      <c r="O857" s="115"/>
      <c r="P857" s="115"/>
    </row>
    <row r="858" spans="10:16" ht="12.5" x14ac:dyDescent="0.25">
      <c r="J858" s="115"/>
      <c r="K858" s="115"/>
      <c r="L858" s="115"/>
      <c r="M858" s="115"/>
      <c r="N858" s="115"/>
      <c r="O858" s="115"/>
      <c r="P858" s="115"/>
    </row>
    <row r="859" spans="10:16" ht="12.5" x14ac:dyDescent="0.25">
      <c r="J859" s="115"/>
      <c r="K859" s="115"/>
      <c r="L859" s="115"/>
      <c r="M859" s="115"/>
      <c r="N859" s="115"/>
      <c r="O859" s="115"/>
      <c r="P859" s="115"/>
    </row>
    <row r="860" spans="10:16" ht="12.5" x14ac:dyDescent="0.25">
      <c r="J860" s="115"/>
      <c r="K860" s="115"/>
      <c r="L860" s="115"/>
      <c r="M860" s="115"/>
      <c r="N860" s="115"/>
      <c r="O860" s="115"/>
      <c r="P860" s="115"/>
    </row>
    <row r="861" spans="10:16" ht="12.5" x14ac:dyDescent="0.25">
      <c r="J861" s="115"/>
      <c r="K861" s="115"/>
      <c r="L861" s="115"/>
      <c r="M861" s="115"/>
      <c r="N861" s="115"/>
      <c r="O861" s="115"/>
      <c r="P861" s="115"/>
    </row>
    <row r="862" spans="10:16" ht="12.5" x14ac:dyDescent="0.25">
      <c r="J862" s="115"/>
      <c r="K862" s="115"/>
      <c r="L862" s="115"/>
      <c r="M862" s="115"/>
      <c r="N862" s="115"/>
      <c r="O862" s="115"/>
      <c r="P862" s="115"/>
    </row>
    <row r="863" spans="10:16" ht="12.5" x14ac:dyDescent="0.25">
      <c r="J863" s="115"/>
      <c r="K863" s="115"/>
      <c r="L863" s="115"/>
      <c r="M863" s="115"/>
      <c r="N863" s="115"/>
      <c r="O863" s="115"/>
      <c r="P863" s="115"/>
    </row>
    <row r="864" spans="10:16" ht="12.5" x14ac:dyDescent="0.25">
      <c r="J864" s="115"/>
      <c r="K864" s="115"/>
      <c r="L864" s="115"/>
      <c r="M864" s="115"/>
      <c r="N864" s="115"/>
      <c r="O864" s="115"/>
      <c r="P864" s="115"/>
    </row>
    <row r="865" spans="10:16" ht="12.5" x14ac:dyDescent="0.25">
      <c r="J865" s="115"/>
      <c r="K865" s="115"/>
      <c r="L865" s="115"/>
      <c r="M865" s="115"/>
      <c r="N865" s="115"/>
      <c r="O865" s="115"/>
      <c r="P865" s="115"/>
    </row>
    <row r="866" spans="10:16" ht="12.5" x14ac:dyDescent="0.25">
      <c r="J866" s="115"/>
      <c r="K866" s="115"/>
      <c r="L866" s="115"/>
      <c r="M866" s="115"/>
      <c r="N866" s="115"/>
      <c r="O866" s="115"/>
      <c r="P866" s="115"/>
    </row>
    <row r="867" spans="10:16" ht="12.5" x14ac:dyDescent="0.25">
      <c r="J867" s="115"/>
      <c r="K867" s="115"/>
      <c r="L867" s="115"/>
      <c r="M867" s="115"/>
      <c r="N867" s="115"/>
      <c r="O867" s="115"/>
      <c r="P867" s="115"/>
    </row>
    <row r="868" spans="10:16" ht="12.5" x14ac:dyDescent="0.25">
      <c r="J868" s="115"/>
      <c r="K868" s="115"/>
      <c r="L868" s="115"/>
      <c r="M868" s="115"/>
      <c r="N868" s="115"/>
      <c r="O868" s="115"/>
      <c r="P868" s="115"/>
    </row>
    <row r="869" spans="10:16" ht="12.5" x14ac:dyDescent="0.25">
      <c r="J869" s="115"/>
      <c r="K869" s="115"/>
      <c r="L869" s="115"/>
      <c r="M869" s="115"/>
      <c r="N869" s="115"/>
      <c r="O869" s="115"/>
      <c r="P869" s="115"/>
    </row>
    <row r="870" spans="10:16" ht="12.5" x14ac:dyDescent="0.25">
      <c r="J870" s="115"/>
      <c r="K870" s="115"/>
      <c r="L870" s="115"/>
      <c r="M870" s="115"/>
      <c r="N870" s="115"/>
      <c r="O870" s="115"/>
      <c r="P870" s="115"/>
    </row>
    <row r="871" spans="10:16" ht="12.5" x14ac:dyDescent="0.25">
      <c r="J871" s="115"/>
      <c r="K871" s="115"/>
      <c r="L871" s="115"/>
      <c r="M871" s="115"/>
      <c r="N871" s="115"/>
      <c r="O871" s="115"/>
      <c r="P871" s="115"/>
    </row>
    <row r="872" spans="10:16" ht="12.5" x14ac:dyDescent="0.25">
      <c r="J872" s="115"/>
      <c r="K872" s="115"/>
      <c r="L872" s="115"/>
      <c r="M872" s="115"/>
      <c r="N872" s="115"/>
      <c r="O872" s="115"/>
      <c r="P872" s="115"/>
    </row>
    <row r="873" spans="10:16" ht="12.5" x14ac:dyDescent="0.25">
      <c r="J873" s="115"/>
      <c r="K873" s="115"/>
      <c r="L873" s="115"/>
      <c r="M873" s="115"/>
      <c r="N873" s="115"/>
      <c r="O873" s="115"/>
      <c r="P873" s="115"/>
    </row>
    <row r="874" spans="10:16" ht="12.5" x14ac:dyDescent="0.25">
      <c r="J874" s="115"/>
      <c r="K874" s="115"/>
      <c r="L874" s="115"/>
      <c r="M874" s="115"/>
      <c r="N874" s="115"/>
      <c r="O874" s="115"/>
      <c r="P874" s="115"/>
    </row>
    <row r="875" spans="10:16" ht="12.5" x14ac:dyDescent="0.25">
      <c r="J875" s="115"/>
      <c r="K875" s="115"/>
      <c r="L875" s="115"/>
      <c r="M875" s="115"/>
      <c r="N875" s="115"/>
      <c r="O875" s="115"/>
      <c r="P875" s="115"/>
    </row>
    <row r="876" spans="10:16" ht="12.5" x14ac:dyDescent="0.25">
      <c r="J876" s="115"/>
      <c r="K876" s="115"/>
      <c r="L876" s="115"/>
      <c r="M876" s="115"/>
      <c r="N876" s="115"/>
      <c r="O876" s="115"/>
      <c r="P876" s="115"/>
    </row>
    <row r="877" spans="10:16" ht="12.5" x14ac:dyDescent="0.25">
      <c r="J877" s="115"/>
      <c r="K877" s="115"/>
      <c r="L877" s="115"/>
      <c r="M877" s="115"/>
      <c r="N877" s="115"/>
      <c r="O877" s="115"/>
      <c r="P877" s="115"/>
    </row>
    <row r="878" spans="10:16" ht="12.5" x14ac:dyDescent="0.25">
      <c r="J878" s="115"/>
      <c r="K878" s="115"/>
      <c r="L878" s="115"/>
      <c r="M878" s="115"/>
      <c r="N878" s="115"/>
      <c r="O878" s="115"/>
      <c r="P878" s="115"/>
    </row>
    <row r="879" spans="10:16" ht="12.5" x14ac:dyDescent="0.25">
      <c r="J879" s="115"/>
      <c r="K879" s="115"/>
      <c r="L879" s="115"/>
      <c r="M879" s="115"/>
      <c r="N879" s="115"/>
      <c r="O879" s="115"/>
      <c r="P879" s="115"/>
    </row>
    <row r="880" spans="10:16" ht="12.5" x14ac:dyDescent="0.25">
      <c r="J880" s="115"/>
      <c r="K880" s="115"/>
      <c r="L880" s="115"/>
      <c r="M880" s="115"/>
      <c r="N880" s="115"/>
      <c r="O880" s="115"/>
      <c r="P880" s="115"/>
    </row>
    <row r="881" spans="10:16" ht="12.5" x14ac:dyDescent="0.25">
      <c r="J881" s="115"/>
      <c r="K881" s="115"/>
      <c r="L881" s="115"/>
      <c r="M881" s="115"/>
      <c r="N881" s="115"/>
      <c r="O881" s="115"/>
      <c r="P881" s="115"/>
    </row>
    <row r="882" spans="10:16" ht="12.5" x14ac:dyDescent="0.25">
      <c r="J882" s="115"/>
      <c r="K882" s="115"/>
      <c r="L882" s="115"/>
      <c r="M882" s="115"/>
      <c r="N882" s="115"/>
      <c r="O882" s="115"/>
      <c r="P882" s="115"/>
    </row>
    <row r="883" spans="10:16" ht="12.5" x14ac:dyDescent="0.25">
      <c r="J883" s="115"/>
      <c r="K883" s="115"/>
      <c r="L883" s="115"/>
      <c r="M883" s="115"/>
      <c r="N883" s="115"/>
      <c r="O883" s="115"/>
      <c r="P883" s="115"/>
    </row>
    <row r="884" spans="10:16" ht="12.5" x14ac:dyDescent="0.25">
      <c r="J884" s="115"/>
      <c r="K884" s="115"/>
      <c r="L884" s="115"/>
      <c r="M884" s="115"/>
      <c r="N884" s="115"/>
      <c r="O884" s="115"/>
      <c r="P884" s="115"/>
    </row>
    <row r="885" spans="10:16" ht="12.5" x14ac:dyDescent="0.25">
      <c r="J885" s="115"/>
      <c r="K885" s="115"/>
      <c r="L885" s="115"/>
      <c r="M885" s="115"/>
      <c r="N885" s="115"/>
      <c r="O885" s="115"/>
      <c r="P885" s="115"/>
    </row>
    <row r="886" spans="10:16" ht="12.5" x14ac:dyDescent="0.25">
      <c r="J886" s="115"/>
      <c r="K886" s="115"/>
      <c r="L886" s="115"/>
      <c r="M886" s="115"/>
      <c r="N886" s="115"/>
      <c r="O886" s="115"/>
      <c r="P886" s="115"/>
    </row>
    <row r="887" spans="10:16" ht="12.5" x14ac:dyDescent="0.25">
      <c r="J887" s="115"/>
      <c r="K887" s="115"/>
      <c r="L887" s="115"/>
      <c r="M887" s="115"/>
      <c r="N887" s="115"/>
      <c r="O887" s="115"/>
      <c r="P887" s="115"/>
    </row>
    <row r="888" spans="10:16" ht="12.5" x14ac:dyDescent="0.25">
      <c r="J888" s="115"/>
      <c r="K888" s="115"/>
      <c r="L888" s="115"/>
      <c r="M888" s="115"/>
      <c r="N888" s="115"/>
      <c r="O888" s="115"/>
      <c r="P888" s="115"/>
    </row>
    <row r="889" spans="10:16" ht="12.5" x14ac:dyDescent="0.25">
      <c r="J889" s="115"/>
      <c r="K889" s="115"/>
      <c r="L889" s="115"/>
      <c r="M889" s="115"/>
      <c r="N889" s="115"/>
      <c r="O889" s="115"/>
      <c r="P889" s="115"/>
    </row>
    <row r="890" spans="10:16" ht="12.5" x14ac:dyDescent="0.25">
      <c r="J890" s="115"/>
      <c r="K890" s="115"/>
      <c r="L890" s="115"/>
      <c r="M890" s="115"/>
      <c r="N890" s="115"/>
      <c r="O890" s="115"/>
      <c r="P890" s="115"/>
    </row>
    <row r="891" spans="10:16" ht="12.5" x14ac:dyDescent="0.25">
      <c r="J891" s="115"/>
      <c r="K891" s="115"/>
      <c r="L891" s="115"/>
      <c r="M891" s="115"/>
      <c r="N891" s="115"/>
      <c r="O891" s="115"/>
      <c r="P891" s="115"/>
    </row>
    <row r="892" spans="10:16" ht="12.5" x14ac:dyDescent="0.25">
      <c r="J892" s="115"/>
      <c r="K892" s="115"/>
      <c r="L892" s="115"/>
      <c r="M892" s="115"/>
      <c r="N892" s="115"/>
      <c r="O892" s="115"/>
      <c r="P892" s="115"/>
    </row>
    <row r="893" spans="10:16" ht="12.5" x14ac:dyDescent="0.25">
      <c r="J893" s="115"/>
      <c r="K893" s="115"/>
      <c r="L893" s="115"/>
      <c r="M893" s="115"/>
      <c r="N893" s="115"/>
      <c r="O893" s="115"/>
      <c r="P893" s="115"/>
    </row>
    <row r="894" spans="10:16" ht="12.5" x14ac:dyDescent="0.25">
      <c r="J894" s="115"/>
      <c r="K894" s="115"/>
      <c r="L894" s="115"/>
      <c r="M894" s="115"/>
      <c r="N894" s="115"/>
      <c r="O894" s="115"/>
      <c r="P894" s="115"/>
    </row>
    <row r="895" spans="10:16" ht="12.5" x14ac:dyDescent="0.25">
      <c r="J895" s="115"/>
      <c r="K895" s="115"/>
      <c r="L895" s="115"/>
      <c r="M895" s="115"/>
      <c r="N895" s="115"/>
      <c r="O895" s="115"/>
      <c r="P895" s="115"/>
    </row>
    <row r="896" spans="10:16" ht="12.5" x14ac:dyDescent="0.25">
      <c r="J896" s="115"/>
      <c r="K896" s="115"/>
      <c r="L896" s="115"/>
      <c r="M896" s="115"/>
      <c r="N896" s="115"/>
      <c r="O896" s="115"/>
      <c r="P896" s="115"/>
    </row>
    <row r="897" spans="10:16" ht="12.5" x14ac:dyDescent="0.25">
      <c r="J897" s="115"/>
      <c r="K897" s="115"/>
      <c r="L897" s="115"/>
      <c r="M897" s="115"/>
      <c r="N897" s="115"/>
      <c r="O897" s="115"/>
      <c r="P897" s="115"/>
    </row>
    <row r="898" spans="10:16" ht="12.5" x14ac:dyDescent="0.25">
      <c r="J898" s="115"/>
      <c r="K898" s="115"/>
      <c r="L898" s="115"/>
      <c r="M898" s="115"/>
      <c r="N898" s="115"/>
      <c r="O898" s="115"/>
      <c r="P898" s="115"/>
    </row>
    <row r="899" spans="10:16" ht="12.5" x14ac:dyDescent="0.25">
      <c r="J899" s="115"/>
      <c r="K899" s="115"/>
      <c r="L899" s="115"/>
      <c r="M899" s="115"/>
      <c r="N899" s="115"/>
      <c r="O899" s="115"/>
      <c r="P899" s="115"/>
    </row>
    <row r="900" spans="10:16" ht="12.5" x14ac:dyDescent="0.25">
      <c r="J900" s="115"/>
      <c r="K900" s="115"/>
      <c r="L900" s="115"/>
      <c r="M900" s="115"/>
      <c r="N900" s="115"/>
      <c r="O900" s="115"/>
      <c r="P900" s="115"/>
    </row>
    <row r="901" spans="10:16" ht="12.5" x14ac:dyDescent="0.25">
      <c r="J901" s="115"/>
      <c r="K901" s="115"/>
      <c r="L901" s="115"/>
      <c r="M901" s="115"/>
      <c r="N901" s="115"/>
      <c r="O901" s="115"/>
      <c r="P901" s="115"/>
    </row>
    <row r="902" spans="10:16" ht="12.5" x14ac:dyDescent="0.25">
      <c r="J902" s="115"/>
      <c r="K902" s="115"/>
      <c r="L902" s="115"/>
      <c r="M902" s="115"/>
      <c r="N902" s="115"/>
      <c r="O902" s="115"/>
      <c r="P902" s="115"/>
    </row>
    <row r="903" spans="10:16" ht="12.5" x14ac:dyDescent="0.25">
      <c r="J903" s="115"/>
      <c r="K903" s="115"/>
      <c r="L903" s="115"/>
      <c r="M903" s="115"/>
      <c r="N903" s="115"/>
      <c r="O903" s="115"/>
      <c r="P903" s="115"/>
    </row>
    <row r="904" spans="10:16" ht="12.5" x14ac:dyDescent="0.25">
      <c r="J904" s="115"/>
      <c r="K904" s="115"/>
      <c r="L904" s="115"/>
      <c r="M904" s="115"/>
      <c r="N904" s="115"/>
      <c r="O904" s="115"/>
      <c r="P904" s="115"/>
    </row>
    <row r="905" spans="10:16" ht="12.5" x14ac:dyDescent="0.25">
      <c r="J905" s="115"/>
      <c r="K905" s="115"/>
      <c r="L905" s="115"/>
      <c r="M905" s="115"/>
      <c r="N905" s="115"/>
      <c r="O905" s="115"/>
      <c r="P905" s="115"/>
    </row>
    <row r="906" spans="10:16" ht="12.5" x14ac:dyDescent="0.25">
      <c r="J906" s="115"/>
      <c r="K906" s="115"/>
      <c r="L906" s="115"/>
      <c r="M906" s="115"/>
      <c r="N906" s="115"/>
      <c r="O906" s="115"/>
      <c r="P906" s="115"/>
    </row>
    <row r="907" spans="10:16" ht="12.5" x14ac:dyDescent="0.25">
      <c r="J907" s="115"/>
      <c r="K907" s="115"/>
      <c r="L907" s="115"/>
      <c r="M907" s="115"/>
      <c r="N907" s="115"/>
      <c r="O907" s="115"/>
      <c r="P907" s="115"/>
    </row>
    <row r="908" spans="10:16" ht="12.5" x14ac:dyDescent="0.25">
      <c r="J908" s="115"/>
      <c r="K908" s="115"/>
      <c r="L908" s="115"/>
      <c r="M908" s="115"/>
      <c r="N908" s="115"/>
      <c r="O908" s="115"/>
      <c r="P908" s="115"/>
    </row>
    <row r="909" spans="10:16" ht="12.5" x14ac:dyDescent="0.25">
      <c r="J909" s="115"/>
      <c r="K909" s="115"/>
      <c r="L909" s="115"/>
      <c r="M909" s="115"/>
      <c r="N909" s="115"/>
      <c r="O909" s="115"/>
      <c r="P909" s="115"/>
    </row>
    <row r="910" spans="10:16" ht="12.5" x14ac:dyDescent="0.25">
      <c r="J910" s="115"/>
      <c r="K910" s="115"/>
      <c r="L910" s="115"/>
      <c r="M910" s="115"/>
      <c r="N910" s="115"/>
      <c r="O910" s="115"/>
      <c r="P910" s="115"/>
    </row>
    <row r="911" spans="10:16" ht="12.5" x14ac:dyDescent="0.25">
      <c r="J911" s="115"/>
      <c r="K911" s="115"/>
      <c r="L911" s="115"/>
      <c r="M911" s="115"/>
      <c r="N911" s="115"/>
      <c r="O911" s="115"/>
      <c r="P911" s="115"/>
    </row>
    <row r="912" spans="10:16" ht="12.5" x14ac:dyDescent="0.25">
      <c r="J912" s="115"/>
      <c r="K912" s="115"/>
      <c r="L912" s="115"/>
      <c r="M912" s="115"/>
      <c r="N912" s="115"/>
      <c r="O912" s="115"/>
      <c r="P912" s="115"/>
    </row>
    <row r="913" spans="10:16" ht="12.5" x14ac:dyDescent="0.25">
      <c r="J913" s="115"/>
      <c r="K913" s="115"/>
      <c r="L913" s="115"/>
      <c r="M913" s="115"/>
      <c r="N913" s="115"/>
      <c r="O913" s="115"/>
      <c r="P913" s="115"/>
    </row>
    <row r="914" spans="10:16" ht="12.5" x14ac:dyDescent="0.25">
      <c r="J914" s="115"/>
      <c r="K914" s="115"/>
      <c r="L914" s="115"/>
      <c r="M914" s="115"/>
      <c r="N914" s="115"/>
      <c r="O914" s="115"/>
      <c r="P914" s="115"/>
    </row>
    <row r="915" spans="10:16" ht="12.5" x14ac:dyDescent="0.25">
      <c r="J915" s="115"/>
      <c r="K915" s="115"/>
      <c r="L915" s="115"/>
      <c r="M915" s="115"/>
      <c r="N915" s="115"/>
      <c r="O915" s="115"/>
      <c r="P915" s="115"/>
    </row>
    <row r="916" spans="10:16" ht="12.5" x14ac:dyDescent="0.25">
      <c r="J916" s="115"/>
      <c r="K916" s="115"/>
      <c r="L916" s="115"/>
      <c r="M916" s="115"/>
      <c r="N916" s="115"/>
      <c r="O916" s="115"/>
      <c r="P916" s="115"/>
    </row>
    <row r="917" spans="10:16" ht="12.5" x14ac:dyDescent="0.25">
      <c r="J917" s="115"/>
      <c r="K917" s="115"/>
      <c r="L917" s="115"/>
      <c r="M917" s="115"/>
      <c r="N917" s="115"/>
      <c r="O917" s="115"/>
      <c r="P917" s="115"/>
    </row>
    <row r="918" spans="10:16" ht="12.5" x14ac:dyDescent="0.25">
      <c r="J918" s="115"/>
      <c r="K918" s="115"/>
      <c r="L918" s="115"/>
      <c r="M918" s="115"/>
      <c r="N918" s="115"/>
      <c r="O918" s="115"/>
      <c r="P918" s="115"/>
    </row>
    <row r="919" spans="10:16" ht="12.5" x14ac:dyDescent="0.25">
      <c r="J919" s="115"/>
      <c r="K919" s="115"/>
      <c r="L919" s="115"/>
      <c r="M919" s="115"/>
      <c r="N919" s="115"/>
      <c r="O919" s="115"/>
      <c r="P919" s="115"/>
    </row>
    <row r="920" spans="10:16" ht="12.5" x14ac:dyDescent="0.25">
      <c r="J920" s="115"/>
      <c r="K920" s="115"/>
      <c r="L920" s="115"/>
      <c r="M920" s="115"/>
      <c r="N920" s="115"/>
      <c r="O920" s="115"/>
      <c r="P920" s="115"/>
    </row>
    <row r="921" spans="10:16" ht="12.5" x14ac:dyDescent="0.25">
      <c r="J921" s="115"/>
      <c r="K921" s="115"/>
      <c r="L921" s="115"/>
      <c r="M921" s="115"/>
      <c r="N921" s="115"/>
      <c r="O921" s="115"/>
      <c r="P921" s="115"/>
    </row>
    <row r="922" spans="10:16" ht="12.5" x14ac:dyDescent="0.25">
      <c r="J922" s="115"/>
      <c r="K922" s="115"/>
      <c r="L922" s="115"/>
      <c r="M922" s="115"/>
      <c r="N922" s="115"/>
      <c r="O922" s="115"/>
      <c r="P922" s="115"/>
    </row>
    <row r="923" spans="10:16" ht="12.5" x14ac:dyDescent="0.25">
      <c r="J923" s="115"/>
      <c r="K923" s="115"/>
      <c r="L923" s="115"/>
      <c r="M923" s="115"/>
      <c r="N923" s="115"/>
      <c r="O923" s="115"/>
      <c r="P923" s="115"/>
    </row>
    <row r="924" spans="10:16" ht="12.5" x14ac:dyDescent="0.25">
      <c r="J924" s="115"/>
      <c r="K924" s="115"/>
      <c r="L924" s="115"/>
      <c r="M924" s="115"/>
      <c r="N924" s="115"/>
      <c r="O924" s="115"/>
      <c r="P924" s="115"/>
    </row>
    <row r="925" spans="10:16" ht="12.5" x14ac:dyDescent="0.25">
      <c r="J925" s="115"/>
      <c r="K925" s="115"/>
      <c r="L925" s="115"/>
      <c r="M925" s="115"/>
      <c r="N925" s="115"/>
      <c r="O925" s="115"/>
      <c r="P925" s="115"/>
    </row>
    <row r="926" spans="10:16" ht="12.5" x14ac:dyDescent="0.25">
      <c r="J926" s="115"/>
      <c r="K926" s="115"/>
      <c r="L926" s="115"/>
      <c r="M926" s="115"/>
      <c r="N926" s="115"/>
      <c r="O926" s="115"/>
      <c r="P926" s="115"/>
    </row>
    <row r="927" spans="10:16" ht="12.5" x14ac:dyDescent="0.25">
      <c r="J927" s="115"/>
      <c r="K927" s="115"/>
      <c r="L927" s="115"/>
      <c r="M927" s="115"/>
      <c r="N927" s="115"/>
      <c r="O927" s="115"/>
      <c r="P927" s="115"/>
    </row>
    <row r="928" spans="10:16" ht="12.5" x14ac:dyDescent="0.25">
      <c r="J928" s="115"/>
      <c r="K928" s="115"/>
      <c r="L928" s="115"/>
      <c r="M928" s="115"/>
      <c r="N928" s="115"/>
      <c r="O928" s="115"/>
      <c r="P928" s="115"/>
    </row>
    <row r="929" spans="10:16" ht="12.5" x14ac:dyDescent="0.25">
      <c r="J929" s="115"/>
      <c r="K929" s="115"/>
      <c r="L929" s="115"/>
      <c r="M929" s="115"/>
      <c r="N929" s="115"/>
      <c r="O929" s="115"/>
      <c r="P929" s="115"/>
    </row>
    <row r="930" spans="10:16" ht="12.5" x14ac:dyDescent="0.25">
      <c r="J930" s="115"/>
      <c r="K930" s="115"/>
      <c r="L930" s="115"/>
      <c r="M930" s="115"/>
      <c r="N930" s="115"/>
      <c r="O930" s="115"/>
      <c r="P930" s="115"/>
    </row>
    <row r="931" spans="10:16" ht="12.5" x14ac:dyDescent="0.25">
      <c r="J931" s="115"/>
      <c r="K931" s="115"/>
      <c r="L931" s="115"/>
      <c r="M931" s="115"/>
      <c r="N931" s="115"/>
      <c r="O931" s="115"/>
      <c r="P931" s="115"/>
    </row>
    <row r="932" spans="10:16" ht="12.5" x14ac:dyDescent="0.25">
      <c r="J932" s="115"/>
      <c r="K932" s="115"/>
      <c r="L932" s="115"/>
      <c r="M932" s="115"/>
      <c r="N932" s="115"/>
      <c r="O932" s="115"/>
      <c r="P932" s="115"/>
    </row>
    <row r="933" spans="10:16" ht="12.5" x14ac:dyDescent="0.25">
      <c r="J933" s="115"/>
      <c r="K933" s="115"/>
      <c r="L933" s="115"/>
      <c r="M933" s="115"/>
      <c r="N933" s="115"/>
      <c r="O933" s="115"/>
      <c r="P933" s="115"/>
    </row>
    <row r="934" spans="10:16" ht="12.5" x14ac:dyDescent="0.25">
      <c r="J934" s="115"/>
      <c r="K934" s="115"/>
      <c r="L934" s="115"/>
      <c r="M934" s="115"/>
      <c r="N934" s="115"/>
      <c r="O934" s="115"/>
      <c r="P934" s="115"/>
    </row>
    <row r="935" spans="10:16" ht="12.5" x14ac:dyDescent="0.25">
      <c r="J935" s="115"/>
      <c r="K935" s="115"/>
      <c r="L935" s="115"/>
      <c r="M935" s="115"/>
      <c r="N935" s="115"/>
      <c r="O935" s="115"/>
      <c r="P935" s="115"/>
    </row>
    <row r="936" spans="10:16" ht="12.5" x14ac:dyDescent="0.25">
      <c r="J936" s="115"/>
      <c r="K936" s="115"/>
      <c r="L936" s="115"/>
      <c r="M936" s="115"/>
      <c r="N936" s="115"/>
      <c r="O936" s="115"/>
      <c r="P936" s="115"/>
    </row>
    <row r="937" spans="10:16" ht="12.5" x14ac:dyDescent="0.25">
      <c r="J937" s="115"/>
      <c r="K937" s="115"/>
      <c r="L937" s="115"/>
      <c r="M937" s="115"/>
      <c r="N937" s="115"/>
      <c r="O937" s="115"/>
      <c r="P937" s="115"/>
    </row>
    <row r="938" spans="10:16" ht="12.5" x14ac:dyDescent="0.25">
      <c r="J938" s="115"/>
      <c r="K938" s="115"/>
      <c r="L938" s="115"/>
      <c r="M938" s="115"/>
      <c r="N938" s="115"/>
      <c r="O938" s="115"/>
      <c r="P938" s="115"/>
    </row>
    <row r="939" spans="10:16" ht="12.5" x14ac:dyDescent="0.25">
      <c r="J939" s="115"/>
      <c r="K939" s="115"/>
      <c r="L939" s="115"/>
      <c r="M939" s="115"/>
      <c r="N939" s="115"/>
      <c r="O939" s="115"/>
      <c r="P939" s="115"/>
    </row>
    <row r="940" spans="10:16" ht="12.5" x14ac:dyDescent="0.25">
      <c r="J940" s="115"/>
      <c r="K940" s="115"/>
      <c r="L940" s="115"/>
      <c r="M940" s="115"/>
      <c r="N940" s="115"/>
      <c r="O940" s="115"/>
      <c r="P940" s="115"/>
    </row>
    <row r="941" spans="10:16" ht="12.5" x14ac:dyDescent="0.25">
      <c r="J941" s="115"/>
      <c r="K941" s="115"/>
      <c r="L941" s="115"/>
      <c r="M941" s="115"/>
      <c r="N941" s="115"/>
      <c r="O941" s="115"/>
      <c r="P941" s="115"/>
    </row>
    <row r="942" spans="10:16" ht="12.5" x14ac:dyDescent="0.25">
      <c r="J942" s="115"/>
      <c r="K942" s="115"/>
      <c r="L942" s="115"/>
      <c r="M942" s="115"/>
      <c r="N942" s="115"/>
      <c r="O942" s="115"/>
      <c r="P942" s="115"/>
    </row>
    <row r="943" spans="10:16" ht="12.5" x14ac:dyDescent="0.25">
      <c r="J943" s="115"/>
      <c r="K943" s="115"/>
      <c r="L943" s="115"/>
      <c r="M943" s="115"/>
      <c r="N943" s="115"/>
      <c r="O943" s="115"/>
      <c r="P943" s="115"/>
    </row>
    <row r="944" spans="10:16" ht="12.5" x14ac:dyDescent="0.25">
      <c r="J944" s="115"/>
      <c r="K944" s="115"/>
      <c r="L944" s="115"/>
      <c r="M944" s="115"/>
      <c r="N944" s="115"/>
      <c r="O944" s="115"/>
      <c r="P944" s="115"/>
    </row>
    <row r="945" spans="10:16" ht="12.5" x14ac:dyDescent="0.25">
      <c r="J945" s="115"/>
      <c r="K945" s="115"/>
      <c r="L945" s="115"/>
      <c r="M945" s="115"/>
      <c r="N945" s="115"/>
      <c r="O945" s="115"/>
      <c r="P945" s="115"/>
    </row>
    <row r="946" spans="10:16" ht="12.5" x14ac:dyDescent="0.25">
      <c r="J946" s="115"/>
      <c r="K946" s="115"/>
      <c r="L946" s="115"/>
      <c r="M946" s="115"/>
      <c r="N946" s="115"/>
      <c r="O946" s="115"/>
      <c r="P946" s="115"/>
    </row>
    <row r="947" spans="10:16" ht="12.5" x14ac:dyDescent="0.25">
      <c r="J947" s="115"/>
      <c r="K947" s="115"/>
      <c r="L947" s="115"/>
      <c r="M947" s="115"/>
      <c r="N947" s="115"/>
      <c r="O947" s="115"/>
      <c r="P947" s="115"/>
    </row>
    <row r="948" spans="10:16" ht="12.5" x14ac:dyDescent="0.25">
      <c r="J948" s="115"/>
      <c r="K948" s="115"/>
      <c r="L948" s="115"/>
      <c r="M948" s="115"/>
      <c r="N948" s="115"/>
      <c r="O948" s="115"/>
      <c r="P948" s="115"/>
    </row>
    <row r="949" spans="10:16" ht="12.5" x14ac:dyDescent="0.25">
      <c r="J949" s="115"/>
      <c r="K949" s="115"/>
      <c r="L949" s="115"/>
      <c r="M949" s="115"/>
      <c r="N949" s="115"/>
      <c r="O949" s="115"/>
      <c r="P949" s="115"/>
    </row>
    <row r="950" spans="10:16" ht="12.5" x14ac:dyDescent="0.25">
      <c r="J950" s="115"/>
      <c r="K950" s="115"/>
      <c r="L950" s="115"/>
      <c r="M950" s="115"/>
      <c r="N950" s="115"/>
      <c r="O950" s="115"/>
      <c r="P950" s="115"/>
    </row>
    <row r="951" spans="10:16" ht="12.5" x14ac:dyDescent="0.25">
      <c r="J951" s="115"/>
      <c r="K951" s="115"/>
      <c r="L951" s="115"/>
      <c r="M951" s="115"/>
      <c r="N951" s="115"/>
      <c r="O951" s="115"/>
      <c r="P951" s="115"/>
    </row>
    <row r="952" spans="10:16" ht="12.5" x14ac:dyDescent="0.25">
      <c r="J952" s="115"/>
      <c r="K952" s="115"/>
      <c r="L952" s="115"/>
      <c r="M952" s="115"/>
      <c r="N952" s="115"/>
      <c r="O952" s="115"/>
      <c r="P952" s="115"/>
    </row>
    <row r="953" spans="10:16" ht="12.5" x14ac:dyDescent="0.25">
      <c r="J953" s="115"/>
      <c r="K953" s="115"/>
      <c r="L953" s="115"/>
      <c r="M953" s="115"/>
      <c r="N953" s="115"/>
      <c r="O953" s="115"/>
      <c r="P953" s="115"/>
    </row>
    <row r="954" spans="10:16" ht="12.5" x14ac:dyDescent="0.25">
      <c r="J954" s="115"/>
      <c r="K954" s="115"/>
      <c r="L954" s="115"/>
      <c r="M954" s="115"/>
      <c r="N954" s="115"/>
      <c r="O954" s="115"/>
      <c r="P954" s="115"/>
    </row>
    <row r="955" spans="10:16" ht="12.5" x14ac:dyDescent="0.25">
      <c r="J955" s="115"/>
      <c r="K955" s="115"/>
      <c r="L955" s="115"/>
      <c r="M955" s="115"/>
      <c r="N955" s="115"/>
      <c r="O955" s="115"/>
      <c r="P955" s="115"/>
    </row>
    <row r="956" spans="10:16" ht="12.5" x14ac:dyDescent="0.25">
      <c r="J956" s="115"/>
      <c r="K956" s="115"/>
      <c r="L956" s="115"/>
      <c r="M956" s="115"/>
      <c r="N956" s="115"/>
      <c r="O956" s="115"/>
      <c r="P956" s="115"/>
    </row>
    <row r="957" spans="10:16" ht="12.5" x14ac:dyDescent="0.25">
      <c r="J957" s="115"/>
      <c r="K957" s="115"/>
      <c r="L957" s="115"/>
      <c r="M957" s="115"/>
      <c r="N957" s="115"/>
      <c r="O957" s="115"/>
      <c r="P957" s="115"/>
    </row>
    <row r="958" spans="10:16" ht="12.5" x14ac:dyDescent="0.25">
      <c r="J958" s="115"/>
      <c r="K958" s="115"/>
      <c r="L958" s="115"/>
      <c r="M958" s="115"/>
      <c r="N958" s="115"/>
      <c r="O958" s="115"/>
      <c r="P958" s="115"/>
    </row>
    <row r="959" spans="10:16" ht="12.5" x14ac:dyDescent="0.25">
      <c r="J959" s="115"/>
      <c r="K959" s="115"/>
      <c r="L959" s="115"/>
      <c r="M959" s="115"/>
      <c r="N959" s="115"/>
      <c r="O959" s="115"/>
      <c r="P959" s="115"/>
    </row>
    <row r="960" spans="10:16" ht="12.5" x14ac:dyDescent="0.25">
      <c r="J960" s="115"/>
      <c r="K960" s="115"/>
      <c r="L960" s="115"/>
      <c r="M960" s="115"/>
      <c r="N960" s="115"/>
      <c r="O960" s="115"/>
      <c r="P960" s="115"/>
    </row>
    <row r="961" spans="10:16" ht="12.5" x14ac:dyDescent="0.25">
      <c r="J961" s="115"/>
      <c r="K961" s="115"/>
      <c r="L961" s="115"/>
      <c r="M961" s="115"/>
      <c r="N961" s="115"/>
      <c r="O961" s="115"/>
      <c r="P961" s="115"/>
    </row>
    <row r="962" spans="10:16" ht="12.5" x14ac:dyDescent="0.25">
      <c r="J962" s="115"/>
      <c r="K962" s="115"/>
      <c r="L962" s="115"/>
      <c r="M962" s="115"/>
      <c r="N962" s="115"/>
      <c r="O962" s="115"/>
      <c r="P962" s="115"/>
    </row>
    <row r="963" spans="10:16" ht="12.5" x14ac:dyDescent="0.25">
      <c r="J963" s="115"/>
      <c r="K963" s="115"/>
      <c r="L963" s="115"/>
      <c r="M963" s="115"/>
      <c r="N963" s="115"/>
      <c r="O963" s="115"/>
      <c r="P963" s="115"/>
    </row>
    <row r="964" spans="10:16" ht="12.5" x14ac:dyDescent="0.25">
      <c r="J964" s="115"/>
      <c r="K964" s="115"/>
      <c r="L964" s="115"/>
      <c r="M964" s="115"/>
      <c r="N964" s="115"/>
      <c r="O964" s="115"/>
      <c r="P964" s="115"/>
    </row>
    <row r="965" spans="10:16" ht="12.5" x14ac:dyDescent="0.25">
      <c r="J965" s="115"/>
      <c r="K965" s="115"/>
      <c r="L965" s="115"/>
      <c r="M965" s="115"/>
      <c r="N965" s="115"/>
      <c r="O965" s="115"/>
      <c r="P965" s="115"/>
    </row>
    <row r="966" spans="10:16" ht="12.5" x14ac:dyDescent="0.25">
      <c r="J966" s="115"/>
      <c r="K966" s="115"/>
      <c r="L966" s="115"/>
      <c r="M966" s="115"/>
      <c r="N966" s="115"/>
      <c r="O966" s="115"/>
      <c r="P966" s="115"/>
    </row>
    <row r="967" spans="10:16" ht="12.5" x14ac:dyDescent="0.25">
      <c r="J967" s="115"/>
      <c r="K967" s="115"/>
      <c r="L967" s="115"/>
      <c r="M967" s="115"/>
      <c r="N967" s="115"/>
      <c r="O967" s="115"/>
      <c r="P967" s="115"/>
    </row>
    <row r="968" spans="10:16" ht="12.5" x14ac:dyDescent="0.25">
      <c r="J968" s="115"/>
      <c r="K968" s="115"/>
      <c r="L968" s="115"/>
      <c r="M968" s="115"/>
      <c r="N968" s="115"/>
      <c r="O968" s="115"/>
      <c r="P968" s="115"/>
    </row>
    <row r="969" spans="10:16" ht="12.5" x14ac:dyDescent="0.25">
      <c r="J969" s="115"/>
      <c r="K969" s="115"/>
      <c r="L969" s="115"/>
      <c r="M969" s="115"/>
      <c r="N969" s="115"/>
      <c r="O969" s="115"/>
      <c r="P969" s="115"/>
    </row>
    <row r="970" spans="10:16" ht="12.5" x14ac:dyDescent="0.25">
      <c r="J970" s="115"/>
      <c r="K970" s="115"/>
      <c r="L970" s="115"/>
      <c r="M970" s="115"/>
      <c r="N970" s="115"/>
      <c r="O970" s="115"/>
      <c r="P970" s="115"/>
    </row>
    <row r="971" spans="10:16" ht="12.5" x14ac:dyDescent="0.25">
      <c r="J971" s="115"/>
      <c r="K971" s="115"/>
      <c r="L971" s="115"/>
      <c r="M971" s="115"/>
      <c r="N971" s="115"/>
      <c r="O971" s="115"/>
      <c r="P971" s="115"/>
    </row>
    <row r="972" spans="10:16" ht="12.5" x14ac:dyDescent="0.25">
      <c r="J972" s="115"/>
      <c r="K972" s="115"/>
      <c r="L972" s="115"/>
      <c r="M972" s="115"/>
      <c r="N972" s="115"/>
      <c r="O972" s="115"/>
      <c r="P972" s="115"/>
    </row>
    <row r="973" spans="10:16" ht="12.5" x14ac:dyDescent="0.25">
      <c r="J973" s="115"/>
      <c r="K973" s="115"/>
      <c r="L973" s="115"/>
      <c r="M973" s="115"/>
      <c r="N973" s="115"/>
      <c r="O973" s="115"/>
      <c r="P973" s="115"/>
    </row>
    <row r="974" spans="10:16" ht="12.5" x14ac:dyDescent="0.25">
      <c r="J974" s="115"/>
      <c r="K974" s="115"/>
      <c r="L974" s="115"/>
      <c r="M974" s="115"/>
      <c r="N974" s="115"/>
      <c r="O974" s="115"/>
      <c r="P974" s="115"/>
    </row>
    <row r="975" spans="10:16" ht="12.5" x14ac:dyDescent="0.25">
      <c r="J975" s="115"/>
      <c r="K975" s="115"/>
      <c r="L975" s="115"/>
      <c r="M975" s="115"/>
      <c r="N975" s="115"/>
      <c r="O975" s="115"/>
      <c r="P975" s="115"/>
    </row>
    <row r="976" spans="10:16" ht="12.5" x14ac:dyDescent="0.25">
      <c r="J976" s="115"/>
      <c r="K976" s="115"/>
      <c r="L976" s="115"/>
      <c r="M976" s="115"/>
      <c r="N976" s="115"/>
      <c r="O976" s="115"/>
      <c r="P976" s="115"/>
    </row>
    <row r="977" spans="10:16" ht="12.5" x14ac:dyDescent="0.25">
      <c r="J977" s="115"/>
      <c r="K977" s="115"/>
      <c r="L977" s="115"/>
      <c r="M977" s="115"/>
      <c r="N977" s="115"/>
      <c r="O977" s="115"/>
      <c r="P977" s="115"/>
    </row>
    <row r="978" spans="10:16" ht="12.5" x14ac:dyDescent="0.25">
      <c r="J978" s="115"/>
      <c r="K978" s="115"/>
      <c r="L978" s="115"/>
      <c r="M978" s="115"/>
      <c r="N978" s="115"/>
      <c r="O978" s="115"/>
      <c r="P978" s="115"/>
    </row>
    <row r="979" spans="10:16" ht="12.5" x14ac:dyDescent="0.25">
      <c r="J979" s="115"/>
      <c r="K979" s="115"/>
      <c r="L979" s="115"/>
      <c r="M979" s="115"/>
      <c r="N979" s="115"/>
      <c r="O979" s="115"/>
      <c r="P979" s="115"/>
    </row>
    <row r="980" spans="10:16" ht="12.5" x14ac:dyDescent="0.25">
      <c r="J980" s="115"/>
      <c r="K980" s="115"/>
      <c r="L980" s="115"/>
      <c r="M980" s="115"/>
      <c r="N980" s="115"/>
      <c r="O980" s="115"/>
      <c r="P980" s="115"/>
    </row>
    <row r="981" spans="10:16" ht="12.5" x14ac:dyDescent="0.25">
      <c r="J981" s="115"/>
      <c r="K981" s="115"/>
      <c r="L981" s="115"/>
      <c r="M981" s="115"/>
      <c r="N981" s="115"/>
      <c r="O981" s="115"/>
      <c r="P981" s="115"/>
    </row>
    <row r="982" spans="10:16" ht="12.5" x14ac:dyDescent="0.25">
      <c r="J982" s="115"/>
      <c r="K982" s="115"/>
      <c r="L982" s="115"/>
      <c r="M982" s="115"/>
      <c r="N982" s="115"/>
      <c r="O982" s="115"/>
      <c r="P982" s="115"/>
    </row>
    <row r="983" spans="10:16" ht="12.5" x14ac:dyDescent="0.25">
      <c r="J983" s="115"/>
      <c r="K983" s="115"/>
      <c r="L983" s="115"/>
      <c r="M983" s="115"/>
      <c r="N983" s="115"/>
      <c r="O983" s="115"/>
      <c r="P983" s="115"/>
    </row>
    <row r="984" spans="10:16" ht="12.5" x14ac:dyDescent="0.25">
      <c r="J984" s="115"/>
      <c r="K984" s="115"/>
      <c r="L984" s="115"/>
      <c r="M984" s="115"/>
      <c r="N984" s="115"/>
      <c r="O984" s="115"/>
      <c r="P984" s="115"/>
    </row>
    <row r="985" spans="10:16" ht="12.5" x14ac:dyDescent="0.25">
      <c r="J985" s="115"/>
      <c r="K985" s="115"/>
      <c r="L985" s="115"/>
      <c r="M985" s="115"/>
      <c r="N985" s="115"/>
      <c r="O985" s="115"/>
      <c r="P985" s="115"/>
    </row>
    <row r="986" spans="10:16" ht="12.5" x14ac:dyDescent="0.25">
      <c r="J986" s="115"/>
      <c r="K986" s="115"/>
      <c r="L986" s="115"/>
      <c r="M986" s="115"/>
      <c r="N986" s="115"/>
      <c r="O986" s="115"/>
      <c r="P986" s="115"/>
    </row>
    <row r="987" spans="10:16" ht="12.5" x14ac:dyDescent="0.25">
      <c r="J987" s="115"/>
      <c r="K987" s="115"/>
      <c r="L987" s="115"/>
      <c r="M987" s="115"/>
      <c r="N987" s="115"/>
      <c r="O987" s="115"/>
      <c r="P987" s="115"/>
    </row>
    <row r="988" spans="10:16" ht="12.5" x14ac:dyDescent="0.25">
      <c r="J988" s="115"/>
      <c r="K988" s="115"/>
      <c r="L988" s="115"/>
      <c r="M988" s="115"/>
      <c r="N988" s="115"/>
      <c r="O988" s="115"/>
      <c r="P988" s="115"/>
    </row>
    <row r="989" spans="10:16" ht="12.5" x14ac:dyDescent="0.25">
      <c r="J989" s="115"/>
      <c r="K989" s="115"/>
      <c r="L989" s="115"/>
      <c r="M989" s="115"/>
      <c r="N989" s="115"/>
      <c r="O989" s="115"/>
      <c r="P989" s="115"/>
    </row>
    <row r="990" spans="10:16" ht="12.5" x14ac:dyDescent="0.25">
      <c r="J990" s="115"/>
      <c r="K990" s="115"/>
      <c r="L990" s="115"/>
      <c r="M990" s="115"/>
      <c r="N990" s="115"/>
      <c r="O990" s="115"/>
      <c r="P990" s="115"/>
    </row>
    <row r="991" spans="10:16" ht="12.5" x14ac:dyDescent="0.25">
      <c r="J991" s="115"/>
      <c r="K991" s="115"/>
      <c r="L991" s="115"/>
      <c r="M991" s="115"/>
      <c r="N991" s="115"/>
      <c r="O991" s="115"/>
      <c r="P991" s="115"/>
    </row>
    <row r="992" spans="10:16" ht="12.5" x14ac:dyDescent="0.25">
      <c r="J992" s="115"/>
      <c r="K992" s="115"/>
      <c r="L992" s="115"/>
      <c r="M992" s="115"/>
      <c r="N992" s="115"/>
      <c r="O992" s="115"/>
      <c r="P992" s="115"/>
    </row>
    <row r="993" spans="10:16" ht="12.5" x14ac:dyDescent="0.25">
      <c r="J993" s="115"/>
      <c r="K993" s="115"/>
      <c r="L993" s="115"/>
      <c r="M993" s="115"/>
      <c r="N993" s="115"/>
      <c r="O993" s="115"/>
      <c r="P993" s="115"/>
    </row>
    <row r="994" spans="10:16" ht="12.5" x14ac:dyDescent="0.25">
      <c r="J994" s="115"/>
      <c r="K994" s="115"/>
      <c r="L994" s="115"/>
      <c r="M994" s="115"/>
      <c r="N994" s="115"/>
      <c r="O994" s="115"/>
      <c r="P994" s="115"/>
    </row>
    <row r="995" spans="10:16" ht="12.5" x14ac:dyDescent="0.25">
      <c r="J995" s="115"/>
      <c r="K995" s="115"/>
      <c r="L995" s="115"/>
      <c r="M995" s="115"/>
      <c r="N995" s="115"/>
      <c r="O995" s="115"/>
      <c r="P995" s="115"/>
    </row>
    <row r="996" spans="10:16" ht="12.5" x14ac:dyDescent="0.25">
      <c r="J996" s="115"/>
      <c r="K996" s="115"/>
      <c r="L996" s="115"/>
      <c r="M996" s="115"/>
      <c r="N996" s="115"/>
      <c r="O996" s="115"/>
      <c r="P996" s="115"/>
    </row>
    <row r="997" spans="10:16" ht="12.5" x14ac:dyDescent="0.25">
      <c r="J997" s="115"/>
      <c r="K997" s="115"/>
      <c r="L997" s="115"/>
      <c r="M997" s="115"/>
      <c r="N997" s="115"/>
      <c r="O997" s="115"/>
      <c r="P997" s="115"/>
    </row>
    <row r="998" spans="10:16" ht="12.5" x14ac:dyDescent="0.25">
      <c r="J998" s="115"/>
      <c r="K998" s="115"/>
      <c r="L998" s="115"/>
      <c r="M998" s="115"/>
      <c r="N998" s="115"/>
      <c r="O998" s="115"/>
      <c r="P998" s="115"/>
    </row>
    <row r="999" spans="10:16" ht="12.5" x14ac:dyDescent="0.25">
      <c r="J999" s="115"/>
      <c r="K999" s="115"/>
      <c r="L999" s="115"/>
      <c r="M999" s="115"/>
      <c r="N999" s="115"/>
      <c r="O999" s="115"/>
      <c r="P999" s="115"/>
    </row>
    <row r="1000" spans="10:16" ht="12.5" x14ac:dyDescent="0.25">
      <c r="J1000" s="115"/>
      <c r="K1000" s="115"/>
      <c r="L1000" s="115"/>
      <c r="M1000" s="115"/>
      <c r="N1000" s="115"/>
      <c r="O1000" s="115"/>
      <c r="P1000" s="115"/>
    </row>
    <row r="1001" spans="10:16" ht="12.5" x14ac:dyDescent="0.25">
      <c r="J1001" s="115"/>
      <c r="K1001" s="115"/>
      <c r="L1001" s="115"/>
      <c r="M1001" s="115"/>
      <c r="N1001" s="115"/>
      <c r="O1001" s="115"/>
      <c r="P1001" s="115"/>
    </row>
    <row r="1002" spans="10:16" ht="12.5" x14ac:dyDescent="0.25">
      <c r="J1002" s="115"/>
      <c r="K1002" s="115"/>
      <c r="L1002" s="115"/>
      <c r="M1002" s="115"/>
      <c r="N1002" s="115"/>
      <c r="O1002" s="115"/>
      <c r="P1002" s="115"/>
    </row>
    <row r="1003" spans="10:16" ht="12.5" x14ac:dyDescent="0.25">
      <c r="J1003" s="115"/>
      <c r="K1003" s="115"/>
      <c r="L1003" s="115"/>
      <c r="M1003" s="115"/>
      <c r="N1003" s="115"/>
      <c r="O1003" s="115"/>
      <c r="P1003" s="115"/>
    </row>
    <row r="1004" spans="10:16" ht="12.5" x14ac:dyDescent="0.25">
      <c r="J1004" s="115"/>
      <c r="K1004" s="115"/>
      <c r="L1004" s="115"/>
      <c r="M1004" s="115"/>
      <c r="N1004" s="115"/>
      <c r="O1004" s="115"/>
      <c r="P1004" s="115"/>
    </row>
    <row r="1005" spans="10:16" ht="12.5" x14ac:dyDescent="0.25">
      <c r="J1005" s="115"/>
      <c r="K1005" s="115"/>
      <c r="L1005" s="115"/>
      <c r="M1005" s="115"/>
      <c r="N1005" s="115"/>
      <c r="O1005" s="115"/>
      <c r="P1005" s="115"/>
    </row>
    <row r="1006" spans="10:16" ht="12.5" x14ac:dyDescent="0.25">
      <c r="J1006" s="115"/>
      <c r="K1006" s="115"/>
      <c r="L1006" s="115"/>
      <c r="M1006" s="115"/>
      <c r="N1006" s="115"/>
      <c r="O1006" s="115"/>
      <c r="P1006" s="115"/>
    </row>
    <row r="1007" spans="10:16" ht="12.5" x14ac:dyDescent="0.25">
      <c r="J1007" s="115"/>
      <c r="K1007" s="115"/>
      <c r="L1007" s="115"/>
      <c r="M1007" s="115"/>
      <c r="N1007" s="115"/>
      <c r="O1007" s="115"/>
      <c r="P1007" s="115"/>
    </row>
    <row r="1008" spans="10:16" ht="12.5" x14ac:dyDescent="0.25">
      <c r="J1008" s="115"/>
      <c r="K1008" s="115"/>
      <c r="L1008" s="115"/>
      <c r="M1008" s="115"/>
      <c r="N1008" s="115"/>
      <c r="O1008" s="115"/>
      <c r="P1008" s="115"/>
    </row>
    <row r="1009" spans="10:16" ht="12.5" x14ac:dyDescent="0.25">
      <c r="J1009" s="115"/>
      <c r="K1009" s="115"/>
      <c r="L1009" s="115"/>
      <c r="M1009" s="115"/>
      <c r="N1009" s="115"/>
      <c r="O1009" s="115"/>
      <c r="P1009" s="115"/>
    </row>
    <row r="1010" spans="10:16" ht="12.5" x14ac:dyDescent="0.25">
      <c r="J1010" s="115"/>
      <c r="K1010" s="115"/>
      <c r="L1010" s="115"/>
      <c r="M1010" s="115"/>
      <c r="N1010" s="115"/>
      <c r="O1010" s="115"/>
      <c r="P1010" s="115"/>
    </row>
    <row r="1011" spans="10:16" ht="12.5" x14ac:dyDescent="0.25">
      <c r="J1011" s="115"/>
      <c r="K1011" s="115"/>
      <c r="L1011" s="115"/>
      <c r="M1011" s="115"/>
      <c r="N1011" s="115"/>
      <c r="O1011" s="115"/>
      <c r="P1011" s="115"/>
    </row>
    <row r="1012" spans="10:16" ht="12.5" x14ac:dyDescent="0.25">
      <c r="J1012" s="115"/>
      <c r="K1012" s="115"/>
      <c r="L1012" s="115"/>
      <c r="M1012" s="115"/>
      <c r="N1012" s="115"/>
      <c r="O1012" s="115"/>
      <c r="P1012" s="115"/>
    </row>
    <row r="1013" spans="10:16" ht="12.5" x14ac:dyDescent="0.25">
      <c r="J1013" s="115"/>
      <c r="K1013" s="115"/>
      <c r="L1013" s="115"/>
      <c r="M1013" s="115"/>
      <c r="N1013" s="115"/>
      <c r="O1013" s="115"/>
      <c r="P1013" s="115"/>
    </row>
    <row r="1014" spans="10:16" ht="12.5" x14ac:dyDescent="0.25">
      <c r="J1014" s="115"/>
      <c r="K1014" s="115"/>
      <c r="L1014" s="115"/>
      <c r="M1014" s="115"/>
      <c r="N1014" s="115"/>
      <c r="O1014" s="115"/>
      <c r="P1014" s="115"/>
    </row>
    <row r="1015" spans="10:16" ht="12.5" x14ac:dyDescent="0.25">
      <c r="J1015" s="115"/>
      <c r="K1015" s="115"/>
      <c r="L1015" s="115"/>
      <c r="M1015" s="115"/>
      <c r="N1015" s="115"/>
      <c r="O1015" s="115"/>
      <c r="P1015" s="115"/>
    </row>
    <row r="1016" spans="10:16" ht="12.5" x14ac:dyDescent="0.25">
      <c r="J1016" s="115"/>
      <c r="K1016" s="115"/>
      <c r="L1016" s="115"/>
      <c r="M1016" s="115"/>
      <c r="N1016" s="115"/>
      <c r="O1016" s="115"/>
      <c r="P1016" s="115"/>
    </row>
    <row r="1017" spans="10:16" ht="12.5" x14ac:dyDescent="0.25">
      <c r="J1017" s="115"/>
      <c r="K1017" s="115"/>
      <c r="L1017" s="115"/>
      <c r="M1017" s="115"/>
      <c r="N1017" s="115"/>
      <c r="O1017" s="115"/>
      <c r="P1017" s="115"/>
    </row>
    <row r="1018" spans="10:16" ht="12.5" x14ac:dyDescent="0.25">
      <c r="J1018" s="115"/>
      <c r="K1018" s="115"/>
      <c r="L1018" s="115"/>
      <c r="M1018" s="115"/>
      <c r="N1018" s="115"/>
      <c r="O1018" s="115"/>
      <c r="P1018" s="115"/>
    </row>
    <row r="1019" spans="10:16" ht="12.5" x14ac:dyDescent="0.25">
      <c r="J1019" s="115"/>
      <c r="K1019" s="115"/>
      <c r="L1019" s="115"/>
      <c r="M1019" s="115"/>
      <c r="N1019" s="115"/>
      <c r="O1019" s="115"/>
      <c r="P1019" s="115"/>
    </row>
    <row r="1020" spans="10:16" ht="12.5" x14ac:dyDescent="0.25">
      <c r="J1020" s="115"/>
      <c r="K1020" s="115"/>
      <c r="L1020" s="115"/>
      <c r="M1020" s="115"/>
      <c r="N1020" s="115"/>
      <c r="O1020" s="115"/>
      <c r="P1020" s="115"/>
    </row>
    <row r="1021" spans="10:16" ht="12.5" x14ac:dyDescent="0.25">
      <c r="J1021" s="115"/>
      <c r="K1021" s="115"/>
      <c r="L1021" s="115"/>
      <c r="M1021" s="115"/>
      <c r="N1021" s="115"/>
      <c r="O1021" s="115"/>
      <c r="P1021" s="115"/>
    </row>
    <row r="1022" spans="10:16" ht="12.5" x14ac:dyDescent="0.25">
      <c r="J1022" s="115"/>
      <c r="K1022" s="115"/>
      <c r="L1022" s="115"/>
      <c r="M1022" s="115"/>
      <c r="N1022" s="115"/>
      <c r="O1022" s="115"/>
      <c r="P1022" s="115"/>
    </row>
    <row r="1023" spans="10:16" ht="12.5" x14ac:dyDescent="0.25">
      <c r="J1023" s="115"/>
      <c r="K1023" s="115"/>
      <c r="L1023" s="115"/>
      <c r="M1023" s="115"/>
      <c r="N1023" s="115"/>
      <c r="O1023" s="115"/>
      <c r="P1023" s="115"/>
    </row>
    <row r="1024" spans="10:16" ht="12.5" x14ac:dyDescent="0.25">
      <c r="J1024" s="115"/>
      <c r="K1024" s="115"/>
      <c r="L1024" s="115"/>
      <c r="M1024" s="115"/>
      <c r="N1024" s="115"/>
      <c r="O1024" s="115"/>
      <c r="P1024" s="115"/>
    </row>
    <row r="1025" spans="10:16" ht="12.5" x14ac:dyDescent="0.25">
      <c r="J1025" s="115"/>
      <c r="K1025" s="115"/>
      <c r="L1025" s="115"/>
      <c r="M1025" s="115"/>
      <c r="N1025" s="115"/>
      <c r="O1025" s="115"/>
      <c r="P1025" s="115"/>
    </row>
    <row r="1026" spans="10:16" ht="12.5" x14ac:dyDescent="0.25">
      <c r="J1026" s="115"/>
      <c r="K1026" s="115"/>
      <c r="L1026" s="115"/>
      <c r="M1026" s="115"/>
      <c r="N1026" s="115"/>
      <c r="O1026" s="115"/>
      <c r="P1026" s="115"/>
    </row>
    <row r="1027" spans="10:16" ht="12.5" x14ac:dyDescent="0.25">
      <c r="J1027" s="115"/>
      <c r="K1027" s="115"/>
      <c r="L1027" s="115"/>
      <c r="M1027" s="115"/>
      <c r="N1027" s="115"/>
      <c r="O1027" s="115"/>
      <c r="P1027" s="115"/>
    </row>
    <row r="1028" spans="10:16" ht="12.5" x14ac:dyDescent="0.25">
      <c r="J1028" s="115"/>
      <c r="K1028" s="115"/>
      <c r="L1028" s="115"/>
      <c r="M1028" s="115"/>
      <c r="N1028" s="115"/>
      <c r="O1028" s="115"/>
      <c r="P1028" s="115"/>
    </row>
    <row r="1029" spans="10:16" ht="12.5" x14ac:dyDescent="0.25">
      <c r="J1029" s="115"/>
      <c r="K1029" s="115"/>
      <c r="L1029" s="115"/>
      <c r="M1029" s="115"/>
      <c r="N1029" s="115"/>
      <c r="O1029" s="115"/>
      <c r="P1029" s="115"/>
    </row>
    <row r="1030" spans="10:16" ht="12.5" x14ac:dyDescent="0.25">
      <c r="J1030" s="115"/>
      <c r="K1030" s="115"/>
      <c r="L1030" s="115"/>
      <c r="M1030" s="115"/>
      <c r="N1030" s="115"/>
      <c r="O1030" s="115"/>
      <c r="P1030" s="115"/>
    </row>
    <row r="1031" spans="10:16" ht="12.5" x14ac:dyDescent="0.25">
      <c r="J1031" s="115"/>
      <c r="K1031" s="115"/>
      <c r="L1031" s="115"/>
      <c r="M1031" s="115"/>
      <c r="N1031" s="115"/>
      <c r="O1031" s="115"/>
      <c r="P1031" s="115"/>
    </row>
    <row r="1032" spans="10:16" ht="12.5" x14ac:dyDescent="0.25">
      <c r="J1032" s="115"/>
      <c r="K1032" s="115"/>
      <c r="L1032" s="115"/>
      <c r="M1032" s="115"/>
      <c r="N1032" s="115"/>
      <c r="O1032" s="115"/>
      <c r="P1032" s="115"/>
    </row>
    <row r="1033" spans="10:16" ht="12.5" x14ac:dyDescent="0.25">
      <c r="J1033" s="115"/>
      <c r="K1033" s="115"/>
      <c r="L1033" s="115"/>
      <c r="M1033" s="115"/>
      <c r="N1033" s="115"/>
      <c r="O1033" s="115"/>
      <c r="P1033" s="115"/>
    </row>
    <row r="1034" spans="10:16" ht="12.5" x14ac:dyDescent="0.25">
      <c r="J1034" s="115"/>
      <c r="K1034" s="115"/>
      <c r="L1034" s="115"/>
      <c r="M1034" s="115"/>
      <c r="N1034" s="115"/>
      <c r="O1034" s="115"/>
      <c r="P1034" s="115"/>
    </row>
    <row r="1035" spans="10:16" ht="12.5" x14ac:dyDescent="0.25">
      <c r="J1035" s="115"/>
      <c r="K1035" s="115"/>
      <c r="L1035" s="115"/>
      <c r="M1035" s="115"/>
      <c r="N1035" s="115"/>
      <c r="O1035" s="115"/>
      <c r="P1035" s="115"/>
    </row>
    <row r="1036" spans="10:16" ht="12.5" x14ac:dyDescent="0.25">
      <c r="J1036" s="115"/>
      <c r="K1036" s="115"/>
      <c r="L1036" s="115"/>
      <c r="M1036" s="115"/>
      <c r="N1036" s="115"/>
      <c r="O1036" s="115"/>
      <c r="P1036" s="115"/>
    </row>
    <row r="1037" spans="10:16" ht="12.5" x14ac:dyDescent="0.25">
      <c r="J1037" s="115"/>
      <c r="K1037" s="115"/>
      <c r="L1037" s="115"/>
      <c r="M1037" s="115"/>
      <c r="N1037" s="115"/>
      <c r="O1037" s="115"/>
      <c r="P1037" s="115"/>
    </row>
    <row r="1038" spans="10:16" ht="12.5" x14ac:dyDescent="0.25">
      <c r="J1038" s="115"/>
      <c r="K1038" s="115"/>
      <c r="L1038" s="115"/>
      <c r="M1038" s="115"/>
      <c r="N1038" s="115"/>
      <c r="O1038" s="115"/>
      <c r="P1038" s="115"/>
    </row>
    <row r="1039" spans="10:16" ht="12.5" x14ac:dyDescent="0.25">
      <c r="J1039" s="115"/>
      <c r="K1039" s="115"/>
      <c r="L1039" s="115"/>
      <c r="M1039" s="115"/>
      <c r="N1039" s="115"/>
      <c r="O1039" s="115"/>
      <c r="P1039" s="115"/>
    </row>
    <row r="1040" spans="10:16" ht="12.5" x14ac:dyDescent="0.25">
      <c r="J1040" s="115"/>
      <c r="K1040" s="115"/>
      <c r="L1040" s="115"/>
      <c r="M1040" s="115"/>
      <c r="N1040" s="115"/>
      <c r="O1040" s="115"/>
      <c r="P1040" s="115"/>
    </row>
    <row r="1041" spans="10:16" ht="12.5" x14ac:dyDescent="0.25">
      <c r="J1041" s="115"/>
      <c r="K1041" s="115"/>
      <c r="L1041" s="115"/>
      <c r="M1041" s="115"/>
      <c r="N1041" s="115"/>
      <c r="O1041" s="115"/>
      <c r="P1041" s="115"/>
    </row>
    <row r="1042" spans="10:16" ht="12.5" x14ac:dyDescent="0.25">
      <c r="J1042" s="115"/>
      <c r="K1042" s="115"/>
      <c r="L1042" s="115"/>
      <c r="M1042" s="115"/>
      <c r="N1042" s="115"/>
      <c r="O1042" s="115"/>
      <c r="P1042" s="115"/>
    </row>
    <row r="1043" spans="10:16" ht="12.5" x14ac:dyDescent="0.25">
      <c r="J1043" s="115"/>
      <c r="K1043" s="115"/>
      <c r="L1043" s="115"/>
      <c r="M1043" s="115"/>
      <c r="N1043" s="115"/>
      <c r="O1043" s="115"/>
      <c r="P1043" s="115"/>
    </row>
    <row r="1044" spans="10:16" ht="12.5" x14ac:dyDescent="0.25">
      <c r="J1044" s="115"/>
      <c r="K1044" s="115"/>
      <c r="L1044" s="115"/>
      <c r="M1044" s="115"/>
      <c r="N1044" s="115"/>
      <c r="O1044" s="115"/>
      <c r="P1044" s="115"/>
    </row>
  </sheetData>
  <mergeCells count="419">
    <mergeCell ref="D114:I114"/>
    <mergeCell ref="K114:L114"/>
    <mergeCell ref="K117:L117"/>
    <mergeCell ref="K118:L118"/>
    <mergeCell ref="K119:L119"/>
    <mergeCell ref="M119:N119"/>
    <mergeCell ref="O119:P119"/>
    <mergeCell ref="Q119:V119"/>
    <mergeCell ref="D120:N120"/>
    <mergeCell ref="O120:P120"/>
    <mergeCell ref="M114:N114"/>
    <mergeCell ref="O114:P114"/>
    <mergeCell ref="Q114:V114"/>
    <mergeCell ref="K115:L115"/>
    <mergeCell ref="M115:N115"/>
    <mergeCell ref="O115:P115"/>
    <mergeCell ref="Q115:V115"/>
    <mergeCell ref="K112:L112"/>
    <mergeCell ref="M112:N112"/>
    <mergeCell ref="K113:L113"/>
    <mergeCell ref="M113:N113"/>
    <mergeCell ref="O113:P113"/>
    <mergeCell ref="K109:L109"/>
    <mergeCell ref="M109:N109"/>
    <mergeCell ref="O109:P109"/>
    <mergeCell ref="Q109:V109"/>
    <mergeCell ref="D110:I110"/>
    <mergeCell ref="O112:P112"/>
    <mergeCell ref="Q112:V112"/>
    <mergeCell ref="Q113:V113"/>
    <mergeCell ref="O110:P110"/>
    <mergeCell ref="Q110:V110"/>
    <mergeCell ref="K111:L111"/>
    <mergeCell ref="M111:N111"/>
    <mergeCell ref="O111:P111"/>
    <mergeCell ref="Q111:V111"/>
    <mergeCell ref="D112:I112"/>
    <mergeCell ref="O117:P117"/>
    <mergeCell ref="Q117:V117"/>
    <mergeCell ref="M118:N118"/>
    <mergeCell ref="O118:P118"/>
    <mergeCell ref="D116:I116"/>
    <mergeCell ref="K116:L116"/>
    <mergeCell ref="M116:N116"/>
    <mergeCell ref="O116:P116"/>
    <mergeCell ref="Q116:V116"/>
    <mergeCell ref="M117:N117"/>
    <mergeCell ref="D118:I118"/>
    <mergeCell ref="Q118:V118"/>
    <mergeCell ref="O108:P108"/>
    <mergeCell ref="Q108:V108"/>
    <mergeCell ref="K106:L106"/>
    <mergeCell ref="M106:N106"/>
    <mergeCell ref="K107:L107"/>
    <mergeCell ref="M107:N107"/>
    <mergeCell ref="O107:P107"/>
    <mergeCell ref="Q107:V107"/>
    <mergeCell ref="D108:I108"/>
    <mergeCell ref="K108:L108"/>
    <mergeCell ref="M108:N108"/>
    <mergeCell ref="O106:P106"/>
    <mergeCell ref="Q106:V106"/>
    <mergeCell ref="K104:L104"/>
    <mergeCell ref="M104:N104"/>
    <mergeCell ref="K105:L105"/>
    <mergeCell ref="M105:N105"/>
    <mergeCell ref="O105:P105"/>
    <mergeCell ref="Q105:V105"/>
    <mergeCell ref="D106:I106"/>
    <mergeCell ref="K100:L100"/>
    <mergeCell ref="M100:N100"/>
    <mergeCell ref="K101:L101"/>
    <mergeCell ref="M101:N101"/>
    <mergeCell ref="O101:P101"/>
    <mergeCell ref="Q101:V101"/>
    <mergeCell ref="D102:I102"/>
    <mergeCell ref="O104:P104"/>
    <mergeCell ref="Q104:V104"/>
    <mergeCell ref="K102:L102"/>
    <mergeCell ref="M102:N102"/>
    <mergeCell ref="K103:L103"/>
    <mergeCell ref="M103:N103"/>
    <mergeCell ref="O103:P103"/>
    <mergeCell ref="Q103:V103"/>
    <mergeCell ref="D104:I104"/>
    <mergeCell ref="D90:I90"/>
    <mergeCell ref="K90:L90"/>
    <mergeCell ref="K110:L110"/>
    <mergeCell ref="M110:N110"/>
    <mergeCell ref="O98:P98"/>
    <mergeCell ref="Q98:V98"/>
    <mergeCell ref="K96:L96"/>
    <mergeCell ref="M96:N96"/>
    <mergeCell ref="K97:L97"/>
    <mergeCell ref="M97:N97"/>
    <mergeCell ref="O97:P97"/>
    <mergeCell ref="Q97:V97"/>
    <mergeCell ref="D98:I98"/>
    <mergeCell ref="O100:P100"/>
    <mergeCell ref="Q100:V100"/>
    <mergeCell ref="K98:L98"/>
    <mergeCell ref="M98:N98"/>
    <mergeCell ref="K99:L99"/>
    <mergeCell ref="M99:N99"/>
    <mergeCell ref="O99:P99"/>
    <mergeCell ref="Q99:V99"/>
    <mergeCell ref="D100:I100"/>
    <mergeCell ref="O102:P102"/>
    <mergeCell ref="Q102:V102"/>
    <mergeCell ref="M90:N90"/>
    <mergeCell ref="O90:P90"/>
    <mergeCell ref="Q90:V90"/>
    <mergeCell ref="K91:L91"/>
    <mergeCell ref="M91:N91"/>
    <mergeCell ref="O91:P91"/>
    <mergeCell ref="Q91:V91"/>
    <mergeCell ref="K88:L88"/>
    <mergeCell ref="M88:N88"/>
    <mergeCell ref="K89:L89"/>
    <mergeCell ref="M89:N89"/>
    <mergeCell ref="O89:P89"/>
    <mergeCell ref="K85:L85"/>
    <mergeCell ref="M85:N85"/>
    <mergeCell ref="O85:P85"/>
    <mergeCell ref="Q85:V85"/>
    <mergeCell ref="D86:I86"/>
    <mergeCell ref="O88:P88"/>
    <mergeCell ref="Q88:V88"/>
    <mergeCell ref="Q89:V89"/>
    <mergeCell ref="O86:P86"/>
    <mergeCell ref="Q86:V86"/>
    <mergeCell ref="K87:L87"/>
    <mergeCell ref="M87:N87"/>
    <mergeCell ref="O87:P87"/>
    <mergeCell ref="Q87:V87"/>
    <mergeCell ref="D88:I88"/>
    <mergeCell ref="O96:P96"/>
    <mergeCell ref="Q96:V96"/>
    <mergeCell ref="K93:L93"/>
    <mergeCell ref="K94:L94"/>
    <mergeCell ref="K95:L95"/>
    <mergeCell ref="M95:N95"/>
    <mergeCell ref="O95:P95"/>
    <mergeCell ref="Q95:V95"/>
    <mergeCell ref="D96:I96"/>
    <mergeCell ref="O93:P93"/>
    <mergeCell ref="Q93:V93"/>
    <mergeCell ref="M94:N94"/>
    <mergeCell ref="O94:P94"/>
    <mergeCell ref="D92:I92"/>
    <mergeCell ref="K92:L92"/>
    <mergeCell ref="M92:N92"/>
    <mergeCell ref="O92:P92"/>
    <mergeCell ref="Q92:V92"/>
    <mergeCell ref="M93:N93"/>
    <mergeCell ref="D94:I94"/>
    <mergeCell ref="Q94:V94"/>
    <mergeCell ref="O84:P84"/>
    <mergeCell ref="Q84:V84"/>
    <mergeCell ref="K82:L82"/>
    <mergeCell ref="M82:N82"/>
    <mergeCell ref="K83:L83"/>
    <mergeCell ref="M83:N83"/>
    <mergeCell ref="O83:P83"/>
    <mergeCell ref="Q83:V83"/>
    <mergeCell ref="D84:I84"/>
    <mergeCell ref="K84:L84"/>
    <mergeCell ref="M84:N84"/>
    <mergeCell ref="O82:P82"/>
    <mergeCell ref="Q82:V82"/>
    <mergeCell ref="K80:L80"/>
    <mergeCell ref="M80:N80"/>
    <mergeCell ref="K81:L81"/>
    <mergeCell ref="M81:N81"/>
    <mergeCell ref="O81:P81"/>
    <mergeCell ref="Q81:V81"/>
    <mergeCell ref="D82:I82"/>
    <mergeCell ref="O80:P80"/>
    <mergeCell ref="Q80:V80"/>
    <mergeCell ref="K78:L78"/>
    <mergeCell ref="M78:N78"/>
    <mergeCell ref="K79:L79"/>
    <mergeCell ref="M79:N79"/>
    <mergeCell ref="O79:P79"/>
    <mergeCell ref="Q79:V79"/>
    <mergeCell ref="D80:I80"/>
    <mergeCell ref="O78:P78"/>
    <mergeCell ref="Q78:V78"/>
    <mergeCell ref="K76:L76"/>
    <mergeCell ref="M76:N76"/>
    <mergeCell ref="K77:L77"/>
    <mergeCell ref="M77:N77"/>
    <mergeCell ref="O77:P77"/>
    <mergeCell ref="Q77:V77"/>
    <mergeCell ref="D78:I78"/>
    <mergeCell ref="O64:P64"/>
    <mergeCell ref="Q64:V64"/>
    <mergeCell ref="Q65:V65"/>
    <mergeCell ref="M66:N66"/>
    <mergeCell ref="O66:P66"/>
    <mergeCell ref="Q66:V66"/>
    <mergeCell ref="K86:L86"/>
    <mergeCell ref="M86:N86"/>
    <mergeCell ref="D62:I62"/>
    <mergeCell ref="D63:I63"/>
    <mergeCell ref="K63:L63"/>
    <mergeCell ref="M63:N63"/>
    <mergeCell ref="O63:P63"/>
    <mergeCell ref="Q63:V63"/>
    <mergeCell ref="D64:I64"/>
    <mergeCell ref="K64:L64"/>
    <mergeCell ref="M64:N64"/>
    <mergeCell ref="K65:L65"/>
    <mergeCell ref="M65:N65"/>
    <mergeCell ref="O65:P65"/>
    <mergeCell ref="D66:I66"/>
    <mergeCell ref="K66:L66"/>
    <mergeCell ref="K71:L71"/>
    <mergeCell ref="D72:I72"/>
    <mergeCell ref="M62:N62"/>
    <mergeCell ref="O62:P62"/>
    <mergeCell ref="D61:I61"/>
    <mergeCell ref="K61:L61"/>
    <mergeCell ref="M61:N61"/>
    <mergeCell ref="O61:P61"/>
    <mergeCell ref="Q61:V61"/>
    <mergeCell ref="K62:L62"/>
    <mergeCell ref="Q62:V62"/>
    <mergeCell ref="O60:P60"/>
    <mergeCell ref="Q60:V60"/>
    <mergeCell ref="D58:I58"/>
    <mergeCell ref="D59:I59"/>
    <mergeCell ref="K59:L59"/>
    <mergeCell ref="M59:N59"/>
    <mergeCell ref="O59:P59"/>
    <mergeCell ref="Q59:V59"/>
    <mergeCell ref="D60:I60"/>
    <mergeCell ref="D74:I74"/>
    <mergeCell ref="K74:L74"/>
    <mergeCell ref="Q74:V74"/>
    <mergeCell ref="O76:P76"/>
    <mergeCell ref="Q76:V76"/>
    <mergeCell ref="M74:N74"/>
    <mergeCell ref="O74:P74"/>
    <mergeCell ref="K75:L75"/>
    <mergeCell ref="M75:N75"/>
    <mergeCell ref="O75:P75"/>
    <mergeCell ref="Q75:V75"/>
    <mergeCell ref="D76:I76"/>
    <mergeCell ref="K69:L69"/>
    <mergeCell ref="M69:N69"/>
    <mergeCell ref="O69:P69"/>
    <mergeCell ref="Q69:V69"/>
    <mergeCell ref="D70:I70"/>
    <mergeCell ref="K70:L70"/>
    <mergeCell ref="K73:L73"/>
    <mergeCell ref="M73:N73"/>
    <mergeCell ref="O73:P73"/>
    <mergeCell ref="Q73:V73"/>
    <mergeCell ref="K72:L72"/>
    <mergeCell ref="M72:N72"/>
    <mergeCell ref="O72:P72"/>
    <mergeCell ref="M70:N70"/>
    <mergeCell ref="O70:P70"/>
    <mergeCell ref="Q70:V70"/>
    <mergeCell ref="M71:N71"/>
    <mergeCell ref="O71:P71"/>
    <mergeCell ref="Q71:V71"/>
    <mergeCell ref="Q72:V72"/>
    <mergeCell ref="K67:L67"/>
    <mergeCell ref="M67:N67"/>
    <mergeCell ref="O67:P67"/>
    <mergeCell ref="Q67:V67"/>
    <mergeCell ref="D68:I68"/>
    <mergeCell ref="K68:L68"/>
    <mergeCell ref="M68:N68"/>
    <mergeCell ref="O68:P68"/>
    <mergeCell ref="Q68:V68"/>
    <mergeCell ref="Z39:AA39"/>
    <mergeCell ref="Z40:AA40"/>
    <mergeCell ref="T37:U37"/>
    <mergeCell ref="X37:Y37"/>
    <mergeCell ref="X38:Y38"/>
    <mergeCell ref="Z38:AA38"/>
    <mergeCell ref="T39:U39"/>
    <mergeCell ref="X39:Y40"/>
    <mergeCell ref="T40:V40"/>
    <mergeCell ref="F37:G37"/>
    <mergeCell ref="D50:F50"/>
    <mergeCell ref="D51:F51"/>
    <mergeCell ref="D52:G52"/>
    <mergeCell ref="D53:G53"/>
    <mergeCell ref="D42:H43"/>
    <mergeCell ref="D44:F44"/>
    <mergeCell ref="D45:F45"/>
    <mergeCell ref="D46:F46"/>
    <mergeCell ref="D47:F47"/>
    <mergeCell ref="D48:F48"/>
    <mergeCell ref="D49:F49"/>
    <mergeCell ref="Z14:AA14"/>
    <mergeCell ref="D12:H13"/>
    <mergeCell ref="J12:P13"/>
    <mergeCell ref="X12:AA12"/>
    <mergeCell ref="X13:Y13"/>
    <mergeCell ref="Z13:AA13"/>
    <mergeCell ref="D14:G14"/>
    <mergeCell ref="J14:K14"/>
    <mergeCell ref="X27:Y27"/>
    <mergeCell ref="T23:U23"/>
    <mergeCell ref="T24:U24"/>
    <mergeCell ref="T25:U25"/>
    <mergeCell ref="T26:U26"/>
    <mergeCell ref="X26:AA26"/>
    <mergeCell ref="T27:U27"/>
    <mergeCell ref="R22:S22"/>
    <mergeCell ref="R23:S23"/>
    <mergeCell ref="R24:S24"/>
    <mergeCell ref="R25:S25"/>
    <mergeCell ref="R26:S26"/>
    <mergeCell ref="R27:S27"/>
    <mergeCell ref="D25:F25"/>
    <mergeCell ref="D26:F26"/>
    <mergeCell ref="D27:F27"/>
    <mergeCell ref="D2:E2"/>
    <mergeCell ref="G2:L2"/>
    <mergeCell ref="D3:E3"/>
    <mergeCell ref="N3:Q5"/>
    <mergeCell ref="H4:I4"/>
    <mergeCell ref="J4:K4"/>
    <mergeCell ref="H5:I5"/>
    <mergeCell ref="R12:V13"/>
    <mergeCell ref="R14:S14"/>
    <mergeCell ref="T14:U14"/>
    <mergeCell ref="K60:L60"/>
    <mergeCell ref="M60:N60"/>
    <mergeCell ref="J5:K5"/>
    <mergeCell ref="S5:X5"/>
    <mergeCell ref="U8:V8"/>
    <mergeCell ref="W8:X8"/>
    <mergeCell ref="N6:Q6"/>
    <mergeCell ref="N7:P7"/>
    <mergeCell ref="S7:T7"/>
    <mergeCell ref="U7:V7"/>
    <mergeCell ref="W7:X7"/>
    <mergeCell ref="N8:P8"/>
    <mergeCell ref="S8:T8"/>
    <mergeCell ref="X14:Y14"/>
    <mergeCell ref="X28:Y28"/>
    <mergeCell ref="T28:U28"/>
    <mergeCell ref="R31:S31"/>
    <mergeCell ref="R33:S33"/>
    <mergeCell ref="R29:S29"/>
    <mergeCell ref="X34:AA34"/>
    <mergeCell ref="X35:Y35"/>
    <mergeCell ref="Z35:AA35"/>
    <mergeCell ref="T29:U29"/>
    <mergeCell ref="X29:Y29"/>
    <mergeCell ref="D23:H24"/>
    <mergeCell ref="T33:U33"/>
    <mergeCell ref="T34:U34"/>
    <mergeCell ref="R35:S35"/>
    <mergeCell ref="T35:U35"/>
    <mergeCell ref="T36:U36"/>
    <mergeCell ref="X36:AA36"/>
    <mergeCell ref="R37:S37"/>
    <mergeCell ref="Z37:AA37"/>
    <mergeCell ref="T30:U30"/>
    <mergeCell ref="X30:Y30"/>
    <mergeCell ref="T31:U31"/>
    <mergeCell ref="T32:U32"/>
    <mergeCell ref="X32:AA33"/>
    <mergeCell ref="D28:F28"/>
    <mergeCell ref="D29:F29"/>
    <mergeCell ref="D30:F30"/>
    <mergeCell ref="D31:F31"/>
    <mergeCell ref="D32:F32"/>
    <mergeCell ref="D33:F33"/>
    <mergeCell ref="D34:F34"/>
    <mergeCell ref="D35:F35"/>
    <mergeCell ref="D36:E37"/>
    <mergeCell ref="F36:G36"/>
    <mergeCell ref="R21:S21"/>
    <mergeCell ref="T21:U21"/>
    <mergeCell ref="T22:U22"/>
    <mergeCell ref="D16:G16"/>
    <mergeCell ref="D17:G17"/>
    <mergeCell ref="D18:G18"/>
    <mergeCell ref="D19:G19"/>
    <mergeCell ref="D20:G20"/>
    <mergeCell ref="D21:G21"/>
    <mergeCell ref="R17:S17"/>
    <mergeCell ref="T17:U17"/>
    <mergeCell ref="Z17:AA17"/>
    <mergeCell ref="R18:S18"/>
    <mergeCell ref="T18:U18"/>
    <mergeCell ref="R19:S19"/>
    <mergeCell ref="T19:U19"/>
    <mergeCell ref="R20:S20"/>
    <mergeCell ref="T20:U20"/>
    <mergeCell ref="D15:G15"/>
    <mergeCell ref="R15:S15"/>
    <mergeCell ref="T15:U15"/>
    <mergeCell ref="Z15:AA15"/>
    <mergeCell ref="R16:S16"/>
    <mergeCell ref="T16:U16"/>
    <mergeCell ref="Z16:AA16"/>
    <mergeCell ref="X15:Y15"/>
    <mergeCell ref="X16:Y16"/>
    <mergeCell ref="D39:F40"/>
    <mergeCell ref="G39:H40"/>
    <mergeCell ref="R39:S39"/>
    <mergeCell ref="R40:S40"/>
    <mergeCell ref="J42:R42"/>
    <mergeCell ref="T42:V42"/>
    <mergeCell ref="D56:V57"/>
    <mergeCell ref="K58:L58"/>
    <mergeCell ref="Q58:V58"/>
    <mergeCell ref="M58:N58"/>
    <mergeCell ref="O58:P58"/>
  </mergeCells>
  <conditionalFormatting sqref="Z39:AA40">
    <cfRule type="cellIs" dxfId="35" priority="1" operator="greaterThanOrEqual">
      <formula>0</formula>
    </cfRule>
    <cfRule type="cellIs" dxfId="34" priority="3" operator="lessThan">
      <formula>0</formula>
    </cfRule>
    <cfRule type="containsText" dxfId="33" priority="4" operator="containsText" text="falta">
      <formula>NOT(ISERROR(SEARCH(("falta"),(Z39))))</formula>
    </cfRule>
  </conditionalFormatting>
  <conditionalFormatting sqref="Z40:AA40">
    <cfRule type="containsText" dxfId="32" priority="2" operator="containsText" text="sobra">
      <formula>NOT(ISERROR(SEARCH(("sobra"),(Z40))))</formula>
    </cfRule>
  </conditionalFormatting>
  <dataValidations count="3">
    <dataValidation type="list" allowBlank="1" showErrorMessage="1" sqref="G45:G51" xr:uid="{00000000-0002-0000-0500-000000000000}">
      <formula1>"Ahorro,Inversión"</formula1>
    </dataValidation>
    <dataValidation type="list" allowBlank="1" showErrorMessage="1" sqref="K59:K119" xr:uid="{00000000-0002-0000-0500-000001000000}">
      <formula1>"Transporte,Alimentación,Restaurantes,Delivery,Bares,Ropa,Belleza,Gasolina,Hogar,Tarjeta de crédito,Ocio,Pequeñas compras,Tasas/Impuestos,Viajes/vacaciones,Tecnología,Reparaciones,Salud,Higiene,Cursos/Formación/Trabajo,Mascotas,Familia,Otros,Préstamos"</formula1>
    </dataValidation>
    <dataValidation type="list" allowBlank="1" showErrorMessage="1" sqref="N15:N39 M59:M119" xr:uid="{00000000-0002-0000-0500-000002000000}">
      <formula1>"Transferencia,Tarjeta de débito,Efectivo,Tarjeta de crédito"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D1044"/>
  <sheetViews>
    <sheetView workbookViewId="0"/>
  </sheetViews>
  <sheetFormatPr baseColWidth="10" defaultColWidth="12.6328125" defaultRowHeight="15.75" customHeight="1" x14ac:dyDescent="0.25"/>
  <cols>
    <col min="7" max="7" width="13.7265625" customWidth="1"/>
    <col min="14" max="14" width="17.6328125" customWidth="1"/>
  </cols>
  <sheetData>
    <row r="1" spans="1:30" ht="15.7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8"/>
      <c r="O1" s="28"/>
      <c r="P1" s="28"/>
      <c r="Q1" s="28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x14ac:dyDescent="0.3">
      <c r="A2" s="2"/>
      <c r="B2" s="2"/>
      <c r="C2" s="2"/>
      <c r="D2" s="254" t="s">
        <v>45</v>
      </c>
      <c r="E2" s="200"/>
      <c r="F2" s="11"/>
      <c r="G2" s="244" t="s">
        <v>46</v>
      </c>
      <c r="H2" s="245"/>
      <c r="I2" s="245"/>
      <c r="J2" s="245"/>
      <c r="K2" s="245"/>
      <c r="L2" s="246"/>
      <c r="M2" s="29"/>
      <c r="N2" s="11"/>
      <c r="O2" s="11"/>
      <c r="P2" s="11"/>
      <c r="Q2" s="11"/>
      <c r="R2" s="11"/>
      <c r="S2" s="11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5.75" customHeight="1" x14ac:dyDescent="0.4">
      <c r="A3" s="2"/>
      <c r="B3" s="2"/>
      <c r="C3" s="2"/>
      <c r="D3" s="255">
        <f>CTAS!J3</f>
        <v>0</v>
      </c>
      <c r="E3" s="236"/>
      <c r="F3" s="2"/>
      <c r="G3" s="2"/>
      <c r="H3" s="2"/>
      <c r="I3" s="2"/>
      <c r="J3" s="2"/>
      <c r="K3" s="2"/>
      <c r="L3" s="2"/>
      <c r="M3" s="11"/>
      <c r="N3" s="256" t="s">
        <v>4</v>
      </c>
      <c r="O3" s="209"/>
      <c r="P3" s="209"/>
      <c r="Q3" s="129"/>
      <c r="R3" s="30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3">
      <c r="A4" s="2"/>
      <c r="B4" s="2"/>
      <c r="C4" s="2"/>
      <c r="D4" s="28"/>
      <c r="E4" s="28"/>
      <c r="F4" s="2"/>
      <c r="G4" s="28"/>
      <c r="H4" s="259" t="s">
        <v>15</v>
      </c>
      <c r="I4" s="224"/>
      <c r="J4" s="260" t="s">
        <v>47</v>
      </c>
      <c r="K4" s="119"/>
      <c r="L4" s="31" t="s">
        <v>14</v>
      </c>
      <c r="M4" s="32"/>
      <c r="N4" s="257"/>
      <c r="O4" s="197"/>
      <c r="P4" s="197"/>
      <c r="Q4" s="258"/>
      <c r="R4" s="30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x14ac:dyDescent="0.3">
      <c r="A5" s="2"/>
      <c r="B5" s="2"/>
      <c r="C5" s="2"/>
      <c r="D5" s="2"/>
      <c r="E5" s="2"/>
      <c r="F5" s="2"/>
      <c r="G5" s="33" t="s">
        <v>48</v>
      </c>
      <c r="H5" s="261">
        <f>H37</f>
        <v>0</v>
      </c>
      <c r="I5" s="219"/>
      <c r="J5" s="243">
        <f>G39</f>
        <v>0</v>
      </c>
      <c r="K5" s="201"/>
      <c r="L5" s="34">
        <f>H5+J5</f>
        <v>0</v>
      </c>
      <c r="M5" s="32"/>
      <c r="N5" s="257"/>
      <c r="O5" s="197"/>
      <c r="P5" s="197"/>
      <c r="Q5" s="258"/>
      <c r="R5" s="29"/>
      <c r="S5" s="244" t="s">
        <v>49</v>
      </c>
      <c r="T5" s="245"/>
      <c r="U5" s="245"/>
      <c r="V5" s="245"/>
      <c r="W5" s="245"/>
      <c r="X5" s="246"/>
      <c r="Y5" s="30"/>
      <c r="Z5" s="2"/>
      <c r="AA5" s="2"/>
      <c r="AB5" s="2"/>
      <c r="AC5" s="2"/>
      <c r="AD5" s="2"/>
    </row>
    <row r="6" spans="1:30" ht="15.75" customHeight="1" x14ac:dyDescent="0.25">
      <c r="A6" s="2"/>
      <c r="B6" s="2"/>
      <c r="C6" s="2"/>
      <c r="D6" s="35"/>
      <c r="E6" s="35"/>
      <c r="F6" s="2"/>
      <c r="G6" s="35"/>
      <c r="H6" s="2"/>
      <c r="I6" s="36"/>
      <c r="J6" s="37"/>
      <c r="K6" s="37"/>
      <c r="L6" s="37"/>
      <c r="M6" s="38"/>
      <c r="N6" s="248">
        <v>2026</v>
      </c>
      <c r="O6" s="218"/>
      <c r="P6" s="218"/>
      <c r="Q6" s="249"/>
      <c r="R6" s="30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x14ac:dyDescent="0.3">
      <c r="A7" s="2"/>
      <c r="B7" s="2"/>
      <c r="C7" s="2"/>
      <c r="D7" s="2"/>
      <c r="E7" s="2"/>
      <c r="F7" s="2"/>
      <c r="G7" s="2"/>
      <c r="H7" s="39" t="s">
        <v>50</v>
      </c>
      <c r="I7" s="39" t="s">
        <v>51</v>
      </c>
      <c r="J7" s="7" t="s">
        <v>19</v>
      </c>
      <c r="K7" s="7" t="s">
        <v>52</v>
      </c>
      <c r="L7" s="7" t="s">
        <v>14</v>
      </c>
      <c r="M7" s="40"/>
      <c r="N7" s="250" t="s">
        <v>53</v>
      </c>
      <c r="O7" s="224"/>
      <c r="P7" s="227"/>
      <c r="Q7" s="41">
        <v>46143</v>
      </c>
      <c r="R7" s="30"/>
      <c r="S7" s="251" t="s">
        <v>54</v>
      </c>
      <c r="T7" s="219"/>
      <c r="U7" s="252" t="s">
        <v>55</v>
      </c>
      <c r="V7" s="219"/>
      <c r="W7" s="253" t="s">
        <v>56</v>
      </c>
      <c r="X7" s="219"/>
      <c r="Y7" s="2"/>
      <c r="Z7" s="2"/>
      <c r="AA7" s="2"/>
      <c r="AB7" s="2"/>
      <c r="AC7" s="2"/>
      <c r="AD7" s="2"/>
    </row>
    <row r="8" spans="1:30" x14ac:dyDescent="0.3">
      <c r="A8" s="2"/>
      <c r="B8" s="2"/>
      <c r="C8" s="2"/>
      <c r="D8" s="2"/>
      <c r="E8" s="2"/>
      <c r="F8" s="2"/>
      <c r="G8" s="42" t="s">
        <v>55</v>
      </c>
      <c r="H8" s="43">
        <f>M40</f>
        <v>0</v>
      </c>
      <c r="I8" s="44">
        <f>O120</f>
        <v>0</v>
      </c>
      <c r="J8" s="45">
        <f>H52</f>
        <v>0</v>
      </c>
      <c r="K8" s="45">
        <f>H53</f>
        <v>0</v>
      </c>
      <c r="L8" s="46">
        <f>SUM(H8:K8)</f>
        <v>0</v>
      </c>
      <c r="M8" s="40"/>
      <c r="N8" s="250" t="s">
        <v>57</v>
      </c>
      <c r="O8" s="224"/>
      <c r="P8" s="227"/>
      <c r="Q8" s="41">
        <v>46173</v>
      </c>
      <c r="R8" s="30"/>
      <c r="S8" s="247">
        <f>L5</f>
        <v>0</v>
      </c>
      <c r="T8" s="142"/>
      <c r="U8" s="247">
        <f>L8</f>
        <v>0</v>
      </c>
      <c r="V8" s="142"/>
      <c r="W8" s="247">
        <f>S8-U8</f>
        <v>0</v>
      </c>
      <c r="X8" s="142"/>
      <c r="Y8" s="2"/>
      <c r="Z8" s="2"/>
      <c r="AA8" s="2"/>
      <c r="AB8" s="2"/>
      <c r="AC8" s="2"/>
      <c r="AD8" s="2"/>
    </row>
    <row r="9" spans="1:30" ht="15.75" customHeight="1" x14ac:dyDescent="0.25">
      <c r="A9" s="2"/>
      <c r="B9" s="2"/>
      <c r="C9" s="2"/>
      <c r="D9" s="47"/>
      <c r="E9" s="47"/>
      <c r="F9" s="2"/>
      <c r="G9" s="2"/>
      <c r="H9" s="35"/>
      <c r="I9" s="35"/>
      <c r="J9" s="48"/>
      <c r="K9" s="48"/>
      <c r="L9" s="48"/>
      <c r="M9" s="49"/>
      <c r="N9" s="49"/>
      <c r="O9" s="49"/>
      <c r="P9" s="49"/>
      <c r="Q9" s="49"/>
      <c r="R9" s="49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15.75" customHeight="1" x14ac:dyDescent="0.25">
      <c r="A10" s="2"/>
      <c r="B10" s="2"/>
      <c r="C10" s="2"/>
      <c r="D10" s="35"/>
      <c r="E10" s="35"/>
      <c r="F10" s="2"/>
      <c r="G10" s="2"/>
      <c r="H10" s="2"/>
      <c r="I10" s="2"/>
      <c r="J10" s="49"/>
      <c r="K10" s="49"/>
      <c r="L10" s="49"/>
      <c r="M10" s="49"/>
      <c r="N10" s="49"/>
      <c r="O10" s="49"/>
      <c r="P10" s="49"/>
      <c r="Q10" s="49"/>
      <c r="R10" s="49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15.75" customHeight="1" x14ac:dyDescent="0.25">
      <c r="A11" s="2"/>
      <c r="B11" s="2"/>
      <c r="C11" s="2"/>
      <c r="D11" s="28"/>
      <c r="E11" s="28"/>
      <c r="F11" s="28"/>
      <c r="G11" s="28"/>
      <c r="H11" s="28"/>
      <c r="I11" s="2"/>
      <c r="J11" s="50"/>
      <c r="K11" s="50"/>
      <c r="L11" s="50"/>
      <c r="M11" s="50"/>
      <c r="N11" s="50"/>
      <c r="O11" s="50"/>
      <c r="P11" s="50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15.75" customHeight="1" x14ac:dyDescent="0.35">
      <c r="A12" s="2"/>
      <c r="B12" s="2"/>
      <c r="C12" s="11"/>
      <c r="D12" s="215" t="s">
        <v>58</v>
      </c>
      <c r="E12" s="209"/>
      <c r="F12" s="209"/>
      <c r="G12" s="209"/>
      <c r="H12" s="129"/>
      <c r="I12" s="29"/>
      <c r="J12" s="216" t="s">
        <v>16</v>
      </c>
      <c r="K12" s="209"/>
      <c r="L12" s="209"/>
      <c r="M12" s="209"/>
      <c r="N12" s="209"/>
      <c r="O12" s="209"/>
      <c r="P12" s="129"/>
      <c r="Q12" s="30"/>
      <c r="R12" s="208" t="s">
        <v>17</v>
      </c>
      <c r="S12" s="209"/>
      <c r="T12" s="209"/>
      <c r="U12" s="209"/>
      <c r="V12" s="129"/>
      <c r="X12" s="217" t="s">
        <v>18</v>
      </c>
      <c r="Y12" s="218"/>
      <c r="Z12" s="218"/>
      <c r="AA12" s="219"/>
      <c r="AB12" s="2"/>
      <c r="AC12" s="2"/>
      <c r="AD12" s="2"/>
    </row>
    <row r="13" spans="1:30" ht="15.75" customHeight="1" x14ac:dyDescent="0.25">
      <c r="A13" s="2"/>
      <c r="B13" s="2"/>
      <c r="C13" s="11"/>
      <c r="D13" s="130"/>
      <c r="E13" s="200"/>
      <c r="F13" s="200"/>
      <c r="G13" s="200"/>
      <c r="H13" s="131"/>
      <c r="I13" s="29"/>
      <c r="J13" s="130"/>
      <c r="K13" s="200"/>
      <c r="L13" s="200"/>
      <c r="M13" s="200"/>
      <c r="N13" s="200"/>
      <c r="O13" s="200"/>
      <c r="P13" s="131"/>
      <c r="Q13" s="30"/>
      <c r="R13" s="130"/>
      <c r="S13" s="200"/>
      <c r="T13" s="200"/>
      <c r="U13" s="200"/>
      <c r="V13" s="131"/>
      <c r="W13" s="2"/>
      <c r="X13" s="220" t="s">
        <v>59</v>
      </c>
      <c r="Y13" s="221"/>
      <c r="Z13" s="222">
        <f>M40</f>
        <v>0</v>
      </c>
      <c r="AA13" s="198"/>
      <c r="AB13" s="2"/>
      <c r="AC13" s="2"/>
      <c r="AD13" s="2"/>
    </row>
    <row r="14" spans="1:30" ht="15.75" customHeight="1" x14ac:dyDescent="0.25">
      <c r="A14" s="2"/>
      <c r="B14" s="2"/>
      <c r="C14" s="11"/>
      <c r="D14" s="223" t="s">
        <v>62</v>
      </c>
      <c r="E14" s="224"/>
      <c r="F14" s="224"/>
      <c r="G14" s="225"/>
      <c r="H14" s="51" t="s">
        <v>61</v>
      </c>
      <c r="I14" s="29"/>
      <c r="J14" s="266" t="s">
        <v>62</v>
      </c>
      <c r="K14" s="119"/>
      <c r="L14" s="52" t="s">
        <v>63</v>
      </c>
      <c r="M14" s="52" t="s">
        <v>64</v>
      </c>
      <c r="N14" s="52" t="s">
        <v>65</v>
      </c>
      <c r="O14" s="52" t="s">
        <v>104</v>
      </c>
      <c r="P14" s="52" t="s">
        <v>67</v>
      </c>
      <c r="Q14" s="29"/>
      <c r="R14" s="210" t="s">
        <v>68</v>
      </c>
      <c r="S14" s="119"/>
      <c r="T14" s="210" t="s">
        <v>69</v>
      </c>
      <c r="U14" s="119"/>
      <c r="V14" s="53" t="s">
        <v>70</v>
      </c>
      <c r="W14" s="29"/>
      <c r="X14" s="262" t="s">
        <v>71</v>
      </c>
      <c r="Y14" s="263"/>
      <c r="Z14" s="264">
        <f>O120</f>
        <v>0</v>
      </c>
      <c r="AA14" s="265"/>
      <c r="AB14" s="30"/>
      <c r="AC14" s="2"/>
      <c r="AD14" s="2"/>
    </row>
    <row r="15" spans="1:30" ht="15.75" customHeight="1" x14ac:dyDescent="0.25">
      <c r="A15" s="2"/>
      <c r="B15" s="2"/>
      <c r="C15" s="11"/>
      <c r="D15" s="226"/>
      <c r="E15" s="224"/>
      <c r="F15" s="224"/>
      <c r="G15" s="227"/>
      <c r="H15" s="54">
        <v>0</v>
      </c>
      <c r="I15" s="29"/>
      <c r="J15" s="117"/>
      <c r="K15" s="4"/>
      <c r="L15" s="4"/>
      <c r="M15" s="4"/>
      <c r="N15" s="4"/>
      <c r="O15" s="4"/>
      <c r="P15" s="56">
        <v>0</v>
      </c>
      <c r="Q15" s="29"/>
      <c r="R15" s="231" t="s">
        <v>22</v>
      </c>
      <c r="S15" s="232"/>
      <c r="T15" s="233">
        <f t="shared" ref="T15:T37" si="0">SUMIF($K$59:$L$119,R15,$O$59:$P$119)</f>
        <v>0</v>
      </c>
      <c r="U15" s="232"/>
      <c r="V15" s="57" t="e">
        <f t="shared" ref="V15:V37" si="1">T15*1/$T$40</f>
        <v>#DIV/0!</v>
      </c>
      <c r="W15" s="30"/>
      <c r="X15" s="211" t="s">
        <v>73</v>
      </c>
      <c r="Y15" s="212"/>
      <c r="Z15" s="213">
        <f t="shared" ref="Z15:Z16" si="2">H52</f>
        <v>0</v>
      </c>
      <c r="AA15" s="214"/>
      <c r="AB15" s="2"/>
      <c r="AC15" s="2"/>
      <c r="AD15" s="2"/>
    </row>
    <row r="16" spans="1:30" ht="15.75" customHeight="1" x14ac:dyDescent="0.25">
      <c r="A16" s="2"/>
      <c r="B16" s="2"/>
      <c r="C16" s="2"/>
      <c r="D16" s="240"/>
      <c r="E16" s="224"/>
      <c r="F16" s="224"/>
      <c r="G16" s="241"/>
      <c r="H16" s="58">
        <v>0</v>
      </c>
      <c r="I16" s="11"/>
      <c r="J16" s="66"/>
      <c r="K16" s="59"/>
      <c r="L16" s="59"/>
      <c r="M16" s="59"/>
      <c r="N16" s="59"/>
      <c r="O16" s="59"/>
      <c r="P16" s="61">
        <v>0</v>
      </c>
      <c r="Q16" s="29"/>
      <c r="R16" s="234" t="s">
        <v>23</v>
      </c>
      <c r="S16" s="142"/>
      <c r="T16" s="235">
        <f t="shared" si="0"/>
        <v>0</v>
      </c>
      <c r="U16" s="236"/>
      <c r="V16" s="62" t="e">
        <f t="shared" si="1"/>
        <v>#DIV/0!</v>
      </c>
      <c r="W16" s="30"/>
      <c r="X16" s="237" t="s">
        <v>74</v>
      </c>
      <c r="Y16" s="238"/>
      <c r="Z16" s="228">
        <f t="shared" si="2"/>
        <v>0</v>
      </c>
      <c r="AA16" s="198"/>
      <c r="AB16" s="2"/>
      <c r="AC16" s="2"/>
      <c r="AD16" s="2"/>
    </row>
    <row r="17" spans="1:30" x14ac:dyDescent="0.3">
      <c r="A17" s="2"/>
      <c r="B17" s="2"/>
      <c r="C17" s="2"/>
      <c r="D17" s="226"/>
      <c r="E17" s="224"/>
      <c r="F17" s="224"/>
      <c r="G17" s="227"/>
      <c r="H17" s="54">
        <v>0</v>
      </c>
      <c r="I17" s="11"/>
      <c r="J17" s="63"/>
      <c r="K17" s="3"/>
      <c r="L17" s="3"/>
      <c r="M17" s="3"/>
      <c r="N17" s="3"/>
      <c r="O17" s="3"/>
      <c r="P17" s="64">
        <v>0</v>
      </c>
      <c r="Q17" s="29"/>
      <c r="R17" s="231" t="s">
        <v>24</v>
      </c>
      <c r="S17" s="232"/>
      <c r="T17" s="233">
        <f t="shared" si="0"/>
        <v>0</v>
      </c>
      <c r="U17" s="232"/>
      <c r="V17" s="57" t="e">
        <f t="shared" si="1"/>
        <v>#DIV/0!</v>
      </c>
      <c r="W17" s="30"/>
      <c r="X17" s="65" t="s">
        <v>14</v>
      </c>
      <c r="Y17" s="65"/>
      <c r="Z17" s="229">
        <f>SUM(Z13:Z16)</f>
        <v>0</v>
      </c>
      <c r="AA17" s="230"/>
      <c r="AB17" s="2"/>
      <c r="AC17" s="2"/>
      <c r="AD17" s="2"/>
    </row>
    <row r="18" spans="1:30" ht="15.75" customHeight="1" x14ac:dyDescent="0.25">
      <c r="A18" s="2"/>
      <c r="B18" s="2"/>
      <c r="C18" s="2"/>
      <c r="D18" s="240"/>
      <c r="E18" s="224"/>
      <c r="F18" s="224"/>
      <c r="G18" s="241"/>
      <c r="H18" s="58">
        <v>0</v>
      </c>
      <c r="I18" s="11"/>
      <c r="J18" s="66"/>
      <c r="K18" s="59"/>
      <c r="L18" s="59"/>
      <c r="M18" s="59"/>
      <c r="N18" s="59"/>
      <c r="O18" s="59"/>
      <c r="P18" s="61">
        <v>0</v>
      </c>
      <c r="Q18" s="29"/>
      <c r="R18" s="239" t="s">
        <v>25</v>
      </c>
      <c r="S18" s="236"/>
      <c r="T18" s="235">
        <f t="shared" si="0"/>
        <v>0</v>
      </c>
      <c r="U18" s="236"/>
      <c r="V18" s="62" t="e">
        <f t="shared" si="1"/>
        <v>#DIV/0!</v>
      </c>
      <c r="W18" s="30"/>
      <c r="X18" s="2"/>
      <c r="Y18" s="2"/>
      <c r="Z18" s="2"/>
      <c r="AA18" s="2"/>
      <c r="AB18" s="2"/>
      <c r="AC18" s="2"/>
      <c r="AD18" s="2"/>
    </row>
    <row r="19" spans="1:30" ht="15.75" customHeight="1" x14ac:dyDescent="0.25">
      <c r="A19" s="2"/>
      <c r="B19" s="2"/>
      <c r="C19" s="2"/>
      <c r="D19" s="226"/>
      <c r="E19" s="224"/>
      <c r="F19" s="224"/>
      <c r="G19" s="227"/>
      <c r="H19" s="54">
        <v>0</v>
      </c>
      <c r="I19" s="11"/>
      <c r="J19" s="63"/>
      <c r="K19" s="3"/>
      <c r="L19" s="3"/>
      <c r="M19" s="3"/>
      <c r="N19" s="3"/>
      <c r="O19" s="3"/>
      <c r="P19" s="64">
        <v>0</v>
      </c>
      <c r="Q19" s="29"/>
      <c r="R19" s="231" t="s">
        <v>26</v>
      </c>
      <c r="S19" s="232"/>
      <c r="T19" s="233">
        <f t="shared" si="0"/>
        <v>0</v>
      </c>
      <c r="U19" s="232"/>
      <c r="V19" s="57" t="e">
        <f t="shared" si="1"/>
        <v>#DIV/0!</v>
      </c>
      <c r="W19" s="30"/>
      <c r="X19" s="2"/>
      <c r="Y19" s="2"/>
      <c r="Z19" s="2"/>
      <c r="AA19" s="2"/>
      <c r="AB19" s="2"/>
      <c r="AC19" s="2"/>
      <c r="AD19" s="2"/>
    </row>
    <row r="20" spans="1:30" ht="15.75" customHeight="1" x14ac:dyDescent="0.25">
      <c r="A20" s="2"/>
      <c r="B20" s="2"/>
      <c r="C20" s="2"/>
      <c r="D20" s="240"/>
      <c r="E20" s="224"/>
      <c r="F20" s="224"/>
      <c r="G20" s="241"/>
      <c r="H20" s="58">
        <v>0</v>
      </c>
      <c r="I20" s="11"/>
      <c r="J20" s="66"/>
      <c r="K20" s="59"/>
      <c r="L20" s="59"/>
      <c r="M20" s="59"/>
      <c r="N20" s="59"/>
      <c r="O20" s="59"/>
      <c r="P20" s="61">
        <v>0</v>
      </c>
      <c r="Q20" s="29"/>
      <c r="R20" s="239" t="s">
        <v>27</v>
      </c>
      <c r="S20" s="236"/>
      <c r="T20" s="235">
        <f t="shared" si="0"/>
        <v>0</v>
      </c>
      <c r="U20" s="236"/>
      <c r="V20" s="62" t="e">
        <f t="shared" si="1"/>
        <v>#DIV/0!</v>
      </c>
      <c r="W20" s="30"/>
      <c r="X20" s="2"/>
      <c r="Y20" s="2"/>
      <c r="Z20" s="2"/>
      <c r="AA20" s="2"/>
      <c r="AB20" s="2"/>
      <c r="AC20" s="2"/>
      <c r="AD20" s="2"/>
    </row>
    <row r="21" spans="1:30" ht="15.75" customHeight="1" x14ac:dyDescent="0.25">
      <c r="A21" s="2"/>
      <c r="B21" s="2"/>
      <c r="C21" s="2"/>
      <c r="D21" s="226"/>
      <c r="E21" s="224"/>
      <c r="F21" s="224"/>
      <c r="G21" s="227"/>
      <c r="H21" s="54">
        <v>0</v>
      </c>
      <c r="I21" s="11"/>
      <c r="J21" s="63"/>
      <c r="K21" s="3"/>
      <c r="L21" s="3"/>
      <c r="M21" s="3"/>
      <c r="N21" s="3"/>
      <c r="O21" s="3"/>
      <c r="P21" s="64">
        <v>0</v>
      </c>
      <c r="Q21" s="29"/>
      <c r="R21" s="231" t="s">
        <v>28</v>
      </c>
      <c r="S21" s="232"/>
      <c r="T21" s="233">
        <f t="shared" si="0"/>
        <v>0</v>
      </c>
      <c r="U21" s="232"/>
      <c r="V21" s="57" t="e">
        <f t="shared" si="1"/>
        <v>#DIV/0!</v>
      </c>
      <c r="W21" s="30"/>
      <c r="X21" s="2"/>
      <c r="Y21" s="2"/>
      <c r="Z21" s="2"/>
      <c r="AA21" s="2"/>
      <c r="AB21" s="2"/>
      <c r="AC21" s="2"/>
      <c r="AD21" s="2"/>
    </row>
    <row r="22" spans="1:30" ht="15.75" customHeight="1" x14ac:dyDescent="0.25">
      <c r="A22" s="2"/>
      <c r="B22" s="2"/>
      <c r="C22" s="2"/>
      <c r="D22" s="28"/>
      <c r="E22" s="28"/>
      <c r="F22" s="28"/>
      <c r="G22" s="28"/>
      <c r="H22" s="28"/>
      <c r="I22" s="11"/>
      <c r="J22" s="66"/>
      <c r="K22" s="59"/>
      <c r="L22" s="59"/>
      <c r="M22" s="59"/>
      <c r="N22" s="59"/>
      <c r="O22" s="59"/>
      <c r="P22" s="61">
        <v>0</v>
      </c>
      <c r="Q22" s="29"/>
      <c r="R22" s="239" t="s">
        <v>29</v>
      </c>
      <c r="S22" s="236"/>
      <c r="T22" s="235">
        <f t="shared" si="0"/>
        <v>0</v>
      </c>
      <c r="U22" s="236"/>
      <c r="V22" s="62" t="e">
        <f t="shared" si="1"/>
        <v>#DIV/0!</v>
      </c>
      <c r="W22" s="30"/>
      <c r="X22" s="2"/>
      <c r="Y22" s="2"/>
      <c r="Z22" s="2"/>
      <c r="AA22" s="2"/>
      <c r="AB22" s="2"/>
      <c r="AC22" s="2"/>
      <c r="AD22" s="2"/>
    </row>
    <row r="23" spans="1:30" ht="15.75" customHeight="1" x14ac:dyDescent="0.25">
      <c r="A23" s="2"/>
      <c r="B23" s="2"/>
      <c r="C23" s="11"/>
      <c r="D23" s="242" t="s">
        <v>15</v>
      </c>
      <c r="E23" s="209"/>
      <c r="F23" s="209"/>
      <c r="G23" s="209"/>
      <c r="H23" s="129"/>
      <c r="I23" s="29"/>
      <c r="J23" s="63"/>
      <c r="K23" s="3"/>
      <c r="L23" s="3"/>
      <c r="M23" s="3"/>
      <c r="N23" s="3"/>
      <c r="O23" s="3"/>
      <c r="P23" s="64">
        <v>0</v>
      </c>
      <c r="Q23" s="29"/>
      <c r="R23" s="231" t="s">
        <v>30</v>
      </c>
      <c r="S23" s="232"/>
      <c r="T23" s="233">
        <f t="shared" si="0"/>
        <v>0</v>
      </c>
      <c r="U23" s="232"/>
      <c r="V23" s="57" t="e">
        <f t="shared" si="1"/>
        <v>#DIV/0!</v>
      </c>
      <c r="W23" s="30"/>
      <c r="X23" s="2"/>
      <c r="Y23" s="2"/>
      <c r="Z23" s="2"/>
      <c r="AA23" s="2"/>
      <c r="AB23" s="2"/>
      <c r="AC23" s="2"/>
      <c r="AD23" s="2"/>
    </row>
    <row r="24" spans="1:30" ht="15.75" customHeight="1" x14ac:dyDescent="0.25">
      <c r="A24" s="2"/>
      <c r="B24" s="2"/>
      <c r="C24" s="11"/>
      <c r="D24" s="130"/>
      <c r="E24" s="200"/>
      <c r="F24" s="200"/>
      <c r="G24" s="200"/>
      <c r="H24" s="131"/>
      <c r="I24" s="29"/>
      <c r="J24" s="66"/>
      <c r="K24" s="59"/>
      <c r="L24" s="59"/>
      <c r="M24" s="59"/>
      <c r="N24" s="59"/>
      <c r="O24" s="59"/>
      <c r="P24" s="61">
        <v>0</v>
      </c>
      <c r="Q24" s="29"/>
      <c r="R24" s="239" t="s">
        <v>31</v>
      </c>
      <c r="S24" s="236"/>
      <c r="T24" s="235">
        <f t="shared" si="0"/>
        <v>0</v>
      </c>
      <c r="U24" s="236"/>
      <c r="V24" s="62" t="e">
        <f t="shared" si="1"/>
        <v>#DIV/0!</v>
      </c>
      <c r="W24" s="30"/>
      <c r="X24" s="67"/>
      <c r="Y24" s="67"/>
      <c r="Z24" s="67"/>
      <c r="AA24" s="67"/>
      <c r="AB24" s="2"/>
      <c r="AC24" s="2"/>
      <c r="AD24" s="2"/>
    </row>
    <row r="25" spans="1:30" ht="15.75" customHeight="1" x14ac:dyDescent="0.25">
      <c r="A25" s="2"/>
      <c r="B25" s="2"/>
      <c r="C25" s="11"/>
      <c r="D25" s="275" t="s">
        <v>62</v>
      </c>
      <c r="E25" s="224"/>
      <c r="F25" s="119"/>
      <c r="G25" s="68" t="s">
        <v>75</v>
      </c>
      <c r="H25" s="69" t="s">
        <v>76</v>
      </c>
      <c r="I25" s="29"/>
      <c r="J25" s="63"/>
      <c r="K25" s="3"/>
      <c r="L25" s="3"/>
      <c r="M25" s="3"/>
      <c r="N25" s="3"/>
      <c r="O25" s="3"/>
      <c r="P25" s="64">
        <v>0</v>
      </c>
      <c r="Q25" s="29"/>
      <c r="R25" s="231" t="s">
        <v>32</v>
      </c>
      <c r="S25" s="232"/>
      <c r="T25" s="233">
        <f t="shared" si="0"/>
        <v>0</v>
      </c>
      <c r="U25" s="232"/>
      <c r="V25" s="57" t="e">
        <f t="shared" si="1"/>
        <v>#DIV/0!</v>
      </c>
      <c r="W25" s="2"/>
      <c r="X25" s="2"/>
      <c r="Y25" s="2"/>
      <c r="Z25" s="2"/>
      <c r="AA25" s="2"/>
      <c r="AB25" s="2"/>
      <c r="AC25" s="2"/>
      <c r="AD25" s="2"/>
    </row>
    <row r="26" spans="1:30" ht="15.75" customHeight="1" x14ac:dyDescent="0.25">
      <c r="A26" s="2"/>
      <c r="B26" s="2"/>
      <c r="C26" s="11"/>
      <c r="D26" s="276"/>
      <c r="E26" s="277"/>
      <c r="F26" s="142"/>
      <c r="G26" s="70"/>
      <c r="H26" s="71"/>
      <c r="I26" s="29"/>
      <c r="J26" s="66"/>
      <c r="K26" s="59"/>
      <c r="L26" s="59"/>
      <c r="M26" s="59"/>
      <c r="N26" s="59"/>
      <c r="O26" s="59"/>
      <c r="P26" s="61">
        <v>0</v>
      </c>
      <c r="Q26" s="29"/>
      <c r="R26" s="239" t="s">
        <v>33</v>
      </c>
      <c r="S26" s="236"/>
      <c r="T26" s="235">
        <f t="shared" si="0"/>
        <v>0</v>
      </c>
      <c r="U26" s="236"/>
      <c r="V26" s="62" t="e">
        <f t="shared" si="1"/>
        <v>#DIV/0!</v>
      </c>
      <c r="W26" s="29"/>
      <c r="X26" s="278" t="s">
        <v>77</v>
      </c>
      <c r="Y26" s="224"/>
      <c r="Z26" s="224"/>
      <c r="AA26" s="119"/>
      <c r="AB26" s="30"/>
      <c r="AC26" s="2"/>
      <c r="AD26" s="2"/>
    </row>
    <row r="27" spans="1:30" x14ac:dyDescent="0.3">
      <c r="A27" s="2"/>
      <c r="B27" s="2"/>
      <c r="C27" s="11"/>
      <c r="D27" s="279"/>
      <c r="E27" s="245"/>
      <c r="F27" s="280"/>
      <c r="G27" s="72"/>
      <c r="H27" s="73"/>
      <c r="I27" s="29"/>
      <c r="J27" s="63"/>
      <c r="K27" s="3"/>
      <c r="L27" s="3"/>
      <c r="M27" s="3"/>
      <c r="N27" s="3"/>
      <c r="O27" s="3"/>
      <c r="P27" s="64">
        <v>0</v>
      </c>
      <c r="Q27" s="29"/>
      <c r="R27" s="231" t="s">
        <v>34</v>
      </c>
      <c r="S27" s="232"/>
      <c r="T27" s="233">
        <f t="shared" si="0"/>
        <v>0</v>
      </c>
      <c r="U27" s="232"/>
      <c r="V27" s="57" t="e">
        <f t="shared" si="1"/>
        <v>#DIV/0!</v>
      </c>
      <c r="W27" s="29"/>
      <c r="X27" s="270" t="s">
        <v>78</v>
      </c>
      <c r="Y27" s="119"/>
      <c r="Z27" s="74">
        <f>SUMIF(M59:N119,"Tarjeta de débito",O59:P119)+SUMIF(N15:N39,"Tarjeta de débito",M15:M39)</f>
        <v>0</v>
      </c>
      <c r="AA27" s="75" t="e">
        <f t="shared" ref="AA27:AA30" si="3">Z27*1/$U$8</f>
        <v>#DIV/0!</v>
      </c>
      <c r="AB27" s="30"/>
      <c r="AC27" s="2"/>
      <c r="AD27" s="2"/>
    </row>
    <row r="28" spans="1:30" x14ac:dyDescent="0.3">
      <c r="A28" s="2"/>
      <c r="B28" s="2"/>
      <c r="C28" s="11"/>
      <c r="D28" s="286"/>
      <c r="E28" s="245"/>
      <c r="F28" s="236"/>
      <c r="G28" s="76"/>
      <c r="H28" s="77"/>
      <c r="I28" s="29"/>
      <c r="J28" s="66"/>
      <c r="K28" s="59"/>
      <c r="L28" s="59"/>
      <c r="M28" s="59"/>
      <c r="N28" s="59"/>
      <c r="O28" s="59"/>
      <c r="P28" s="61">
        <v>0</v>
      </c>
      <c r="Q28" s="29"/>
      <c r="R28" s="78" t="s">
        <v>35</v>
      </c>
      <c r="S28" s="79"/>
      <c r="T28" s="235">
        <f t="shared" si="0"/>
        <v>0</v>
      </c>
      <c r="U28" s="236"/>
      <c r="V28" s="62" t="e">
        <f t="shared" si="1"/>
        <v>#DIV/0!</v>
      </c>
      <c r="W28" s="29"/>
      <c r="X28" s="281" t="s">
        <v>31</v>
      </c>
      <c r="Y28" s="119"/>
      <c r="Z28" s="80">
        <f>SUMIF(M59:N119,"Tarjeta de crédito",O59:P119)+SUMIF(N15:N39,"Tarjeta de crédito",M15:M39)</f>
        <v>0</v>
      </c>
      <c r="AA28" s="75" t="e">
        <f t="shared" si="3"/>
        <v>#DIV/0!</v>
      </c>
      <c r="AB28" s="30"/>
      <c r="AC28" s="2"/>
      <c r="AD28" s="2"/>
    </row>
    <row r="29" spans="1:30" x14ac:dyDescent="0.3">
      <c r="A29" s="2"/>
      <c r="B29" s="2"/>
      <c r="C29" s="11"/>
      <c r="D29" s="279"/>
      <c r="E29" s="245"/>
      <c r="F29" s="280"/>
      <c r="G29" s="72"/>
      <c r="H29" s="73"/>
      <c r="I29" s="29"/>
      <c r="J29" s="63"/>
      <c r="K29" s="3"/>
      <c r="L29" s="3"/>
      <c r="M29" s="3"/>
      <c r="N29" s="3"/>
      <c r="O29" s="3"/>
      <c r="P29" s="64">
        <v>0</v>
      </c>
      <c r="Q29" s="29"/>
      <c r="R29" s="231" t="s">
        <v>79</v>
      </c>
      <c r="S29" s="232"/>
      <c r="T29" s="233">
        <f t="shared" si="0"/>
        <v>0</v>
      </c>
      <c r="U29" s="232"/>
      <c r="V29" s="57" t="e">
        <f t="shared" si="1"/>
        <v>#DIV/0!</v>
      </c>
      <c r="W29" s="29"/>
      <c r="X29" s="282" t="s">
        <v>80</v>
      </c>
      <c r="Y29" s="119"/>
      <c r="Z29" s="80">
        <f>SUMIF(M59:N119,"Efectivo",O59:P119)+SUMIF(N15:N39,"Efectivo",M15:M39)</f>
        <v>0</v>
      </c>
      <c r="AA29" s="75" t="e">
        <f t="shared" si="3"/>
        <v>#DIV/0!</v>
      </c>
      <c r="AB29" s="30"/>
      <c r="AC29" s="2"/>
      <c r="AD29" s="2"/>
    </row>
    <row r="30" spans="1:30" x14ac:dyDescent="0.3">
      <c r="A30" s="2"/>
      <c r="B30" s="2"/>
      <c r="C30" s="11"/>
      <c r="D30" s="286"/>
      <c r="E30" s="245"/>
      <c r="F30" s="236"/>
      <c r="G30" s="76"/>
      <c r="H30" s="77"/>
      <c r="I30" s="29"/>
      <c r="J30" s="66"/>
      <c r="K30" s="59"/>
      <c r="L30" s="59"/>
      <c r="M30" s="59"/>
      <c r="N30" s="59"/>
      <c r="O30" s="59"/>
      <c r="P30" s="61">
        <v>0</v>
      </c>
      <c r="Q30" s="29"/>
      <c r="R30" s="78" t="s">
        <v>37</v>
      </c>
      <c r="S30" s="79"/>
      <c r="T30" s="235">
        <f t="shared" si="0"/>
        <v>0</v>
      </c>
      <c r="U30" s="236"/>
      <c r="V30" s="62" t="e">
        <f t="shared" si="1"/>
        <v>#DIV/0!</v>
      </c>
      <c r="W30" s="29"/>
      <c r="X30" s="283" t="s">
        <v>72</v>
      </c>
      <c r="Y30" s="119"/>
      <c r="Z30" s="74">
        <f>SUMIF(M59:N119,"Transferencia",O59:P119)+SUMIF(N15:N39,"Transferencia",M15:M39)</f>
        <v>0</v>
      </c>
      <c r="AA30" s="75" t="e">
        <f t="shared" si="3"/>
        <v>#DIV/0!</v>
      </c>
      <c r="AB30" s="30"/>
      <c r="AC30" s="2"/>
      <c r="AD30" s="2"/>
    </row>
    <row r="31" spans="1:30" ht="15.75" customHeight="1" x14ac:dyDescent="0.25">
      <c r="A31" s="2"/>
      <c r="B31" s="2"/>
      <c r="C31" s="11"/>
      <c r="D31" s="279"/>
      <c r="E31" s="245"/>
      <c r="F31" s="280"/>
      <c r="G31" s="72"/>
      <c r="H31" s="73"/>
      <c r="I31" s="29"/>
      <c r="J31" s="63"/>
      <c r="K31" s="3"/>
      <c r="L31" s="3"/>
      <c r="M31" s="3"/>
      <c r="N31" s="3"/>
      <c r="O31" s="3"/>
      <c r="P31" s="64">
        <v>0</v>
      </c>
      <c r="Q31" s="29"/>
      <c r="R31" s="231" t="s">
        <v>38</v>
      </c>
      <c r="S31" s="232"/>
      <c r="T31" s="233">
        <f t="shared" si="0"/>
        <v>0</v>
      </c>
      <c r="U31" s="232"/>
      <c r="V31" s="57" t="e">
        <f t="shared" si="1"/>
        <v>#DIV/0!</v>
      </c>
      <c r="W31" s="2"/>
      <c r="X31" s="28"/>
      <c r="Y31" s="28"/>
      <c r="Z31" s="28"/>
      <c r="AA31" s="28"/>
      <c r="AB31" s="2"/>
      <c r="AC31" s="2"/>
      <c r="AD31" s="2"/>
    </row>
    <row r="32" spans="1:30" ht="15.75" customHeight="1" x14ac:dyDescent="0.25">
      <c r="A32" s="2"/>
      <c r="B32" s="2"/>
      <c r="C32" s="11"/>
      <c r="D32" s="286"/>
      <c r="E32" s="245"/>
      <c r="F32" s="236"/>
      <c r="G32" s="76"/>
      <c r="H32" s="77"/>
      <c r="I32" s="29"/>
      <c r="J32" s="81"/>
      <c r="K32" s="82"/>
      <c r="L32" s="82"/>
      <c r="M32" s="82"/>
      <c r="N32" s="82"/>
      <c r="O32" s="82"/>
      <c r="P32" s="83">
        <v>0</v>
      </c>
      <c r="Q32" s="29"/>
      <c r="R32" s="78" t="s">
        <v>39</v>
      </c>
      <c r="S32" s="79"/>
      <c r="T32" s="235">
        <f t="shared" si="0"/>
        <v>0</v>
      </c>
      <c r="U32" s="236"/>
      <c r="V32" s="62" t="e">
        <f t="shared" si="1"/>
        <v>#DIV/0!</v>
      </c>
      <c r="W32" s="29"/>
      <c r="X32" s="284" t="s">
        <v>81</v>
      </c>
      <c r="Y32" s="209"/>
      <c r="Z32" s="209"/>
      <c r="AA32" s="129"/>
      <c r="AB32" s="30"/>
      <c r="AC32" s="2"/>
      <c r="AD32" s="2"/>
    </row>
    <row r="33" spans="1:30" ht="15.75" customHeight="1" x14ac:dyDescent="0.25">
      <c r="A33" s="2"/>
      <c r="B33" s="2"/>
      <c r="C33" s="11"/>
      <c r="D33" s="279"/>
      <c r="E33" s="245"/>
      <c r="F33" s="280"/>
      <c r="G33" s="72"/>
      <c r="H33" s="73"/>
      <c r="I33" s="29"/>
      <c r="J33" s="84"/>
      <c r="K33" s="85"/>
      <c r="L33" s="85"/>
      <c r="M33" s="85"/>
      <c r="N33" s="85"/>
      <c r="O33" s="85"/>
      <c r="P33" s="86">
        <v>0</v>
      </c>
      <c r="Q33" s="29"/>
      <c r="R33" s="231" t="s">
        <v>40</v>
      </c>
      <c r="S33" s="232"/>
      <c r="T33" s="233">
        <f t="shared" si="0"/>
        <v>0</v>
      </c>
      <c r="U33" s="232"/>
      <c r="V33" s="57" t="e">
        <f t="shared" si="1"/>
        <v>#DIV/0!</v>
      </c>
      <c r="W33" s="29"/>
      <c r="X33" s="130"/>
      <c r="Y33" s="200"/>
      <c r="Z33" s="200"/>
      <c r="AA33" s="131"/>
      <c r="AB33" s="30"/>
      <c r="AC33" s="2"/>
      <c r="AD33" s="2"/>
    </row>
    <row r="34" spans="1:30" x14ac:dyDescent="0.3">
      <c r="A34" s="2"/>
      <c r="B34" s="2"/>
      <c r="C34" s="11"/>
      <c r="D34" s="287"/>
      <c r="E34" s="245"/>
      <c r="F34" s="236"/>
      <c r="G34" s="87"/>
      <c r="H34" s="88"/>
      <c r="I34" s="29"/>
      <c r="J34" s="81"/>
      <c r="K34" s="82"/>
      <c r="L34" s="82"/>
      <c r="M34" s="82"/>
      <c r="N34" s="82"/>
      <c r="O34" s="82"/>
      <c r="P34" s="83">
        <v>0</v>
      </c>
      <c r="Q34" s="29"/>
      <c r="R34" s="78" t="s">
        <v>41</v>
      </c>
      <c r="S34" s="79"/>
      <c r="T34" s="235">
        <f t="shared" si="0"/>
        <v>0</v>
      </c>
      <c r="U34" s="236"/>
      <c r="V34" s="62" t="e">
        <f t="shared" si="1"/>
        <v>#DIV/0!</v>
      </c>
      <c r="W34" s="29"/>
      <c r="X34" s="285" t="s">
        <v>82</v>
      </c>
      <c r="Y34" s="224"/>
      <c r="Z34" s="224"/>
      <c r="AA34" s="119"/>
      <c r="AB34" s="30"/>
      <c r="AC34" s="2"/>
      <c r="AD34" s="2"/>
    </row>
    <row r="35" spans="1:30" ht="15.75" customHeight="1" x14ac:dyDescent="0.25">
      <c r="A35" s="2"/>
      <c r="B35" s="2"/>
      <c r="C35" s="11"/>
      <c r="D35" s="304"/>
      <c r="E35" s="194"/>
      <c r="F35" s="305"/>
      <c r="G35" s="89"/>
      <c r="H35" s="90"/>
      <c r="I35" s="29"/>
      <c r="J35" s="84"/>
      <c r="K35" s="85"/>
      <c r="L35" s="85"/>
      <c r="M35" s="85"/>
      <c r="N35" s="85"/>
      <c r="O35" s="85"/>
      <c r="P35" s="86">
        <v>0</v>
      </c>
      <c r="Q35" s="29"/>
      <c r="R35" s="231" t="s">
        <v>42</v>
      </c>
      <c r="S35" s="232"/>
      <c r="T35" s="233">
        <f t="shared" si="0"/>
        <v>0</v>
      </c>
      <c r="U35" s="232"/>
      <c r="V35" s="57" t="e">
        <f t="shared" si="1"/>
        <v>#DIV/0!</v>
      </c>
      <c r="W35" s="29"/>
      <c r="X35" s="294" t="s">
        <v>83</v>
      </c>
      <c r="Y35" s="295"/>
      <c r="Z35" s="296">
        <f>W8</f>
        <v>0</v>
      </c>
      <c r="AA35" s="258"/>
      <c r="AB35" s="30"/>
      <c r="AC35" s="2"/>
      <c r="AD35" s="2"/>
    </row>
    <row r="36" spans="1:30" x14ac:dyDescent="0.3">
      <c r="A36" s="2"/>
      <c r="B36" s="2"/>
      <c r="C36" s="11"/>
      <c r="D36" s="306" t="s">
        <v>84</v>
      </c>
      <c r="E36" s="129"/>
      <c r="F36" s="307" t="s">
        <v>85</v>
      </c>
      <c r="G36" s="308"/>
      <c r="H36" s="91">
        <f>SUM(G26:G35)</f>
        <v>0</v>
      </c>
      <c r="I36" s="29"/>
      <c r="J36" s="81"/>
      <c r="K36" s="82"/>
      <c r="L36" s="82"/>
      <c r="M36" s="82"/>
      <c r="N36" s="82"/>
      <c r="O36" s="82"/>
      <c r="P36" s="83">
        <v>0</v>
      </c>
      <c r="Q36" s="29"/>
      <c r="R36" s="78" t="s">
        <v>43</v>
      </c>
      <c r="S36" s="79"/>
      <c r="T36" s="235">
        <f t="shared" si="0"/>
        <v>0</v>
      </c>
      <c r="U36" s="236"/>
      <c r="V36" s="62" t="e">
        <f t="shared" si="1"/>
        <v>#DIV/0!</v>
      </c>
      <c r="W36" s="29"/>
      <c r="X36" s="285" t="s">
        <v>86</v>
      </c>
      <c r="Y36" s="224"/>
      <c r="Z36" s="224"/>
      <c r="AA36" s="119"/>
      <c r="AB36" s="30"/>
      <c r="AC36" s="2"/>
      <c r="AD36" s="2"/>
    </row>
    <row r="37" spans="1:30" ht="13" x14ac:dyDescent="0.3">
      <c r="A37" s="2"/>
      <c r="B37" s="2"/>
      <c r="C37" s="11"/>
      <c r="D37" s="130"/>
      <c r="E37" s="131"/>
      <c r="F37" s="309" t="s">
        <v>87</v>
      </c>
      <c r="G37" s="310"/>
      <c r="H37" s="92">
        <f>SUM(H26:H35)</f>
        <v>0</v>
      </c>
      <c r="I37" s="29"/>
      <c r="J37" s="84"/>
      <c r="K37" s="85"/>
      <c r="L37" s="85"/>
      <c r="M37" s="85"/>
      <c r="N37" s="85"/>
      <c r="O37" s="85"/>
      <c r="P37" s="86">
        <v>0</v>
      </c>
      <c r="Q37" s="29"/>
      <c r="R37" s="231" t="s">
        <v>88</v>
      </c>
      <c r="S37" s="232"/>
      <c r="T37" s="233">
        <f t="shared" si="0"/>
        <v>0</v>
      </c>
      <c r="U37" s="232"/>
      <c r="V37" s="57" t="e">
        <f t="shared" si="1"/>
        <v>#DIV/0!</v>
      </c>
      <c r="W37" s="29"/>
      <c r="X37" s="297" t="s">
        <v>89</v>
      </c>
      <c r="Y37" s="298"/>
      <c r="Z37" s="299"/>
      <c r="AA37" s="300"/>
      <c r="AB37" s="30"/>
      <c r="AC37" s="2"/>
      <c r="AD37" s="2"/>
    </row>
    <row r="38" spans="1:30" ht="12.5" x14ac:dyDescent="0.25">
      <c r="A38" s="2"/>
      <c r="B38" s="2"/>
      <c r="C38" s="2"/>
      <c r="D38" s="36"/>
      <c r="E38" s="36"/>
      <c r="F38" s="36"/>
      <c r="G38" s="36"/>
      <c r="H38" s="36"/>
      <c r="I38" s="11"/>
      <c r="J38" s="81"/>
      <c r="K38" s="82"/>
      <c r="L38" s="82"/>
      <c r="M38" s="82"/>
      <c r="N38" s="82"/>
      <c r="O38" s="82"/>
      <c r="P38" s="83">
        <v>0</v>
      </c>
      <c r="Q38" s="29"/>
      <c r="R38" s="93"/>
      <c r="S38" s="2"/>
      <c r="T38" s="2"/>
      <c r="U38" s="2"/>
      <c r="V38" s="94"/>
      <c r="W38" s="29"/>
      <c r="X38" s="301" t="s">
        <v>80</v>
      </c>
      <c r="Y38" s="302"/>
      <c r="Z38" s="288"/>
      <c r="AA38" s="289"/>
      <c r="AB38" s="30"/>
      <c r="AC38" s="2"/>
      <c r="AD38" s="2"/>
    </row>
    <row r="39" spans="1:30" ht="13" x14ac:dyDescent="0.25">
      <c r="A39" s="2"/>
      <c r="B39" s="2"/>
      <c r="C39" s="11"/>
      <c r="D39" s="311" t="s">
        <v>90</v>
      </c>
      <c r="E39" s="209"/>
      <c r="F39" s="209"/>
      <c r="G39" s="312"/>
      <c r="H39" s="129"/>
      <c r="I39" s="29"/>
      <c r="J39" s="84"/>
      <c r="K39" s="85"/>
      <c r="L39" s="85"/>
      <c r="M39" s="85"/>
      <c r="N39" s="85"/>
      <c r="O39" s="85"/>
      <c r="P39" s="86">
        <v>0</v>
      </c>
      <c r="Q39" s="29"/>
      <c r="R39" s="271"/>
      <c r="S39" s="232"/>
      <c r="T39" s="274"/>
      <c r="U39" s="232"/>
      <c r="V39" s="95"/>
      <c r="W39" s="29"/>
      <c r="X39" s="303" t="s">
        <v>91</v>
      </c>
      <c r="Y39" s="129"/>
      <c r="Z39" s="290">
        <f>(Z38+Z37)-Z35</f>
        <v>0</v>
      </c>
      <c r="AA39" s="119"/>
      <c r="AB39" s="30"/>
      <c r="AC39" s="2"/>
      <c r="AD39" s="2"/>
    </row>
    <row r="40" spans="1:30" ht="13" x14ac:dyDescent="0.3">
      <c r="A40" s="2"/>
      <c r="B40" s="2"/>
      <c r="C40" s="11"/>
      <c r="D40" s="130"/>
      <c r="E40" s="200"/>
      <c r="F40" s="200"/>
      <c r="G40" s="130"/>
      <c r="H40" s="131"/>
      <c r="I40" s="29"/>
      <c r="J40" s="96" t="s">
        <v>14</v>
      </c>
      <c r="K40" s="97"/>
      <c r="L40" s="97">
        <f t="shared" ref="L40:M40" si="4">SUM(L15:L39)</f>
        <v>0</v>
      </c>
      <c r="M40" s="97">
        <f t="shared" si="4"/>
        <v>0</v>
      </c>
      <c r="N40" s="97"/>
      <c r="O40" s="97"/>
      <c r="P40" s="98"/>
      <c r="Q40" s="29"/>
      <c r="R40" s="272" t="s">
        <v>14</v>
      </c>
      <c r="S40" s="273"/>
      <c r="T40" s="291">
        <f>SUM(T15:U39)</f>
        <v>0</v>
      </c>
      <c r="U40" s="224"/>
      <c r="V40" s="119"/>
      <c r="W40" s="29"/>
      <c r="X40" s="130"/>
      <c r="Y40" s="131"/>
      <c r="Z40" s="290" t="str">
        <f>IF(Z39&lt;0,"Te falta dinero o anotar algo", "Te sobra dinero o anotar algo")</f>
        <v>Te sobra dinero o anotar algo</v>
      </c>
      <c r="AA40" s="119"/>
      <c r="AB40" s="30"/>
      <c r="AC40" s="2"/>
      <c r="AD40" s="2"/>
    </row>
    <row r="41" spans="1:30" ht="12.5" x14ac:dyDescent="0.25">
      <c r="A41" s="2"/>
      <c r="B41" s="2"/>
      <c r="C41" s="2"/>
      <c r="D41" s="35"/>
      <c r="E41" s="35"/>
      <c r="F41" s="35"/>
      <c r="G41" s="35"/>
      <c r="H41" s="35"/>
      <c r="I41" s="2"/>
      <c r="J41" s="99"/>
      <c r="K41" s="99"/>
      <c r="L41" s="99"/>
      <c r="M41" s="99"/>
      <c r="N41" s="99"/>
      <c r="O41" s="99"/>
      <c r="P41" s="99"/>
      <c r="Q41" s="28"/>
      <c r="R41" s="36"/>
      <c r="S41" s="36"/>
      <c r="T41" s="36"/>
      <c r="U41" s="36"/>
      <c r="V41" s="36"/>
      <c r="W41" s="2"/>
      <c r="X41" s="35"/>
      <c r="Y41" s="35"/>
      <c r="Z41" s="35"/>
      <c r="AA41" s="35"/>
      <c r="AB41" s="2"/>
      <c r="AC41" s="2"/>
      <c r="AD41" s="2"/>
    </row>
    <row r="42" spans="1:30" ht="13" x14ac:dyDescent="0.3">
      <c r="A42" s="2"/>
      <c r="B42" s="2"/>
      <c r="C42" s="2"/>
      <c r="D42" s="313" t="s">
        <v>92</v>
      </c>
      <c r="E42" s="209"/>
      <c r="F42" s="209"/>
      <c r="G42" s="209"/>
      <c r="H42" s="129"/>
      <c r="I42" s="11"/>
      <c r="J42" s="292" t="s">
        <v>93</v>
      </c>
      <c r="K42" s="224"/>
      <c r="L42" s="224"/>
      <c r="M42" s="224"/>
      <c r="N42" s="224"/>
      <c r="O42" s="224"/>
      <c r="P42" s="224"/>
      <c r="Q42" s="224"/>
      <c r="R42" s="224"/>
      <c r="S42" s="100">
        <f>M40+O120</f>
        <v>0</v>
      </c>
      <c r="T42" s="293"/>
      <c r="U42" s="224"/>
      <c r="V42" s="119"/>
      <c r="W42" s="30"/>
      <c r="X42" s="2"/>
      <c r="Y42" s="2"/>
      <c r="Z42" s="2"/>
      <c r="AA42" s="2"/>
      <c r="AB42" s="2"/>
      <c r="AC42" s="2"/>
      <c r="AD42" s="2"/>
    </row>
    <row r="43" spans="1:30" ht="12.5" x14ac:dyDescent="0.25">
      <c r="A43" s="2"/>
      <c r="B43" s="2"/>
      <c r="C43" s="2"/>
      <c r="D43" s="130"/>
      <c r="E43" s="200"/>
      <c r="F43" s="200"/>
      <c r="G43" s="200"/>
      <c r="H43" s="131"/>
      <c r="I43" s="2"/>
      <c r="J43" s="4"/>
      <c r="K43" s="4"/>
      <c r="L43" s="4"/>
      <c r="M43" s="4"/>
      <c r="N43" s="4"/>
      <c r="O43" s="4"/>
      <c r="P43" s="4"/>
      <c r="Q43" s="35"/>
      <c r="R43" s="35"/>
      <c r="S43" s="35"/>
      <c r="T43" s="35"/>
      <c r="U43" s="35"/>
      <c r="V43" s="35"/>
      <c r="W43" s="2"/>
      <c r="X43" s="2"/>
      <c r="Y43" s="2"/>
      <c r="Z43" s="2"/>
      <c r="AA43" s="2"/>
      <c r="AB43" s="2"/>
      <c r="AC43" s="2"/>
      <c r="AD43" s="2"/>
    </row>
    <row r="44" spans="1:30" ht="13" x14ac:dyDescent="0.25">
      <c r="A44" s="2"/>
      <c r="B44" s="2"/>
      <c r="C44" s="2"/>
      <c r="D44" s="324" t="s">
        <v>62</v>
      </c>
      <c r="E44" s="224"/>
      <c r="F44" s="325"/>
      <c r="G44" s="101" t="s">
        <v>94</v>
      </c>
      <c r="H44" s="102" t="s">
        <v>95</v>
      </c>
      <c r="I44" s="2"/>
      <c r="J44" s="3"/>
      <c r="K44" s="3"/>
      <c r="L44" s="3"/>
      <c r="M44" s="3"/>
      <c r="N44" s="3"/>
      <c r="O44" s="3"/>
      <c r="P44" s="3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2.5" x14ac:dyDescent="0.25">
      <c r="A45" s="2"/>
      <c r="B45" s="2"/>
      <c r="C45" s="11"/>
      <c r="D45" s="326"/>
      <c r="E45" s="327"/>
      <c r="F45" s="230"/>
      <c r="G45" s="103"/>
      <c r="H45" s="104"/>
      <c r="I45" s="30"/>
      <c r="J45" s="3"/>
      <c r="K45" s="3"/>
      <c r="L45" s="3"/>
      <c r="M45" s="3"/>
      <c r="N45" s="3"/>
      <c r="O45" s="3"/>
      <c r="P45" s="3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2.5" x14ac:dyDescent="0.25">
      <c r="A46" s="2"/>
      <c r="B46" s="2"/>
      <c r="C46" s="11"/>
      <c r="D46" s="328"/>
      <c r="E46" s="245"/>
      <c r="F46" s="329"/>
      <c r="G46" s="105"/>
      <c r="H46" s="106"/>
      <c r="I46" s="30"/>
      <c r="J46" s="3"/>
      <c r="K46" s="3"/>
      <c r="L46" s="3"/>
      <c r="M46" s="3"/>
      <c r="N46" s="3"/>
      <c r="O46" s="3"/>
      <c r="P46" s="3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2.5" x14ac:dyDescent="0.25">
      <c r="A47" s="2"/>
      <c r="B47" s="2"/>
      <c r="C47" s="11"/>
      <c r="D47" s="330"/>
      <c r="E47" s="245"/>
      <c r="F47" s="236"/>
      <c r="G47" s="2"/>
      <c r="H47" s="94"/>
      <c r="I47" s="30"/>
      <c r="J47" s="3"/>
      <c r="K47" s="3"/>
      <c r="L47" s="3"/>
      <c r="M47" s="3"/>
      <c r="N47" s="3"/>
      <c r="O47" s="3"/>
      <c r="P47" s="3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2.5" x14ac:dyDescent="0.25">
      <c r="A48" s="2"/>
      <c r="B48" s="2"/>
      <c r="C48" s="11"/>
      <c r="D48" s="328"/>
      <c r="E48" s="245"/>
      <c r="F48" s="329"/>
      <c r="G48" s="105"/>
      <c r="H48" s="106"/>
      <c r="I48" s="30"/>
      <c r="J48" s="3"/>
      <c r="K48" s="3"/>
      <c r="L48" s="3"/>
      <c r="M48" s="3"/>
      <c r="N48" s="3"/>
      <c r="O48" s="3"/>
      <c r="P48" s="3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2.5" x14ac:dyDescent="0.25">
      <c r="A49" s="2"/>
      <c r="B49" s="2"/>
      <c r="C49" s="11"/>
      <c r="D49" s="330"/>
      <c r="E49" s="245"/>
      <c r="F49" s="236"/>
      <c r="G49" s="2"/>
      <c r="H49" s="94"/>
      <c r="I49" s="30"/>
      <c r="J49" s="3"/>
      <c r="K49" s="3"/>
      <c r="L49" s="3"/>
      <c r="M49" s="3"/>
      <c r="N49" s="3"/>
      <c r="O49" s="3"/>
      <c r="P49" s="3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2.5" x14ac:dyDescent="0.25">
      <c r="A50" s="2"/>
      <c r="B50" s="2"/>
      <c r="C50" s="11"/>
      <c r="D50" s="328"/>
      <c r="E50" s="245"/>
      <c r="F50" s="329"/>
      <c r="G50" s="105"/>
      <c r="H50" s="106"/>
      <c r="I50" s="30"/>
      <c r="J50" s="3"/>
      <c r="K50" s="3"/>
      <c r="L50" s="3"/>
      <c r="M50" s="3"/>
      <c r="N50" s="3"/>
      <c r="O50" s="3"/>
      <c r="P50" s="3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2.5" x14ac:dyDescent="0.25">
      <c r="A51" s="2"/>
      <c r="B51" s="2"/>
      <c r="C51" s="11"/>
      <c r="D51" s="331"/>
      <c r="E51" s="218"/>
      <c r="F51" s="219"/>
      <c r="G51" s="47"/>
      <c r="H51" s="107"/>
      <c r="I51" s="30"/>
      <c r="J51" s="3"/>
      <c r="K51" s="3"/>
      <c r="L51" s="3"/>
      <c r="M51" s="3"/>
      <c r="N51" s="3"/>
      <c r="O51" s="3"/>
      <c r="P51" s="3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3" x14ac:dyDescent="0.3">
      <c r="A52" s="2"/>
      <c r="B52" s="2"/>
      <c r="C52" s="11"/>
      <c r="D52" s="332" t="s">
        <v>96</v>
      </c>
      <c r="E52" s="224"/>
      <c r="F52" s="224"/>
      <c r="G52" s="325"/>
      <c r="H52" s="108">
        <f>SUMIF(G45:G51, "Ahorro", H45:H51)</f>
        <v>0</v>
      </c>
      <c r="I52" s="30"/>
      <c r="J52" s="3"/>
      <c r="K52" s="3"/>
      <c r="L52" s="3"/>
      <c r="M52" s="3"/>
      <c r="N52" s="3"/>
      <c r="O52" s="3"/>
      <c r="P52" s="3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3" x14ac:dyDescent="0.3">
      <c r="A53" s="2"/>
      <c r="B53" s="2"/>
      <c r="C53" s="11"/>
      <c r="D53" s="332" t="s">
        <v>97</v>
      </c>
      <c r="E53" s="224"/>
      <c r="F53" s="224"/>
      <c r="G53" s="325"/>
      <c r="H53" s="108">
        <f>SUMIF(G45:G51, "Inversión", H45:H51)</f>
        <v>0</v>
      </c>
      <c r="I53" s="30"/>
      <c r="J53" s="3"/>
      <c r="K53" s="3"/>
      <c r="L53" s="3"/>
      <c r="M53" s="3"/>
      <c r="N53" s="3"/>
      <c r="O53" s="3"/>
      <c r="P53" s="3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2.5" x14ac:dyDescent="0.25">
      <c r="A54" s="2"/>
      <c r="B54" s="2"/>
      <c r="C54" s="2"/>
      <c r="D54" s="35"/>
      <c r="E54" s="35"/>
      <c r="F54" s="35"/>
      <c r="G54" s="35"/>
      <c r="H54" s="35"/>
      <c r="I54" s="2"/>
      <c r="J54" s="3"/>
      <c r="K54" s="3"/>
      <c r="L54" s="3"/>
      <c r="M54" s="3"/>
      <c r="N54" s="3"/>
      <c r="O54" s="3"/>
      <c r="P54" s="3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2.5" x14ac:dyDescent="0.25">
      <c r="A55" s="2"/>
      <c r="B55" s="2"/>
      <c r="C55" s="2"/>
      <c r="D55" s="28"/>
      <c r="E55" s="28"/>
      <c r="F55" s="28"/>
      <c r="G55" s="28"/>
      <c r="H55" s="28"/>
      <c r="I55" s="28"/>
      <c r="J55" s="5"/>
      <c r="K55" s="5"/>
      <c r="L55" s="5"/>
      <c r="M55" s="5"/>
      <c r="N55" s="5"/>
      <c r="O55" s="5"/>
      <c r="P55" s="5"/>
      <c r="Q55" s="28"/>
      <c r="R55" s="28"/>
      <c r="S55" s="28"/>
      <c r="T55" s="28"/>
      <c r="U55" s="28"/>
      <c r="V55" s="28"/>
      <c r="W55" s="2"/>
      <c r="X55" s="2"/>
      <c r="Y55" s="2"/>
      <c r="Z55" s="2"/>
      <c r="AA55" s="2"/>
      <c r="AB55" s="2"/>
      <c r="AC55" s="2"/>
      <c r="AD55" s="2"/>
    </row>
    <row r="56" spans="1:30" ht="12.5" x14ac:dyDescent="0.25">
      <c r="A56" s="2"/>
      <c r="B56" s="2"/>
      <c r="C56" s="11"/>
      <c r="D56" s="208" t="s">
        <v>98</v>
      </c>
      <c r="E56" s="209"/>
      <c r="F56" s="209"/>
      <c r="G56" s="209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9"/>
      <c r="S56" s="209"/>
      <c r="T56" s="209"/>
      <c r="U56" s="209"/>
      <c r="V56" s="129"/>
      <c r="W56" s="30"/>
      <c r="X56" s="2"/>
      <c r="Y56" s="2"/>
      <c r="Z56" s="2"/>
      <c r="AA56" s="2"/>
      <c r="AB56" s="2"/>
      <c r="AC56" s="2"/>
      <c r="AD56" s="2"/>
    </row>
    <row r="57" spans="1:30" ht="12.5" x14ac:dyDescent="0.25">
      <c r="A57" s="2"/>
      <c r="B57" s="2"/>
      <c r="C57" s="11"/>
      <c r="D57" s="333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277"/>
      <c r="P57" s="277"/>
      <c r="Q57" s="277"/>
      <c r="R57" s="277"/>
      <c r="S57" s="277"/>
      <c r="T57" s="277"/>
      <c r="U57" s="277"/>
      <c r="V57" s="334"/>
      <c r="W57" s="30"/>
      <c r="X57" s="2"/>
      <c r="Y57" s="2"/>
      <c r="Z57" s="2"/>
      <c r="AA57" s="2"/>
      <c r="AB57" s="2"/>
      <c r="AC57" s="2"/>
      <c r="AD57" s="2"/>
    </row>
    <row r="58" spans="1:30" ht="13" x14ac:dyDescent="0.3">
      <c r="A58" s="2"/>
      <c r="B58" s="2"/>
      <c r="C58" s="11"/>
      <c r="D58" s="335" t="s">
        <v>62</v>
      </c>
      <c r="E58" s="224"/>
      <c r="F58" s="224"/>
      <c r="G58" s="224"/>
      <c r="H58" s="224"/>
      <c r="I58" s="119"/>
      <c r="J58" s="109" t="s">
        <v>99</v>
      </c>
      <c r="K58" s="319" t="s">
        <v>68</v>
      </c>
      <c r="L58" s="119"/>
      <c r="M58" s="319" t="s">
        <v>100</v>
      </c>
      <c r="N58" s="119"/>
      <c r="O58" s="319" t="s">
        <v>95</v>
      </c>
      <c r="P58" s="119"/>
      <c r="Q58" s="319" t="s">
        <v>101</v>
      </c>
      <c r="R58" s="224"/>
      <c r="S58" s="224"/>
      <c r="T58" s="224"/>
      <c r="U58" s="224"/>
      <c r="V58" s="119"/>
      <c r="W58" s="30"/>
      <c r="X58" s="2"/>
      <c r="Y58" s="2"/>
      <c r="Z58" s="2"/>
      <c r="AA58" s="2"/>
      <c r="AB58" s="2"/>
      <c r="AC58" s="2"/>
      <c r="AD58" s="2"/>
    </row>
    <row r="59" spans="1:30" ht="12.5" x14ac:dyDescent="0.25">
      <c r="A59" s="2"/>
      <c r="B59" s="2"/>
      <c r="C59" s="11"/>
      <c r="D59" s="336"/>
      <c r="E59" s="277"/>
      <c r="F59" s="277"/>
      <c r="G59" s="277"/>
      <c r="H59" s="277"/>
      <c r="I59" s="142"/>
      <c r="J59" s="4"/>
      <c r="K59" s="314"/>
      <c r="L59" s="142"/>
      <c r="M59" s="314"/>
      <c r="N59" s="142"/>
      <c r="O59" s="315"/>
      <c r="P59" s="142"/>
      <c r="Q59" s="247"/>
      <c r="R59" s="277"/>
      <c r="S59" s="277"/>
      <c r="T59" s="277"/>
      <c r="U59" s="277"/>
      <c r="V59" s="334"/>
      <c r="W59" s="30"/>
      <c r="X59" s="2"/>
      <c r="Y59" s="2"/>
      <c r="Z59" s="2"/>
      <c r="AA59" s="2"/>
      <c r="AB59" s="2"/>
      <c r="AC59" s="2"/>
      <c r="AD59" s="2"/>
    </row>
    <row r="60" spans="1:30" ht="12.5" x14ac:dyDescent="0.25">
      <c r="A60" s="2"/>
      <c r="B60" s="2"/>
      <c r="C60" s="11"/>
      <c r="D60" s="337"/>
      <c r="E60" s="277"/>
      <c r="F60" s="277"/>
      <c r="G60" s="277"/>
      <c r="H60" s="277"/>
      <c r="I60" s="338"/>
      <c r="J60" s="111"/>
      <c r="K60" s="316"/>
      <c r="L60" s="232"/>
      <c r="M60" s="316"/>
      <c r="N60" s="232"/>
      <c r="O60" s="317"/>
      <c r="P60" s="232"/>
      <c r="Q60" s="274"/>
      <c r="R60" s="245"/>
      <c r="S60" s="245"/>
      <c r="T60" s="245"/>
      <c r="U60" s="245"/>
      <c r="V60" s="246"/>
      <c r="W60" s="30"/>
      <c r="X60" s="2"/>
      <c r="Y60" s="2"/>
      <c r="Z60" s="2"/>
      <c r="AA60" s="2"/>
      <c r="AB60" s="2"/>
      <c r="AC60" s="2"/>
      <c r="AD60" s="2"/>
    </row>
    <row r="61" spans="1:30" ht="12.5" x14ac:dyDescent="0.25">
      <c r="A61" s="2"/>
      <c r="B61" s="2"/>
      <c r="C61" s="11"/>
      <c r="D61" s="336"/>
      <c r="E61" s="277"/>
      <c r="F61" s="277"/>
      <c r="G61" s="277"/>
      <c r="H61" s="277"/>
      <c r="I61" s="142"/>
      <c r="J61" s="3"/>
      <c r="K61" s="314"/>
      <c r="L61" s="142"/>
      <c r="M61" s="314"/>
      <c r="N61" s="142"/>
      <c r="O61" s="320"/>
      <c r="P61" s="236"/>
      <c r="Q61" s="318"/>
      <c r="R61" s="245"/>
      <c r="S61" s="245"/>
      <c r="T61" s="245"/>
      <c r="U61" s="245"/>
      <c r="V61" s="246"/>
      <c r="W61" s="30"/>
      <c r="X61" s="2"/>
      <c r="Y61" s="2"/>
      <c r="Z61" s="2"/>
      <c r="AA61" s="2"/>
      <c r="AB61" s="2"/>
      <c r="AC61" s="2"/>
      <c r="AD61" s="2"/>
    </row>
    <row r="62" spans="1:30" ht="12.5" x14ac:dyDescent="0.25">
      <c r="A62" s="2"/>
      <c r="B62" s="2"/>
      <c r="C62" s="11"/>
      <c r="D62" s="337"/>
      <c r="E62" s="277"/>
      <c r="F62" s="277"/>
      <c r="G62" s="277"/>
      <c r="H62" s="277"/>
      <c r="I62" s="338"/>
      <c r="J62" s="111"/>
      <c r="K62" s="316"/>
      <c r="L62" s="232"/>
      <c r="M62" s="316"/>
      <c r="N62" s="232"/>
      <c r="O62" s="317"/>
      <c r="P62" s="232"/>
      <c r="Q62" s="274"/>
      <c r="R62" s="245"/>
      <c r="S62" s="245"/>
      <c r="T62" s="245"/>
      <c r="U62" s="245"/>
      <c r="V62" s="246"/>
      <c r="W62" s="30"/>
      <c r="X62" s="2"/>
      <c r="Y62" s="2"/>
      <c r="Z62" s="2"/>
      <c r="AA62" s="2"/>
      <c r="AB62" s="2"/>
      <c r="AC62" s="2"/>
      <c r="AD62" s="2"/>
    </row>
    <row r="63" spans="1:30" ht="12.5" x14ac:dyDescent="0.25">
      <c r="A63" s="2"/>
      <c r="B63" s="2"/>
      <c r="C63" s="11"/>
      <c r="D63" s="336"/>
      <c r="E63" s="277"/>
      <c r="F63" s="277"/>
      <c r="G63" s="277"/>
      <c r="H63" s="277"/>
      <c r="I63" s="142"/>
      <c r="J63" s="3"/>
      <c r="K63" s="314"/>
      <c r="L63" s="142"/>
      <c r="M63" s="314"/>
      <c r="N63" s="142"/>
      <c r="O63" s="320"/>
      <c r="P63" s="236"/>
      <c r="Q63" s="318"/>
      <c r="R63" s="245"/>
      <c r="S63" s="245"/>
      <c r="T63" s="245"/>
      <c r="U63" s="245"/>
      <c r="V63" s="246"/>
      <c r="W63" s="30"/>
      <c r="X63" s="2"/>
      <c r="Y63" s="2"/>
      <c r="Z63" s="2"/>
      <c r="AA63" s="2"/>
      <c r="AB63" s="2"/>
      <c r="AC63" s="2"/>
      <c r="AD63" s="2"/>
    </row>
    <row r="64" spans="1:30" ht="14" x14ac:dyDescent="0.3">
      <c r="A64" s="2"/>
      <c r="B64" s="2"/>
      <c r="C64" s="11"/>
      <c r="D64" s="337"/>
      <c r="E64" s="277"/>
      <c r="F64" s="277"/>
      <c r="G64" s="277"/>
      <c r="H64" s="277"/>
      <c r="I64" s="338"/>
      <c r="J64" s="111"/>
      <c r="K64" s="316"/>
      <c r="L64" s="232"/>
      <c r="M64" s="316"/>
      <c r="N64" s="232"/>
      <c r="O64" s="321"/>
      <c r="P64" s="232"/>
      <c r="Q64" s="274"/>
      <c r="R64" s="245"/>
      <c r="S64" s="245"/>
      <c r="T64" s="245"/>
      <c r="U64" s="245"/>
      <c r="V64" s="246"/>
      <c r="W64" s="30"/>
      <c r="X64" s="2"/>
      <c r="Y64" s="2"/>
      <c r="Z64" s="2"/>
      <c r="AA64" s="2"/>
      <c r="AB64" s="2"/>
      <c r="AC64" s="2"/>
      <c r="AD64" s="2"/>
    </row>
    <row r="65" spans="1:30" ht="12.5" x14ac:dyDescent="0.25">
      <c r="A65" s="2"/>
      <c r="B65" s="2"/>
      <c r="C65" s="11"/>
      <c r="D65" s="93"/>
      <c r="E65" s="2"/>
      <c r="F65" s="2"/>
      <c r="G65" s="2"/>
      <c r="H65" s="2"/>
      <c r="I65" s="2"/>
      <c r="J65" s="3"/>
      <c r="K65" s="314"/>
      <c r="L65" s="142"/>
      <c r="M65" s="314"/>
      <c r="N65" s="142"/>
      <c r="O65" s="320"/>
      <c r="P65" s="236"/>
      <c r="Q65" s="318"/>
      <c r="R65" s="245"/>
      <c r="S65" s="245"/>
      <c r="T65" s="245"/>
      <c r="U65" s="245"/>
      <c r="V65" s="246"/>
      <c r="W65" s="30"/>
      <c r="X65" s="2"/>
      <c r="Y65" s="2"/>
      <c r="Z65" s="2"/>
      <c r="AA65" s="2"/>
      <c r="AB65" s="2"/>
      <c r="AC65" s="2"/>
      <c r="AD65" s="2"/>
    </row>
    <row r="66" spans="1:30" ht="12.5" x14ac:dyDescent="0.25">
      <c r="A66" s="2"/>
      <c r="B66" s="2"/>
      <c r="C66" s="11"/>
      <c r="D66" s="337"/>
      <c r="E66" s="277"/>
      <c r="F66" s="277"/>
      <c r="G66" s="277"/>
      <c r="H66" s="277"/>
      <c r="I66" s="338"/>
      <c r="J66" s="111"/>
      <c r="K66" s="316"/>
      <c r="L66" s="232"/>
      <c r="M66" s="316"/>
      <c r="N66" s="232"/>
      <c r="O66" s="317"/>
      <c r="P66" s="232"/>
      <c r="Q66" s="274"/>
      <c r="R66" s="245"/>
      <c r="S66" s="245"/>
      <c r="T66" s="245"/>
      <c r="U66" s="245"/>
      <c r="V66" s="246"/>
      <c r="W66" s="30"/>
      <c r="X66" s="2"/>
      <c r="Y66" s="2"/>
      <c r="Z66" s="2"/>
      <c r="AA66" s="2"/>
      <c r="AB66" s="2"/>
      <c r="AC66" s="2"/>
      <c r="AD66" s="2"/>
    </row>
    <row r="67" spans="1:30" ht="12.5" x14ac:dyDescent="0.25">
      <c r="A67" s="2"/>
      <c r="B67" s="2"/>
      <c r="C67" s="11"/>
      <c r="D67" s="93"/>
      <c r="E67" s="2"/>
      <c r="F67" s="2"/>
      <c r="G67" s="2"/>
      <c r="H67" s="2"/>
      <c r="I67" s="2"/>
      <c r="J67" s="3"/>
      <c r="K67" s="314"/>
      <c r="L67" s="142"/>
      <c r="M67" s="314"/>
      <c r="N67" s="142"/>
      <c r="O67" s="320"/>
      <c r="P67" s="236"/>
      <c r="Q67" s="318"/>
      <c r="R67" s="245"/>
      <c r="S67" s="245"/>
      <c r="T67" s="245"/>
      <c r="U67" s="245"/>
      <c r="V67" s="246"/>
      <c r="W67" s="30"/>
      <c r="X67" s="2"/>
      <c r="Y67" s="2"/>
      <c r="Z67" s="2"/>
      <c r="AA67" s="2"/>
      <c r="AB67" s="2"/>
      <c r="AC67" s="2"/>
      <c r="AD67" s="2"/>
    </row>
    <row r="68" spans="1:30" ht="12.5" x14ac:dyDescent="0.25">
      <c r="A68" s="2"/>
      <c r="B68" s="2"/>
      <c r="C68" s="11"/>
      <c r="D68" s="337"/>
      <c r="E68" s="277"/>
      <c r="F68" s="277"/>
      <c r="G68" s="277"/>
      <c r="H68" s="277"/>
      <c r="I68" s="338"/>
      <c r="J68" s="111"/>
      <c r="K68" s="316"/>
      <c r="L68" s="232"/>
      <c r="M68" s="316"/>
      <c r="N68" s="232"/>
      <c r="O68" s="317"/>
      <c r="P68" s="232"/>
      <c r="Q68" s="274"/>
      <c r="R68" s="245"/>
      <c r="S68" s="245"/>
      <c r="T68" s="245"/>
      <c r="U68" s="245"/>
      <c r="V68" s="246"/>
      <c r="W68" s="30"/>
      <c r="X68" s="2"/>
      <c r="Y68" s="2"/>
      <c r="Z68" s="2"/>
      <c r="AA68" s="2"/>
      <c r="AB68" s="2"/>
      <c r="AC68" s="2"/>
      <c r="AD68" s="2"/>
    </row>
    <row r="69" spans="1:30" ht="12.5" x14ac:dyDescent="0.25">
      <c r="A69" s="2"/>
      <c r="B69" s="2"/>
      <c r="C69" s="11"/>
      <c r="D69" s="93"/>
      <c r="E69" s="2"/>
      <c r="F69" s="2"/>
      <c r="G69" s="2"/>
      <c r="H69" s="2"/>
      <c r="I69" s="2"/>
      <c r="J69" s="3"/>
      <c r="K69" s="314"/>
      <c r="L69" s="142"/>
      <c r="M69" s="314"/>
      <c r="N69" s="142"/>
      <c r="O69" s="320"/>
      <c r="P69" s="236"/>
      <c r="Q69" s="318"/>
      <c r="R69" s="245"/>
      <c r="S69" s="245"/>
      <c r="T69" s="245"/>
      <c r="U69" s="245"/>
      <c r="V69" s="246"/>
      <c r="W69" s="30"/>
      <c r="X69" s="2"/>
      <c r="Y69" s="2"/>
      <c r="Z69" s="2"/>
      <c r="AA69" s="2"/>
      <c r="AB69" s="2"/>
      <c r="AC69" s="2"/>
      <c r="AD69" s="2"/>
    </row>
    <row r="70" spans="1:30" ht="12.5" x14ac:dyDescent="0.25">
      <c r="A70" s="2"/>
      <c r="B70" s="2"/>
      <c r="C70" s="11"/>
      <c r="D70" s="337"/>
      <c r="E70" s="277"/>
      <c r="F70" s="277"/>
      <c r="G70" s="277"/>
      <c r="H70" s="277"/>
      <c r="I70" s="338"/>
      <c r="J70" s="111"/>
      <c r="K70" s="316"/>
      <c r="L70" s="232"/>
      <c r="M70" s="316"/>
      <c r="N70" s="232"/>
      <c r="O70" s="317"/>
      <c r="P70" s="232"/>
      <c r="Q70" s="274"/>
      <c r="R70" s="245"/>
      <c r="S70" s="245"/>
      <c r="T70" s="245"/>
      <c r="U70" s="245"/>
      <c r="V70" s="246"/>
      <c r="W70" s="30"/>
      <c r="X70" s="2"/>
      <c r="Y70" s="2"/>
      <c r="Z70" s="2"/>
      <c r="AA70" s="2"/>
      <c r="AB70" s="2"/>
      <c r="AC70" s="2"/>
      <c r="AD70" s="2"/>
    </row>
    <row r="71" spans="1:30" ht="12.5" x14ac:dyDescent="0.25">
      <c r="A71" s="2"/>
      <c r="B71" s="2"/>
      <c r="C71" s="11"/>
      <c r="D71" s="93"/>
      <c r="E71" s="2"/>
      <c r="F71" s="2"/>
      <c r="G71" s="2"/>
      <c r="H71" s="2"/>
      <c r="I71" s="2"/>
      <c r="J71" s="3"/>
      <c r="K71" s="314"/>
      <c r="L71" s="142"/>
      <c r="M71" s="314"/>
      <c r="N71" s="142"/>
      <c r="O71" s="320"/>
      <c r="P71" s="236"/>
      <c r="Q71" s="318"/>
      <c r="R71" s="245"/>
      <c r="S71" s="245"/>
      <c r="T71" s="245"/>
      <c r="U71" s="245"/>
      <c r="V71" s="246"/>
      <c r="W71" s="30"/>
      <c r="X71" s="2"/>
      <c r="Y71" s="2"/>
      <c r="Z71" s="2"/>
      <c r="AA71" s="2"/>
      <c r="AB71" s="2"/>
      <c r="AC71" s="2"/>
      <c r="AD71" s="2"/>
    </row>
    <row r="72" spans="1:30" ht="12.5" x14ac:dyDescent="0.25">
      <c r="A72" s="2"/>
      <c r="B72" s="2"/>
      <c r="C72" s="11"/>
      <c r="D72" s="337"/>
      <c r="E72" s="277"/>
      <c r="F72" s="277"/>
      <c r="G72" s="277"/>
      <c r="H72" s="277"/>
      <c r="I72" s="338"/>
      <c r="J72" s="111"/>
      <c r="K72" s="316"/>
      <c r="L72" s="232"/>
      <c r="M72" s="316"/>
      <c r="N72" s="232"/>
      <c r="O72" s="317"/>
      <c r="P72" s="232"/>
      <c r="Q72" s="274"/>
      <c r="R72" s="245"/>
      <c r="S72" s="245"/>
      <c r="T72" s="245"/>
      <c r="U72" s="245"/>
      <c r="V72" s="246"/>
      <c r="W72" s="30"/>
      <c r="X72" s="2"/>
      <c r="Y72" s="2"/>
      <c r="Z72" s="2"/>
      <c r="AA72" s="2"/>
      <c r="AB72" s="2"/>
      <c r="AC72" s="2"/>
      <c r="AD72" s="2"/>
    </row>
    <row r="73" spans="1:30" ht="12.5" x14ac:dyDescent="0.25">
      <c r="A73" s="2"/>
      <c r="B73" s="2"/>
      <c r="C73" s="11"/>
      <c r="D73" s="93"/>
      <c r="E73" s="2"/>
      <c r="F73" s="2"/>
      <c r="G73" s="2"/>
      <c r="H73" s="2"/>
      <c r="I73" s="2"/>
      <c r="J73" s="3"/>
      <c r="K73" s="314"/>
      <c r="L73" s="142"/>
      <c r="M73" s="314"/>
      <c r="N73" s="142"/>
      <c r="O73" s="320"/>
      <c r="P73" s="236"/>
      <c r="Q73" s="318"/>
      <c r="R73" s="245"/>
      <c r="S73" s="245"/>
      <c r="T73" s="245"/>
      <c r="U73" s="245"/>
      <c r="V73" s="246"/>
      <c r="W73" s="30"/>
      <c r="X73" s="2"/>
      <c r="Y73" s="2"/>
      <c r="Z73" s="2"/>
      <c r="AA73" s="2"/>
      <c r="AB73" s="2"/>
      <c r="AC73" s="2"/>
      <c r="AD73" s="2"/>
    </row>
    <row r="74" spans="1:30" ht="12.5" x14ac:dyDescent="0.25">
      <c r="A74" s="2"/>
      <c r="B74" s="2"/>
      <c r="C74" s="11"/>
      <c r="D74" s="337"/>
      <c r="E74" s="277"/>
      <c r="F74" s="277"/>
      <c r="G74" s="277"/>
      <c r="H74" s="277"/>
      <c r="I74" s="338"/>
      <c r="J74" s="111"/>
      <c r="K74" s="316"/>
      <c r="L74" s="232"/>
      <c r="M74" s="316"/>
      <c r="N74" s="232"/>
      <c r="O74" s="317"/>
      <c r="P74" s="232"/>
      <c r="Q74" s="274"/>
      <c r="R74" s="245"/>
      <c r="S74" s="245"/>
      <c r="T74" s="245"/>
      <c r="U74" s="245"/>
      <c r="V74" s="246"/>
      <c r="W74" s="30"/>
      <c r="X74" s="2"/>
      <c r="Y74" s="2"/>
      <c r="Z74" s="2"/>
      <c r="AA74" s="2"/>
      <c r="AB74" s="2"/>
      <c r="AC74" s="2"/>
      <c r="AD74" s="2"/>
    </row>
    <row r="75" spans="1:30" ht="12.5" x14ac:dyDescent="0.25">
      <c r="A75" s="2"/>
      <c r="B75" s="2"/>
      <c r="C75" s="11"/>
      <c r="D75" s="93"/>
      <c r="E75" s="2"/>
      <c r="F75" s="2"/>
      <c r="G75" s="2"/>
      <c r="H75" s="2"/>
      <c r="I75" s="2"/>
      <c r="J75" s="3"/>
      <c r="K75" s="314"/>
      <c r="L75" s="142"/>
      <c r="M75" s="314"/>
      <c r="N75" s="142"/>
      <c r="O75" s="320"/>
      <c r="P75" s="236"/>
      <c r="Q75" s="318"/>
      <c r="R75" s="245"/>
      <c r="S75" s="245"/>
      <c r="T75" s="245"/>
      <c r="U75" s="245"/>
      <c r="V75" s="246"/>
      <c r="W75" s="30"/>
      <c r="X75" s="2"/>
      <c r="Y75" s="2"/>
      <c r="Z75" s="2"/>
      <c r="AA75" s="2"/>
      <c r="AB75" s="2"/>
      <c r="AC75" s="2"/>
      <c r="AD75" s="2"/>
    </row>
    <row r="76" spans="1:30" ht="12.5" x14ac:dyDescent="0.25">
      <c r="A76" s="2"/>
      <c r="B76" s="2"/>
      <c r="C76" s="11"/>
      <c r="D76" s="337"/>
      <c r="E76" s="277"/>
      <c r="F76" s="277"/>
      <c r="G76" s="277"/>
      <c r="H76" s="277"/>
      <c r="I76" s="338"/>
      <c r="J76" s="111"/>
      <c r="K76" s="316"/>
      <c r="L76" s="232"/>
      <c r="M76" s="316"/>
      <c r="N76" s="232"/>
      <c r="O76" s="317"/>
      <c r="P76" s="232"/>
      <c r="Q76" s="274"/>
      <c r="R76" s="245"/>
      <c r="S76" s="245"/>
      <c r="T76" s="245"/>
      <c r="U76" s="245"/>
      <c r="V76" s="246"/>
      <c r="W76" s="30"/>
      <c r="X76" s="2"/>
      <c r="Y76" s="2"/>
      <c r="Z76" s="2"/>
      <c r="AA76" s="2"/>
      <c r="AB76" s="2"/>
      <c r="AC76" s="2"/>
      <c r="AD76" s="2"/>
    </row>
    <row r="77" spans="1:30" ht="12.5" x14ac:dyDescent="0.25">
      <c r="A77" s="2"/>
      <c r="B77" s="2"/>
      <c r="C77" s="11"/>
      <c r="D77" s="93"/>
      <c r="E77" s="2"/>
      <c r="F77" s="2"/>
      <c r="G77" s="2"/>
      <c r="H77" s="2"/>
      <c r="I77" s="2"/>
      <c r="J77" s="3"/>
      <c r="K77" s="314"/>
      <c r="L77" s="142"/>
      <c r="M77" s="314"/>
      <c r="N77" s="142"/>
      <c r="O77" s="320"/>
      <c r="P77" s="236"/>
      <c r="Q77" s="318"/>
      <c r="R77" s="245"/>
      <c r="S77" s="245"/>
      <c r="T77" s="245"/>
      <c r="U77" s="245"/>
      <c r="V77" s="246"/>
      <c r="W77" s="30"/>
      <c r="X77" s="2"/>
      <c r="Y77" s="2"/>
      <c r="Z77" s="2"/>
      <c r="AA77" s="2"/>
      <c r="AB77" s="2"/>
      <c r="AC77" s="2"/>
      <c r="AD77" s="2"/>
    </row>
    <row r="78" spans="1:30" ht="12.5" x14ac:dyDescent="0.25">
      <c r="A78" s="2"/>
      <c r="B78" s="2"/>
      <c r="C78" s="11"/>
      <c r="D78" s="337"/>
      <c r="E78" s="277"/>
      <c r="F78" s="277"/>
      <c r="G78" s="277"/>
      <c r="H78" s="277"/>
      <c r="I78" s="338"/>
      <c r="J78" s="111"/>
      <c r="K78" s="316"/>
      <c r="L78" s="232"/>
      <c r="M78" s="316"/>
      <c r="N78" s="232"/>
      <c r="O78" s="317"/>
      <c r="P78" s="232"/>
      <c r="Q78" s="274"/>
      <c r="R78" s="245"/>
      <c r="S78" s="245"/>
      <c r="T78" s="245"/>
      <c r="U78" s="245"/>
      <c r="V78" s="246"/>
      <c r="W78" s="30"/>
      <c r="X78" s="2"/>
      <c r="Y78" s="2"/>
      <c r="Z78" s="2"/>
      <c r="AA78" s="2"/>
      <c r="AB78" s="2"/>
      <c r="AC78" s="2"/>
      <c r="AD78" s="2"/>
    </row>
    <row r="79" spans="1:30" ht="12.5" x14ac:dyDescent="0.25">
      <c r="A79" s="2"/>
      <c r="B79" s="2"/>
      <c r="C79" s="11"/>
      <c r="D79" s="93"/>
      <c r="E79" s="2"/>
      <c r="F79" s="2"/>
      <c r="G79" s="2"/>
      <c r="H79" s="2"/>
      <c r="I79" s="2"/>
      <c r="J79" s="3"/>
      <c r="K79" s="314"/>
      <c r="L79" s="142"/>
      <c r="M79" s="314"/>
      <c r="N79" s="142"/>
      <c r="O79" s="320"/>
      <c r="P79" s="236"/>
      <c r="Q79" s="318"/>
      <c r="R79" s="245"/>
      <c r="S79" s="245"/>
      <c r="T79" s="245"/>
      <c r="U79" s="245"/>
      <c r="V79" s="246"/>
      <c r="W79" s="30"/>
      <c r="X79" s="2"/>
      <c r="Y79" s="2"/>
      <c r="Z79" s="2"/>
      <c r="AA79" s="2"/>
      <c r="AB79" s="2"/>
      <c r="AC79" s="2"/>
      <c r="AD79" s="2"/>
    </row>
    <row r="80" spans="1:30" ht="12.5" x14ac:dyDescent="0.25">
      <c r="A80" s="2"/>
      <c r="B80" s="2"/>
      <c r="C80" s="11"/>
      <c r="D80" s="337"/>
      <c r="E80" s="277"/>
      <c r="F80" s="277"/>
      <c r="G80" s="277"/>
      <c r="H80" s="277"/>
      <c r="I80" s="338"/>
      <c r="J80" s="111"/>
      <c r="K80" s="316"/>
      <c r="L80" s="232"/>
      <c r="M80" s="316"/>
      <c r="N80" s="232"/>
      <c r="O80" s="317"/>
      <c r="P80" s="232"/>
      <c r="Q80" s="274"/>
      <c r="R80" s="245"/>
      <c r="S80" s="245"/>
      <c r="T80" s="245"/>
      <c r="U80" s="245"/>
      <c r="V80" s="246"/>
      <c r="W80" s="30"/>
      <c r="X80" s="2"/>
      <c r="Y80" s="2"/>
      <c r="Z80" s="2"/>
      <c r="AA80" s="2"/>
      <c r="AB80" s="2"/>
      <c r="AC80" s="2"/>
      <c r="AD80" s="2"/>
    </row>
    <row r="81" spans="1:30" ht="12.5" x14ac:dyDescent="0.25">
      <c r="A81" s="2"/>
      <c r="B81" s="2"/>
      <c r="C81" s="11"/>
      <c r="D81" s="93"/>
      <c r="E81" s="2"/>
      <c r="F81" s="2"/>
      <c r="G81" s="2"/>
      <c r="H81" s="2"/>
      <c r="I81" s="2"/>
      <c r="J81" s="3"/>
      <c r="K81" s="314"/>
      <c r="L81" s="142"/>
      <c r="M81" s="314"/>
      <c r="N81" s="142"/>
      <c r="O81" s="320"/>
      <c r="P81" s="236"/>
      <c r="Q81" s="318"/>
      <c r="R81" s="245"/>
      <c r="S81" s="245"/>
      <c r="T81" s="245"/>
      <c r="U81" s="245"/>
      <c r="V81" s="246"/>
      <c r="W81" s="30"/>
      <c r="X81" s="2"/>
      <c r="Y81" s="2"/>
      <c r="Z81" s="2"/>
      <c r="AA81" s="2"/>
      <c r="AB81" s="2"/>
      <c r="AC81" s="2"/>
      <c r="AD81" s="2"/>
    </row>
    <row r="82" spans="1:30" ht="12.5" x14ac:dyDescent="0.25">
      <c r="A82" s="2"/>
      <c r="B82" s="2"/>
      <c r="C82" s="11"/>
      <c r="D82" s="337"/>
      <c r="E82" s="277"/>
      <c r="F82" s="277"/>
      <c r="G82" s="277"/>
      <c r="H82" s="277"/>
      <c r="I82" s="338"/>
      <c r="J82" s="111"/>
      <c r="K82" s="316"/>
      <c r="L82" s="232"/>
      <c r="M82" s="316"/>
      <c r="N82" s="232"/>
      <c r="O82" s="317"/>
      <c r="P82" s="232"/>
      <c r="Q82" s="274"/>
      <c r="R82" s="245"/>
      <c r="S82" s="245"/>
      <c r="T82" s="245"/>
      <c r="U82" s="245"/>
      <c r="V82" s="246"/>
      <c r="W82" s="30"/>
      <c r="X82" s="2"/>
      <c r="Y82" s="2"/>
      <c r="Z82" s="2"/>
      <c r="AA82" s="2"/>
      <c r="AB82" s="2"/>
      <c r="AC82" s="2"/>
      <c r="AD82" s="2"/>
    </row>
    <row r="83" spans="1:30" ht="12.5" x14ac:dyDescent="0.25">
      <c r="A83" s="2"/>
      <c r="B83" s="2"/>
      <c r="C83" s="11"/>
      <c r="D83" s="93"/>
      <c r="E83" s="2"/>
      <c r="F83" s="2"/>
      <c r="G83" s="2"/>
      <c r="H83" s="2"/>
      <c r="I83" s="2"/>
      <c r="J83" s="3"/>
      <c r="K83" s="314"/>
      <c r="L83" s="142"/>
      <c r="M83" s="314"/>
      <c r="N83" s="142"/>
      <c r="O83" s="320"/>
      <c r="P83" s="236"/>
      <c r="Q83" s="318"/>
      <c r="R83" s="245"/>
      <c r="S83" s="245"/>
      <c r="T83" s="245"/>
      <c r="U83" s="245"/>
      <c r="V83" s="246"/>
      <c r="W83" s="30"/>
      <c r="X83" s="2"/>
      <c r="Y83" s="2"/>
      <c r="Z83" s="2"/>
      <c r="AA83" s="2"/>
      <c r="AB83" s="2"/>
      <c r="AC83" s="2"/>
      <c r="AD83" s="2"/>
    </row>
    <row r="84" spans="1:30" ht="12.5" x14ac:dyDescent="0.25">
      <c r="A84" s="2"/>
      <c r="B84" s="2"/>
      <c r="C84" s="11"/>
      <c r="D84" s="337"/>
      <c r="E84" s="277"/>
      <c r="F84" s="277"/>
      <c r="G84" s="277"/>
      <c r="H84" s="277"/>
      <c r="I84" s="338"/>
      <c r="J84" s="111"/>
      <c r="K84" s="316"/>
      <c r="L84" s="232"/>
      <c r="M84" s="316"/>
      <c r="N84" s="232"/>
      <c r="O84" s="317"/>
      <c r="P84" s="232"/>
      <c r="Q84" s="274"/>
      <c r="R84" s="245"/>
      <c r="S84" s="245"/>
      <c r="T84" s="245"/>
      <c r="U84" s="245"/>
      <c r="V84" s="246"/>
      <c r="W84" s="30"/>
      <c r="X84" s="2"/>
      <c r="Y84" s="2"/>
      <c r="Z84" s="2"/>
      <c r="AA84" s="2"/>
      <c r="AB84" s="2"/>
      <c r="AC84" s="2"/>
      <c r="AD84" s="2"/>
    </row>
    <row r="85" spans="1:30" ht="12.5" x14ac:dyDescent="0.25">
      <c r="A85" s="2"/>
      <c r="B85" s="2"/>
      <c r="C85" s="11"/>
      <c r="D85" s="93"/>
      <c r="E85" s="2"/>
      <c r="F85" s="2"/>
      <c r="G85" s="2"/>
      <c r="H85" s="2"/>
      <c r="I85" s="2"/>
      <c r="J85" s="3"/>
      <c r="K85" s="314"/>
      <c r="L85" s="142"/>
      <c r="M85" s="314"/>
      <c r="N85" s="142"/>
      <c r="O85" s="320"/>
      <c r="P85" s="236"/>
      <c r="Q85" s="318"/>
      <c r="R85" s="245"/>
      <c r="S85" s="245"/>
      <c r="T85" s="245"/>
      <c r="U85" s="245"/>
      <c r="V85" s="246"/>
      <c r="W85" s="30"/>
      <c r="X85" s="2"/>
      <c r="Y85" s="2"/>
      <c r="Z85" s="2"/>
      <c r="AA85" s="2"/>
      <c r="AB85" s="2"/>
      <c r="AC85" s="2"/>
      <c r="AD85" s="2"/>
    </row>
    <row r="86" spans="1:30" ht="12.5" x14ac:dyDescent="0.25">
      <c r="A86" s="2"/>
      <c r="B86" s="2"/>
      <c r="C86" s="11"/>
      <c r="D86" s="337"/>
      <c r="E86" s="277"/>
      <c r="F86" s="277"/>
      <c r="G86" s="277"/>
      <c r="H86" s="277"/>
      <c r="I86" s="338"/>
      <c r="J86" s="111"/>
      <c r="K86" s="316"/>
      <c r="L86" s="232"/>
      <c r="M86" s="316"/>
      <c r="N86" s="232"/>
      <c r="O86" s="317"/>
      <c r="P86" s="232"/>
      <c r="Q86" s="274"/>
      <c r="R86" s="245"/>
      <c r="S86" s="245"/>
      <c r="T86" s="245"/>
      <c r="U86" s="245"/>
      <c r="V86" s="246"/>
      <c r="W86" s="30"/>
      <c r="X86" s="2"/>
      <c r="Y86" s="2"/>
      <c r="Z86" s="2"/>
      <c r="AA86" s="2"/>
      <c r="AB86" s="2"/>
      <c r="AC86" s="2"/>
      <c r="AD86" s="2"/>
    </row>
    <row r="87" spans="1:30" ht="12.5" x14ac:dyDescent="0.25">
      <c r="A87" s="2"/>
      <c r="B87" s="2"/>
      <c r="C87" s="11"/>
      <c r="D87" s="93"/>
      <c r="E87" s="2"/>
      <c r="F87" s="2"/>
      <c r="G87" s="2"/>
      <c r="H87" s="2"/>
      <c r="I87" s="2"/>
      <c r="J87" s="3"/>
      <c r="K87" s="314"/>
      <c r="L87" s="142"/>
      <c r="M87" s="314"/>
      <c r="N87" s="142"/>
      <c r="O87" s="320"/>
      <c r="P87" s="236"/>
      <c r="Q87" s="318"/>
      <c r="R87" s="245"/>
      <c r="S87" s="245"/>
      <c r="T87" s="245"/>
      <c r="U87" s="245"/>
      <c r="V87" s="246"/>
      <c r="W87" s="30"/>
      <c r="X87" s="2"/>
      <c r="Y87" s="2"/>
      <c r="Z87" s="2"/>
      <c r="AA87" s="2"/>
      <c r="AB87" s="2"/>
      <c r="AC87" s="2"/>
      <c r="AD87" s="2"/>
    </row>
    <row r="88" spans="1:30" ht="12.5" x14ac:dyDescent="0.25">
      <c r="A88" s="2"/>
      <c r="B88" s="2"/>
      <c r="C88" s="11"/>
      <c r="D88" s="337"/>
      <c r="E88" s="277"/>
      <c r="F88" s="277"/>
      <c r="G88" s="277"/>
      <c r="H88" s="277"/>
      <c r="I88" s="338"/>
      <c r="J88" s="111"/>
      <c r="K88" s="316"/>
      <c r="L88" s="232"/>
      <c r="M88" s="316"/>
      <c r="N88" s="232"/>
      <c r="O88" s="317"/>
      <c r="P88" s="232"/>
      <c r="Q88" s="274"/>
      <c r="R88" s="245"/>
      <c r="S88" s="245"/>
      <c r="T88" s="245"/>
      <c r="U88" s="245"/>
      <c r="V88" s="246"/>
      <c r="W88" s="30"/>
      <c r="X88" s="2"/>
      <c r="Y88" s="2"/>
      <c r="Z88" s="2"/>
      <c r="AA88" s="2"/>
      <c r="AB88" s="2"/>
      <c r="AC88" s="2"/>
      <c r="AD88" s="2"/>
    </row>
    <row r="89" spans="1:30" ht="12.5" x14ac:dyDescent="0.25">
      <c r="A89" s="2"/>
      <c r="B89" s="2"/>
      <c r="C89" s="11"/>
      <c r="D89" s="93"/>
      <c r="E89" s="2"/>
      <c r="F89" s="2"/>
      <c r="G89" s="2"/>
      <c r="H89" s="2"/>
      <c r="I89" s="2"/>
      <c r="J89" s="3"/>
      <c r="K89" s="314"/>
      <c r="L89" s="142"/>
      <c r="M89" s="314"/>
      <c r="N89" s="142"/>
      <c r="O89" s="320"/>
      <c r="P89" s="236"/>
      <c r="Q89" s="318"/>
      <c r="R89" s="245"/>
      <c r="S89" s="245"/>
      <c r="T89" s="245"/>
      <c r="U89" s="245"/>
      <c r="V89" s="246"/>
      <c r="W89" s="30"/>
      <c r="X89" s="2"/>
      <c r="Y89" s="2"/>
      <c r="Z89" s="2"/>
      <c r="AA89" s="2"/>
      <c r="AB89" s="2"/>
      <c r="AC89" s="2"/>
      <c r="AD89" s="2"/>
    </row>
    <row r="90" spans="1:30" ht="12.5" x14ac:dyDescent="0.25">
      <c r="A90" s="2"/>
      <c r="B90" s="2"/>
      <c r="C90" s="11"/>
      <c r="D90" s="337"/>
      <c r="E90" s="277"/>
      <c r="F90" s="277"/>
      <c r="G90" s="277"/>
      <c r="H90" s="277"/>
      <c r="I90" s="338"/>
      <c r="J90" s="111"/>
      <c r="K90" s="316"/>
      <c r="L90" s="232"/>
      <c r="M90" s="316"/>
      <c r="N90" s="232"/>
      <c r="O90" s="317"/>
      <c r="P90" s="232"/>
      <c r="Q90" s="274"/>
      <c r="R90" s="245"/>
      <c r="S90" s="245"/>
      <c r="T90" s="245"/>
      <c r="U90" s="245"/>
      <c r="V90" s="246"/>
      <c r="W90" s="30"/>
      <c r="X90" s="2"/>
      <c r="Y90" s="2"/>
      <c r="Z90" s="2"/>
      <c r="AA90" s="2"/>
      <c r="AB90" s="2"/>
      <c r="AC90" s="2"/>
      <c r="AD90" s="2"/>
    </row>
    <row r="91" spans="1:30" ht="12.5" x14ac:dyDescent="0.25">
      <c r="A91" s="2"/>
      <c r="B91" s="2"/>
      <c r="C91" s="11"/>
      <c r="D91" s="93"/>
      <c r="E91" s="2"/>
      <c r="F91" s="2"/>
      <c r="G91" s="2"/>
      <c r="H91" s="2"/>
      <c r="I91" s="2"/>
      <c r="J91" s="3"/>
      <c r="K91" s="314"/>
      <c r="L91" s="142"/>
      <c r="M91" s="314"/>
      <c r="N91" s="142"/>
      <c r="O91" s="320"/>
      <c r="P91" s="236"/>
      <c r="Q91" s="318"/>
      <c r="R91" s="245"/>
      <c r="S91" s="245"/>
      <c r="T91" s="245"/>
      <c r="U91" s="245"/>
      <c r="V91" s="246"/>
      <c r="W91" s="30"/>
      <c r="X91" s="2"/>
      <c r="Y91" s="2"/>
      <c r="Z91" s="2"/>
      <c r="AA91" s="2"/>
      <c r="AB91" s="2"/>
      <c r="AC91" s="2"/>
      <c r="AD91" s="2"/>
    </row>
    <row r="92" spans="1:30" ht="12.5" x14ac:dyDescent="0.25">
      <c r="A92" s="2"/>
      <c r="B92" s="2"/>
      <c r="C92" s="11"/>
      <c r="D92" s="337"/>
      <c r="E92" s="277"/>
      <c r="F92" s="277"/>
      <c r="G92" s="277"/>
      <c r="H92" s="277"/>
      <c r="I92" s="338"/>
      <c r="J92" s="111"/>
      <c r="K92" s="316"/>
      <c r="L92" s="232"/>
      <c r="M92" s="316"/>
      <c r="N92" s="232"/>
      <c r="O92" s="317"/>
      <c r="P92" s="232"/>
      <c r="Q92" s="274"/>
      <c r="R92" s="245"/>
      <c r="S92" s="245"/>
      <c r="T92" s="245"/>
      <c r="U92" s="245"/>
      <c r="V92" s="246"/>
      <c r="W92" s="30"/>
      <c r="X92" s="2"/>
      <c r="Y92" s="2"/>
      <c r="Z92" s="2"/>
      <c r="AA92" s="2"/>
      <c r="AB92" s="2"/>
      <c r="AC92" s="2"/>
      <c r="AD92" s="2"/>
    </row>
    <row r="93" spans="1:30" ht="12.5" x14ac:dyDescent="0.25">
      <c r="A93" s="2"/>
      <c r="B93" s="2"/>
      <c r="C93" s="11"/>
      <c r="D93" s="93"/>
      <c r="E93" s="2"/>
      <c r="F93" s="2"/>
      <c r="G93" s="2"/>
      <c r="H93" s="2"/>
      <c r="I93" s="2"/>
      <c r="J93" s="3"/>
      <c r="K93" s="314"/>
      <c r="L93" s="142"/>
      <c r="M93" s="314"/>
      <c r="N93" s="142"/>
      <c r="O93" s="320"/>
      <c r="P93" s="236"/>
      <c r="Q93" s="318"/>
      <c r="R93" s="245"/>
      <c r="S93" s="245"/>
      <c r="T93" s="245"/>
      <c r="U93" s="245"/>
      <c r="V93" s="246"/>
      <c r="W93" s="30"/>
      <c r="X93" s="2"/>
      <c r="Y93" s="2"/>
      <c r="Z93" s="2"/>
      <c r="AA93" s="2"/>
      <c r="AB93" s="2"/>
      <c r="AC93" s="2"/>
      <c r="AD93" s="2"/>
    </row>
    <row r="94" spans="1:30" ht="12.5" x14ac:dyDescent="0.25">
      <c r="A94" s="2"/>
      <c r="B94" s="2"/>
      <c r="C94" s="11"/>
      <c r="D94" s="337"/>
      <c r="E94" s="277"/>
      <c r="F94" s="277"/>
      <c r="G94" s="277"/>
      <c r="H94" s="277"/>
      <c r="I94" s="338"/>
      <c r="J94" s="111"/>
      <c r="K94" s="316"/>
      <c r="L94" s="232"/>
      <c r="M94" s="316"/>
      <c r="N94" s="232"/>
      <c r="O94" s="317"/>
      <c r="P94" s="232"/>
      <c r="Q94" s="274"/>
      <c r="R94" s="245"/>
      <c r="S94" s="245"/>
      <c r="T94" s="245"/>
      <c r="U94" s="245"/>
      <c r="V94" s="246"/>
      <c r="W94" s="30"/>
      <c r="X94" s="2"/>
      <c r="Y94" s="2"/>
      <c r="Z94" s="2"/>
      <c r="AA94" s="2"/>
      <c r="AB94" s="2"/>
      <c r="AC94" s="2"/>
      <c r="AD94" s="2"/>
    </row>
    <row r="95" spans="1:30" ht="12.5" x14ac:dyDescent="0.25">
      <c r="A95" s="2"/>
      <c r="B95" s="2"/>
      <c r="C95" s="11"/>
      <c r="D95" s="93"/>
      <c r="E95" s="2"/>
      <c r="F95" s="2"/>
      <c r="G95" s="2"/>
      <c r="H95" s="2"/>
      <c r="I95" s="2"/>
      <c r="J95" s="3"/>
      <c r="K95" s="314"/>
      <c r="L95" s="142"/>
      <c r="M95" s="314"/>
      <c r="N95" s="142"/>
      <c r="O95" s="320"/>
      <c r="P95" s="236"/>
      <c r="Q95" s="318"/>
      <c r="R95" s="245"/>
      <c r="S95" s="245"/>
      <c r="T95" s="245"/>
      <c r="U95" s="245"/>
      <c r="V95" s="246"/>
      <c r="W95" s="30"/>
      <c r="X95" s="2"/>
      <c r="Y95" s="2"/>
      <c r="Z95" s="2"/>
      <c r="AA95" s="2"/>
      <c r="AB95" s="2"/>
      <c r="AC95" s="2"/>
      <c r="AD95" s="2"/>
    </row>
    <row r="96" spans="1:30" ht="12.5" x14ac:dyDescent="0.25">
      <c r="A96" s="2"/>
      <c r="B96" s="2"/>
      <c r="C96" s="11"/>
      <c r="D96" s="337"/>
      <c r="E96" s="277"/>
      <c r="F96" s="277"/>
      <c r="G96" s="277"/>
      <c r="H96" s="277"/>
      <c r="I96" s="338"/>
      <c r="J96" s="111"/>
      <c r="K96" s="316"/>
      <c r="L96" s="232"/>
      <c r="M96" s="316"/>
      <c r="N96" s="232"/>
      <c r="O96" s="317"/>
      <c r="P96" s="232"/>
      <c r="Q96" s="274"/>
      <c r="R96" s="245"/>
      <c r="S96" s="245"/>
      <c r="T96" s="245"/>
      <c r="U96" s="245"/>
      <c r="V96" s="246"/>
      <c r="W96" s="30"/>
      <c r="X96" s="2"/>
      <c r="Y96" s="2"/>
      <c r="Z96" s="2"/>
      <c r="AA96" s="2"/>
      <c r="AB96" s="2"/>
      <c r="AC96" s="2"/>
      <c r="AD96" s="2"/>
    </row>
    <row r="97" spans="1:30" ht="12.5" x14ac:dyDescent="0.25">
      <c r="A97" s="2"/>
      <c r="B97" s="2"/>
      <c r="C97" s="11"/>
      <c r="D97" s="93"/>
      <c r="E97" s="2"/>
      <c r="F97" s="2"/>
      <c r="G97" s="2"/>
      <c r="H97" s="2"/>
      <c r="I97" s="2"/>
      <c r="J97" s="3"/>
      <c r="K97" s="314"/>
      <c r="L97" s="142"/>
      <c r="M97" s="314"/>
      <c r="N97" s="142"/>
      <c r="O97" s="320"/>
      <c r="P97" s="236"/>
      <c r="Q97" s="318"/>
      <c r="R97" s="245"/>
      <c r="S97" s="245"/>
      <c r="T97" s="245"/>
      <c r="U97" s="245"/>
      <c r="V97" s="246"/>
      <c r="W97" s="30"/>
      <c r="X97" s="2"/>
      <c r="Y97" s="2"/>
      <c r="Z97" s="2"/>
      <c r="AA97" s="2"/>
      <c r="AB97" s="2"/>
      <c r="AC97" s="2"/>
      <c r="AD97" s="2"/>
    </row>
    <row r="98" spans="1:30" ht="12.5" x14ac:dyDescent="0.25">
      <c r="A98" s="2"/>
      <c r="B98" s="2"/>
      <c r="C98" s="11"/>
      <c r="D98" s="337"/>
      <c r="E98" s="277"/>
      <c r="F98" s="277"/>
      <c r="G98" s="277"/>
      <c r="H98" s="277"/>
      <c r="I98" s="338"/>
      <c r="J98" s="111"/>
      <c r="K98" s="316"/>
      <c r="L98" s="232"/>
      <c r="M98" s="316"/>
      <c r="N98" s="232"/>
      <c r="O98" s="317"/>
      <c r="P98" s="232"/>
      <c r="Q98" s="274"/>
      <c r="R98" s="245"/>
      <c r="S98" s="245"/>
      <c r="T98" s="245"/>
      <c r="U98" s="245"/>
      <c r="V98" s="246"/>
      <c r="W98" s="30"/>
      <c r="X98" s="2"/>
      <c r="Y98" s="2"/>
      <c r="Z98" s="2"/>
      <c r="AA98" s="2"/>
      <c r="AB98" s="2"/>
      <c r="AC98" s="2"/>
      <c r="AD98" s="2"/>
    </row>
    <row r="99" spans="1:30" ht="12.5" x14ac:dyDescent="0.25">
      <c r="A99" s="2"/>
      <c r="B99" s="2"/>
      <c r="C99" s="11"/>
      <c r="D99" s="93"/>
      <c r="E99" s="2"/>
      <c r="F99" s="2"/>
      <c r="G99" s="2"/>
      <c r="H99" s="2"/>
      <c r="I99" s="2"/>
      <c r="J99" s="3"/>
      <c r="K99" s="314"/>
      <c r="L99" s="142"/>
      <c r="M99" s="314"/>
      <c r="N99" s="142"/>
      <c r="O99" s="320"/>
      <c r="P99" s="236"/>
      <c r="Q99" s="318"/>
      <c r="R99" s="245"/>
      <c r="S99" s="245"/>
      <c r="T99" s="245"/>
      <c r="U99" s="245"/>
      <c r="V99" s="246"/>
      <c r="W99" s="30"/>
      <c r="X99" s="2"/>
      <c r="Y99" s="2"/>
      <c r="Z99" s="2"/>
      <c r="AA99" s="2"/>
      <c r="AB99" s="2"/>
      <c r="AC99" s="2"/>
      <c r="AD99" s="2"/>
    </row>
    <row r="100" spans="1:30" ht="12.5" x14ac:dyDescent="0.25">
      <c r="A100" s="2"/>
      <c r="B100" s="2"/>
      <c r="C100" s="11"/>
      <c r="D100" s="337"/>
      <c r="E100" s="277"/>
      <c r="F100" s="277"/>
      <c r="G100" s="277"/>
      <c r="H100" s="277"/>
      <c r="I100" s="338"/>
      <c r="J100" s="111"/>
      <c r="K100" s="316"/>
      <c r="L100" s="232"/>
      <c r="M100" s="316"/>
      <c r="N100" s="232"/>
      <c r="O100" s="317"/>
      <c r="P100" s="232"/>
      <c r="Q100" s="274"/>
      <c r="R100" s="245"/>
      <c r="S100" s="245"/>
      <c r="T100" s="245"/>
      <c r="U100" s="245"/>
      <c r="V100" s="246"/>
      <c r="W100" s="30"/>
      <c r="X100" s="2"/>
      <c r="Y100" s="2"/>
      <c r="Z100" s="2"/>
      <c r="AA100" s="2"/>
      <c r="AB100" s="2"/>
      <c r="AC100" s="2"/>
      <c r="AD100" s="2"/>
    </row>
    <row r="101" spans="1:30" ht="12.5" x14ac:dyDescent="0.25">
      <c r="A101" s="2"/>
      <c r="B101" s="2"/>
      <c r="C101" s="11"/>
      <c r="D101" s="93"/>
      <c r="E101" s="2"/>
      <c r="F101" s="2"/>
      <c r="G101" s="2"/>
      <c r="H101" s="2"/>
      <c r="I101" s="2"/>
      <c r="J101" s="3"/>
      <c r="K101" s="314"/>
      <c r="L101" s="142"/>
      <c r="M101" s="314"/>
      <c r="N101" s="142"/>
      <c r="O101" s="320"/>
      <c r="P101" s="236"/>
      <c r="Q101" s="318"/>
      <c r="R101" s="245"/>
      <c r="S101" s="245"/>
      <c r="T101" s="245"/>
      <c r="U101" s="245"/>
      <c r="V101" s="246"/>
      <c r="W101" s="30"/>
      <c r="X101" s="2"/>
      <c r="Y101" s="2"/>
      <c r="Z101" s="2"/>
      <c r="AA101" s="2"/>
      <c r="AB101" s="2"/>
      <c r="AC101" s="2"/>
      <c r="AD101" s="2"/>
    </row>
    <row r="102" spans="1:30" ht="12.5" x14ac:dyDescent="0.25">
      <c r="A102" s="2"/>
      <c r="B102" s="2"/>
      <c r="C102" s="11"/>
      <c r="D102" s="337"/>
      <c r="E102" s="277"/>
      <c r="F102" s="277"/>
      <c r="G102" s="277"/>
      <c r="H102" s="277"/>
      <c r="I102" s="338"/>
      <c r="J102" s="111"/>
      <c r="K102" s="316"/>
      <c r="L102" s="232"/>
      <c r="M102" s="316"/>
      <c r="N102" s="232"/>
      <c r="O102" s="317"/>
      <c r="P102" s="232"/>
      <c r="Q102" s="274"/>
      <c r="R102" s="245"/>
      <c r="S102" s="245"/>
      <c r="T102" s="245"/>
      <c r="U102" s="245"/>
      <c r="V102" s="246"/>
      <c r="W102" s="30"/>
      <c r="X102" s="2"/>
      <c r="Y102" s="2"/>
      <c r="Z102" s="2"/>
      <c r="AA102" s="2"/>
      <c r="AB102" s="2"/>
      <c r="AC102" s="2"/>
      <c r="AD102" s="2"/>
    </row>
    <row r="103" spans="1:30" ht="12.5" x14ac:dyDescent="0.25">
      <c r="A103" s="2"/>
      <c r="B103" s="2"/>
      <c r="C103" s="11"/>
      <c r="D103" s="93"/>
      <c r="E103" s="2"/>
      <c r="F103" s="2"/>
      <c r="G103" s="2"/>
      <c r="H103" s="2"/>
      <c r="I103" s="2"/>
      <c r="J103" s="3"/>
      <c r="K103" s="314"/>
      <c r="L103" s="142"/>
      <c r="M103" s="314"/>
      <c r="N103" s="142"/>
      <c r="O103" s="320"/>
      <c r="P103" s="236"/>
      <c r="Q103" s="318"/>
      <c r="R103" s="245"/>
      <c r="S103" s="245"/>
      <c r="T103" s="245"/>
      <c r="U103" s="245"/>
      <c r="V103" s="246"/>
      <c r="W103" s="30"/>
      <c r="X103" s="2"/>
      <c r="Y103" s="2"/>
      <c r="Z103" s="2"/>
      <c r="AA103" s="2"/>
      <c r="AB103" s="2"/>
      <c r="AC103" s="2"/>
      <c r="AD103" s="2"/>
    </row>
    <row r="104" spans="1:30" ht="12.5" x14ac:dyDescent="0.25">
      <c r="A104" s="2"/>
      <c r="B104" s="2"/>
      <c r="C104" s="11"/>
      <c r="D104" s="337"/>
      <c r="E104" s="277"/>
      <c r="F104" s="277"/>
      <c r="G104" s="277"/>
      <c r="H104" s="277"/>
      <c r="I104" s="338"/>
      <c r="J104" s="111"/>
      <c r="K104" s="316"/>
      <c r="L104" s="232"/>
      <c r="M104" s="316"/>
      <c r="N104" s="232"/>
      <c r="O104" s="317"/>
      <c r="P104" s="232"/>
      <c r="Q104" s="274"/>
      <c r="R104" s="245"/>
      <c r="S104" s="245"/>
      <c r="T104" s="245"/>
      <c r="U104" s="245"/>
      <c r="V104" s="246"/>
      <c r="W104" s="30"/>
      <c r="X104" s="2"/>
      <c r="Y104" s="2"/>
      <c r="Z104" s="2"/>
      <c r="AA104" s="2"/>
      <c r="AB104" s="2"/>
      <c r="AC104" s="2"/>
      <c r="AD104" s="2"/>
    </row>
    <row r="105" spans="1:30" ht="12.5" x14ac:dyDescent="0.25">
      <c r="A105" s="2"/>
      <c r="B105" s="2"/>
      <c r="C105" s="11"/>
      <c r="D105" s="93"/>
      <c r="E105" s="2"/>
      <c r="F105" s="2"/>
      <c r="G105" s="2"/>
      <c r="H105" s="2"/>
      <c r="I105" s="2"/>
      <c r="J105" s="3"/>
      <c r="K105" s="314"/>
      <c r="L105" s="142"/>
      <c r="M105" s="314"/>
      <c r="N105" s="142"/>
      <c r="O105" s="320"/>
      <c r="P105" s="236"/>
      <c r="Q105" s="318"/>
      <c r="R105" s="245"/>
      <c r="S105" s="245"/>
      <c r="T105" s="245"/>
      <c r="U105" s="245"/>
      <c r="V105" s="246"/>
      <c r="W105" s="30"/>
      <c r="X105" s="2"/>
      <c r="Y105" s="2"/>
      <c r="Z105" s="2"/>
      <c r="AA105" s="2"/>
      <c r="AB105" s="2"/>
      <c r="AC105" s="2"/>
      <c r="AD105" s="2"/>
    </row>
    <row r="106" spans="1:30" ht="12.5" x14ac:dyDescent="0.25">
      <c r="A106" s="2"/>
      <c r="B106" s="2"/>
      <c r="C106" s="11"/>
      <c r="D106" s="337"/>
      <c r="E106" s="277"/>
      <c r="F106" s="277"/>
      <c r="G106" s="277"/>
      <c r="H106" s="277"/>
      <c r="I106" s="338"/>
      <c r="J106" s="111"/>
      <c r="K106" s="316"/>
      <c r="L106" s="232"/>
      <c r="M106" s="316"/>
      <c r="N106" s="232"/>
      <c r="O106" s="317"/>
      <c r="P106" s="232"/>
      <c r="Q106" s="274"/>
      <c r="R106" s="245"/>
      <c r="S106" s="245"/>
      <c r="T106" s="245"/>
      <c r="U106" s="245"/>
      <c r="V106" s="246"/>
      <c r="W106" s="30"/>
      <c r="X106" s="2"/>
      <c r="Y106" s="2"/>
      <c r="Z106" s="2"/>
      <c r="AA106" s="2"/>
      <c r="AB106" s="2"/>
      <c r="AC106" s="2"/>
      <c r="AD106" s="2"/>
    </row>
    <row r="107" spans="1:30" ht="12.5" x14ac:dyDescent="0.25">
      <c r="A107" s="2"/>
      <c r="B107" s="2"/>
      <c r="C107" s="11"/>
      <c r="D107" s="93"/>
      <c r="E107" s="2"/>
      <c r="F107" s="2"/>
      <c r="G107" s="2"/>
      <c r="H107" s="2"/>
      <c r="I107" s="2"/>
      <c r="J107" s="3"/>
      <c r="K107" s="314"/>
      <c r="L107" s="142"/>
      <c r="M107" s="314"/>
      <c r="N107" s="142"/>
      <c r="O107" s="320"/>
      <c r="P107" s="236"/>
      <c r="Q107" s="318"/>
      <c r="R107" s="245"/>
      <c r="S107" s="245"/>
      <c r="T107" s="245"/>
      <c r="U107" s="245"/>
      <c r="V107" s="246"/>
      <c r="W107" s="30"/>
      <c r="X107" s="2"/>
      <c r="Y107" s="2"/>
      <c r="Z107" s="2"/>
      <c r="AA107" s="2"/>
      <c r="AB107" s="2"/>
      <c r="AC107" s="2"/>
      <c r="AD107" s="2"/>
    </row>
    <row r="108" spans="1:30" ht="12.5" x14ac:dyDescent="0.25">
      <c r="A108" s="2"/>
      <c r="B108" s="2"/>
      <c r="C108" s="11"/>
      <c r="D108" s="337"/>
      <c r="E108" s="277"/>
      <c r="F108" s="277"/>
      <c r="G108" s="277"/>
      <c r="H108" s="277"/>
      <c r="I108" s="338"/>
      <c r="J108" s="111"/>
      <c r="K108" s="316"/>
      <c r="L108" s="232"/>
      <c r="M108" s="316"/>
      <c r="N108" s="232"/>
      <c r="O108" s="317"/>
      <c r="P108" s="232"/>
      <c r="Q108" s="274"/>
      <c r="R108" s="245"/>
      <c r="S108" s="245"/>
      <c r="T108" s="245"/>
      <c r="U108" s="245"/>
      <c r="V108" s="246"/>
      <c r="W108" s="30"/>
      <c r="X108" s="2"/>
      <c r="Y108" s="2"/>
      <c r="Z108" s="2"/>
      <c r="AA108" s="2"/>
      <c r="AB108" s="2"/>
      <c r="AC108" s="2"/>
      <c r="AD108" s="2"/>
    </row>
    <row r="109" spans="1:30" ht="12.5" x14ac:dyDescent="0.25">
      <c r="A109" s="2"/>
      <c r="B109" s="2"/>
      <c r="C109" s="11"/>
      <c r="D109" s="93"/>
      <c r="E109" s="2"/>
      <c r="F109" s="2"/>
      <c r="G109" s="2"/>
      <c r="H109" s="2"/>
      <c r="I109" s="2"/>
      <c r="J109" s="3"/>
      <c r="K109" s="314"/>
      <c r="L109" s="142"/>
      <c r="M109" s="314"/>
      <c r="N109" s="142"/>
      <c r="O109" s="320"/>
      <c r="P109" s="236"/>
      <c r="Q109" s="318"/>
      <c r="R109" s="245"/>
      <c r="S109" s="245"/>
      <c r="T109" s="245"/>
      <c r="U109" s="245"/>
      <c r="V109" s="246"/>
      <c r="W109" s="30"/>
      <c r="X109" s="2"/>
      <c r="Y109" s="2"/>
      <c r="Z109" s="2"/>
      <c r="AA109" s="2"/>
      <c r="AB109" s="2"/>
      <c r="AC109" s="2"/>
      <c r="AD109" s="2"/>
    </row>
    <row r="110" spans="1:30" ht="12.5" x14ac:dyDescent="0.25">
      <c r="A110" s="2"/>
      <c r="B110" s="2"/>
      <c r="C110" s="11"/>
      <c r="D110" s="337"/>
      <c r="E110" s="277"/>
      <c r="F110" s="277"/>
      <c r="G110" s="277"/>
      <c r="H110" s="277"/>
      <c r="I110" s="338"/>
      <c r="J110" s="111"/>
      <c r="K110" s="316"/>
      <c r="L110" s="232"/>
      <c r="M110" s="316"/>
      <c r="N110" s="232"/>
      <c r="O110" s="317"/>
      <c r="P110" s="232"/>
      <c r="Q110" s="274"/>
      <c r="R110" s="245"/>
      <c r="S110" s="245"/>
      <c r="T110" s="245"/>
      <c r="U110" s="245"/>
      <c r="V110" s="246"/>
      <c r="W110" s="30"/>
      <c r="X110" s="2"/>
      <c r="Y110" s="2"/>
      <c r="Z110" s="2"/>
      <c r="AA110" s="2"/>
      <c r="AB110" s="2"/>
      <c r="AC110" s="2"/>
      <c r="AD110" s="2"/>
    </row>
    <row r="111" spans="1:30" ht="12.5" x14ac:dyDescent="0.25">
      <c r="A111" s="2"/>
      <c r="B111" s="2"/>
      <c r="C111" s="11"/>
      <c r="D111" s="93"/>
      <c r="E111" s="2"/>
      <c r="F111" s="2"/>
      <c r="G111" s="2"/>
      <c r="H111" s="2"/>
      <c r="I111" s="2"/>
      <c r="J111" s="3"/>
      <c r="K111" s="314"/>
      <c r="L111" s="142"/>
      <c r="M111" s="314"/>
      <c r="N111" s="142"/>
      <c r="O111" s="320"/>
      <c r="P111" s="236"/>
      <c r="Q111" s="318"/>
      <c r="R111" s="245"/>
      <c r="S111" s="245"/>
      <c r="T111" s="245"/>
      <c r="U111" s="245"/>
      <c r="V111" s="246"/>
      <c r="W111" s="30"/>
      <c r="X111" s="2"/>
      <c r="Y111" s="2"/>
      <c r="Z111" s="2"/>
      <c r="AA111" s="2"/>
      <c r="AB111" s="2"/>
      <c r="AC111" s="2"/>
      <c r="AD111" s="2"/>
    </row>
    <row r="112" spans="1:30" ht="12.5" x14ac:dyDescent="0.25">
      <c r="A112" s="2"/>
      <c r="B112" s="2"/>
      <c r="C112" s="11"/>
      <c r="D112" s="337"/>
      <c r="E112" s="277"/>
      <c r="F112" s="277"/>
      <c r="G112" s="277"/>
      <c r="H112" s="277"/>
      <c r="I112" s="338"/>
      <c r="J112" s="111"/>
      <c r="K112" s="316"/>
      <c r="L112" s="232"/>
      <c r="M112" s="316"/>
      <c r="N112" s="232"/>
      <c r="O112" s="317"/>
      <c r="P112" s="232"/>
      <c r="Q112" s="274"/>
      <c r="R112" s="245"/>
      <c r="S112" s="245"/>
      <c r="T112" s="245"/>
      <c r="U112" s="245"/>
      <c r="V112" s="246"/>
      <c r="W112" s="30"/>
      <c r="X112" s="2"/>
      <c r="Y112" s="2"/>
      <c r="Z112" s="2"/>
      <c r="AA112" s="2"/>
      <c r="AB112" s="2"/>
      <c r="AC112" s="2"/>
      <c r="AD112" s="2"/>
    </row>
    <row r="113" spans="1:30" ht="12.5" x14ac:dyDescent="0.25">
      <c r="A113" s="2"/>
      <c r="B113" s="2"/>
      <c r="C113" s="11"/>
      <c r="D113" s="93"/>
      <c r="E113" s="2"/>
      <c r="F113" s="2"/>
      <c r="G113" s="2"/>
      <c r="H113" s="2"/>
      <c r="I113" s="2"/>
      <c r="J113" s="3"/>
      <c r="K113" s="314"/>
      <c r="L113" s="142"/>
      <c r="M113" s="314"/>
      <c r="N113" s="142"/>
      <c r="O113" s="320"/>
      <c r="P113" s="236"/>
      <c r="Q113" s="318"/>
      <c r="R113" s="245"/>
      <c r="S113" s="245"/>
      <c r="T113" s="245"/>
      <c r="U113" s="245"/>
      <c r="V113" s="246"/>
      <c r="W113" s="30"/>
      <c r="X113" s="2"/>
      <c r="Y113" s="2"/>
      <c r="Z113" s="2"/>
      <c r="AA113" s="2"/>
      <c r="AB113" s="2"/>
      <c r="AC113" s="2"/>
      <c r="AD113" s="2"/>
    </row>
    <row r="114" spans="1:30" ht="12.5" x14ac:dyDescent="0.25">
      <c r="A114" s="2"/>
      <c r="B114" s="2"/>
      <c r="C114" s="11"/>
      <c r="D114" s="337"/>
      <c r="E114" s="277"/>
      <c r="F114" s="277"/>
      <c r="G114" s="277"/>
      <c r="H114" s="277"/>
      <c r="I114" s="338"/>
      <c r="J114" s="111"/>
      <c r="K114" s="316"/>
      <c r="L114" s="232"/>
      <c r="M114" s="316"/>
      <c r="N114" s="232"/>
      <c r="O114" s="317"/>
      <c r="P114" s="232"/>
      <c r="Q114" s="274"/>
      <c r="R114" s="245"/>
      <c r="S114" s="245"/>
      <c r="T114" s="245"/>
      <c r="U114" s="245"/>
      <c r="V114" s="246"/>
      <c r="W114" s="30"/>
      <c r="X114" s="2"/>
      <c r="Y114" s="2"/>
      <c r="Z114" s="2"/>
      <c r="AA114" s="2"/>
      <c r="AB114" s="2"/>
      <c r="AC114" s="2"/>
      <c r="AD114" s="2"/>
    </row>
    <row r="115" spans="1:30" ht="12.5" x14ac:dyDescent="0.25">
      <c r="A115" s="2"/>
      <c r="B115" s="2"/>
      <c r="C115" s="11"/>
      <c r="D115" s="93"/>
      <c r="E115" s="2"/>
      <c r="F115" s="2"/>
      <c r="G115" s="2"/>
      <c r="H115" s="2"/>
      <c r="I115" s="2"/>
      <c r="J115" s="3"/>
      <c r="K115" s="314"/>
      <c r="L115" s="142"/>
      <c r="M115" s="314"/>
      <c r="N115" s="142"/>
      <c r="O115" s="320"/>
      <c r="P115" s="236"/>
      <c r="Q115" s="318"/>
      <c r="R115" s="245"/>
      <c r="S115" s="245"/>
      <c r="T115" s="245"/>
      <c r="U115" s="245"/>
      <c r="V115" s="246"/>
      <c r="W115" s="30"/>
      <c r="X115" s="2"/>
      <c r="Y115" s="2"/>
      <c r="Z115" s="2"/>
      <c r="AA115" s="2"/>
      <c r="AB115" s="2"/>
      <c r="AC115" s="2"/>
      <c r="AD115" s="2"/>
    </row>
    <row r="116" spans="1:30" ht="12.5" x14ac:dyDescent="0.25">
      <c r="A116" s="2"/>
      <c r="B116" s="2"/>
      <c r="C116" s="11"/>
      <c r="D116" s="337"/>
      <c r="E116" s="277"/>
      <c r="F116" s="277"/>
      <c r="G116" s="277"/>
      <c r="H116" s="277"/>
      <c r="I116" s="338"/>
      <c r="J116" s="111"/>
      <c r="K116" s="316"/>
      <c r="L116" s="232"/>
      <c r="M116" s="316"/>
      <c r="N116" s="232"/>
      <c r="O116" s="317"/>
      <c r="P116" s="232"/>
      <c r="Q116" s="274"/>
      <c r="R116" s="245"/>
      <c r="S116" s="245"/>
      <c r="T116" s="245"/>
      <c r="U116" s="245"/>
      <c r="V116" s="246"/>
      <c r="W116" s="30"/>
      <c r="X116" s="2"/>
      <c r="Y116" s="2"/>
      <c r="Z116" s="2"/>
      <c r="AA116" s="2"/>
      <c r="AB116" s="2"/>
      <c r="AC116" s="2"/>
      <c r="AD116" s="2"/>
    </row>
    <row r="117" spans="1:30" ht="12.5" x14ac:dyDescent="0.25">
      <c r="A117" s="2"/>
      <c r="B117" s="2"/>
      <c r="C117" s="11"/>
      <c r="D117" s="93"/>
      <c r="E117" s="2"/>
      <c r="F117" s="2"/>
      <c r="G117" s="2"/>
      <c r="H117" s="2"/>
      <c r="I117" s="2"/>
      <c r="J117" s="3"/>
      <c r="K117" s="314"/>
      <c r="L117" s="142"/>
      <c r="M117" s="314"/>
      <c r="N117" s="142"/>
      <c r="O117" s="320"/>
      <c r="P117" s="236"/>
      <c r="Q117" s="318"/>
      <c r="R117" s="245"/>
      <c r="S117" s="245"/>
      <c r="T117" s="245"/>
      <c r="U117" s="245"/>
      <c r="V117" s="246"/>
      <c r="W117" s="30"/>
      <c r="X117" s="2"/>
      <c r="Y117" s="2"/>
      <c r="Z117" s="2"/>
      <c r="AA117" s="2"/>
      <c r="AB117" s="2"/>
      <c r="AC117" s="2"/>
      <c r="AD117" s="2"/>
    </row>
    <row r="118" spans="1:30" ht="12.5" x14ac:dyDescent="0.25">
      <c r="A118" s="2"/>
      <c r="B118" s="2"/>
      <c r="C118" s="11"/>
      <c r="D118" s="337"/>
      <c r="E118" s="277"/>
      <c r="F118" s="277"/>
      <c r="G118" s="277"/>
      <c r="H118" s="277"/>
      <c r="I118" s="338"/>
      <c r="J118" s="111"/>
      <c r="K118" s="316"/>
      <c r="L118" s="232"/>
      <c r="M118" s="316"/>
      <c r="N118" s="232"/>
      <c r="O118" s="317"/>
      <c r="P118" s="232"/>
      <c r="Q118" s="274"/>
      <c r="R118" s="245"/>
      <c r="S118" s="245"/>
      <c r="T118" s="245"/>
      <c r="U118" s="245"/>
      <c r="V118" s="246"/>
      <c r="W118" s="30"/>
      <c r="X118" s="2"/>
      <c r="Y118" s="2"/>
      <c r="Z118" s="2"/>
      <c r="AA118" s="2"/>
      <c r="AB118" s="2"/>
      <c r="AC118" s="2"/>
      <c r="AD118" s="2"/>
    </row>
    <row r="119" spans="1:30" ht="12.5" x14ac:dyDescent="0.25">
      <c r="A119" s="2"/>
      <c r="B119" s="2"/>
      <c r="C119" s="11"/>
      <c r="D119" s="112"/>
      <c r="E119" s="28"/>
      <c r="F119" s="28"/>
      <c r="G119" s="28"/>
      <c r="H119" s="28"/>
      <c r="I119" s="28"/>
      <c r="J119" s="5"/>
      <c r="K119" s="339"/>
      <c r="L119" s="198"/>
      <c r="M119" s="339"/>
      <c r="N119" s="198"/>
      <c r="O119" s="320"/>
      <c r="P119" s="236"/>
      <c r="Q119" s="322"/>
      <c r="R119" s="194"/>
      <c r="S119" s="194"/>
      <c r="T119" s="194"/>
      <c r="U119" s="194"/>
      <c r="V119" s="323"/>
      <c r="W119" s="30"/>
      <c r="X119" s="2"/>
      <c r="Y119" s="2"/>
      <c r="Z119" s="2"/>
      <c r="AA119" s="2"/>
      <c r="AB119" s="2"/>
      <c r="AC119" s="2"/>
      <c r="AD119" s="2"/>
    </row>
    <row r="120" spans="1:30" ht="13" x14ac:dyDescent="0.3">
      <c r="A120" s="2"/>
      <c r="B120" s="2"/>
      <c r="C120" s="11"/>
      <c r="D120" s="335" t="s">
        <v>14</v>
      </c>
      <c r="E120" s="224"/>
      <c r="F120" s="224"/>
      <c r="G120" s="224"/>
      <c r="H120" s="224"/>
      <c r="I120" s="224"/>
      <c r="J120" s="224"/>
      <c r="K120" s="224"/>
      <c r="L120" s="224"/>
      <c r="M120" s="224"/>
      <c r="N120" s="273"/>
      <c r="O120" s="340">
        <f>SUM(O59:P119)</f>
        <v>0</v>
      </c>
      <c r="P120" s="273"/>
      <c r="Q120" s="113"/>
      <c r="R120" s="113"/>
      <c r="S120" s="113"/>
      <c r="T120" s="113"/>
      <c r="U120" s="113"/>
      <c r="V120" s="114"/>
      <c r="W120" s="30"/>
      <c r="X120" s="2"/>
      <c r="Y120" s="2"/>
      <c r="Z120" s="2"/>
      <c r="AA120" s="2"/>
      <c r="AB120" s="2"/>
      <c r="AC120" s="2"/>
      <c r="AD120" s="2"/>
    </row>
    <row r="121" spans="1:30" ht="12.5" x14ac:dyDescent="0.25">
      <c r="A121" s="2"/>
      <c r="B121" s="2"/>
      <c r="C121" s="2"/>
      <c r="D121" s="35"/>
      <c r="E121" s="35"/>
      <c r="F121" s="35"/>
      <c r="G121" s="35"/>
      <c r="H121" s="35"/>
      <c r="I121" s="35"/>
      <c r="J121" s="4"/>
      <c r="K121" s="4"/>
      <c r="L121" s="4"/>
      <c r="M121" s="4"/>
      <c r="N121" s="4"/>
      <c r="O121" s="4"/>
      <c r="P121" s="4"/>
      <c r="Q121" s="35"/>
      <c r="R121" s="35"/>
      <c r="S121" s="35"/>
      <c r="T121" s="35"/>
      <c r="U121" s="35"/>
      <c r="V121" s="35"/>
      <c r="W121" s="2"/>
      <c r="X121" s="2"/>
      <c r="Y121" s="2"/>
      <c r="Z121" s="2"/>
      <c r="AA121" s="2"/>
      <c r="AB121" s="2"/>
      <c r="AC121" s="2"/>
      <c r="AD121" s="2"/>
    </row>
    <row r="122" spans="1:30" ht="12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3"/>
      <c r="K122" s="3"/>
      <c r="L122" s="3"/>
      <c r="M122" s="3"/>
      <c r="N122" s="3"/>
      <c r="O122" s="3"/>
      <c r="P122" s="3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2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3"/>
      <c r="K123" s="3"/>
      <c r="L123" s="3"/>
      <c r="M123" s="3"/>
      <c r="N123" s="3"/>
      <c r="O123" s="3"/>
      <c r="P123" s="3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2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3"/>
      <c r="K124" s="3"/>
      <c r="L124" s="3"/>
      <c r="M124" s="3"/>
      <c r="N124" s="3"/>
      <c r="O124" s="3"/>
      <c r="P124" s="3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2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3"/>
      <c r="K125" s="3"/>
      <c r="L125" s="3"/>
      <c r="M125" s="3"/>
      <c r="N125" s="3"/>
      <c r="O125" s="3"/>
      <c r="P125" s="3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2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3"/>
      <c r="K126" s="3"/>
      <c r="L126" s="3"/>
      <c r="M126" s="3"/>
      <c r="N126" s="3"/>
      <c r="O126" s="3"/>
      <c r="P126" s="3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2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3"/>
      <c r="K127" s="3"/>
      <c r="L127" s="3"/>
      <c r="M127" s="3"/>
      <c r="N127" s="3"/>
      <c r="O127" s="3"/>
      <c r="P127" s="3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2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3"/>
      <c r="K128" s="3"/>
      <c r="L128" s="3"/>
      <c r="M128" s="3"/>
      <c r="N128" s="3"/>
      <c r="O128" s="3"/>
      <c r="P128" s="3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2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3"/>
      <c r="K129" s="3"/>
      <c r="L129" s="3"/>
      <c r="M129" s="3"/>
      <c r="N129" s="3"/>
      <c r="O129" s="3"/>
      <c r="P129" s="3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2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3"/>
      <c r="K130" s="3"/>
      <c r="L130" s="3"/>
      <c r="M130" s="3"/>
      <c r="N130" s="3"/>
      <c r="O130" s="3"/>
      <c r="P130" s="3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2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3"/>
      <c r="K131" s="3"/>
      <c r="L131" s="3"/>
      <c r="M131" s="3"/>
      <c r="N131" s="3"/>
      <c r="O131" s="3"/>
      <c r="P131" s="3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2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3"/>
      <c r="K132" s="3"/>
      <c r="L132" s="3"/>
      <c r="M132" s="3"/>
      <c r="N132" s="3"/>
      <c r="O132" s="3"/>
      <c r="P132" s="3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2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3"/>
      <c r="K133" s="3"/>
      <c r="L133" s="3"/>
      <c r="M133" s="3"/>
      <c r="N133" s="3"/>
      <c r="O133" s="3"/>
      <c r="P133" s="3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2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3"/>
      <c r="K134" s="3"/>
      <c r="L134" s="3"/>
      <c r="M134" s="3"/>
      <c r="N134" s="3"/>
      <c r="O134" s="3"/>
      <c r="P134" s="3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2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3"/>
      <c r="K135" s="3"/>
      <c r="L135" s="3"/>
      <c r="M135" s="3"/>
      <c r="N135" s="3"/>
      <c r="O135" s="3"/>
      <c r="P135" s="3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2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3"/>
      <c r="K136" s="3"/>
      <c r="L136" s="3"/>
      <c r="M136" s="3"/>
      <c r="N136" s="3"/>
      <c r="O136" s="3"/>
      <c r="P136" s="3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2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3"/>
      <c r="K137" s="3"/>
      <c r="L137" s="3"/>
      <c r="M137" s="3"/>
      <c r="N137" s="3"/>
      <c r="O137" s="3"/>
      <c r="P137" s="3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2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3"/>
      <c r="K138" s="3"/>
      <c r="L138" s="3"/>
      <c r="M138" s="3"/>
      <c r="N138" s="3"/>
      <c r="O138" s="3"/>
      <c r="P138" s="3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2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3"/>
      <c r="K139" s="3"/>
      <c r="L139" s="3"/>
      <c r="M139" s="3"/>
      <c r="N139" s="3"/>
      <c r="O139" s="3"/>
      <c r="P139" s="3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2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3"/>
      <c r="K140" s="3"/>
      <c r="L140" s="3"/>
      <c r="M140" s="3"/>
      <c r="N140" s="3"/>
      <c r="O140" s="3"/>
      <c r="P140" s="3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2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3"/>
      <c r="K141" s="3"/>
      <c r="L141" s="3"/>
      <c r="M141" s="3"/>
      <c r="N141" s="3"/>
      <c r="O141" s="3"/>
      <c r="P141" s="3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2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3"/>
      <c r="K142" s="3"/>
      <c r="L142" s="3"/>
      <c r="M142" s="3"/>
      <c r="N142" s="3"/>
      <c r="O142" s="3"/>
      <c r="P142" s="3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2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3"/>
      <c r="K143" s="3"/>
      <c r="L143" s="3"/>
      <c r="M143" s="3"/>
      <c r="N143" s="3"/>
      <c r="O143" s="3"/>
      <c r="P143" s="3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2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3"/>
      <c r="K144" s="3"/>
      <c r="L144" s="3"/>
      <c r="M144" s="3"/>
      <c r="N144" s="3"/>
      <c r="O144" s="3"/>
      <c r="P144" s="3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2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3"/>
      <c r="K145" s="3"/>
      <c r="L145" s="3"/>
      <c r="M145" s="3"/>
      <c r="N145" s="3"/>
      <c r="O145" s="3"/>
      <c r="P145" s="3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2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3"/>
      <c r="K146" s="3"/>
      <c r="L146" s="3"/>
      <c r="M146" s="3"/>
      <c r="N146" s="3"/>
      <c r="O146" s="3"/>
      <c r="P146" s="3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2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3"/>
      <c r="K147" s="3"/>
      <c r="L147" s="3"/>
      <c r="M147" s="3"/>
      <c r="N147" s="3"/>
      <c r="O147" s="3"/>
      <c r="P147" s="3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2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3"/>
      <c r="K148" s="3"/>
      <c r="L148" s="3"/>
      <c r="M148" s="3"/>
      <c r="N148" s="3"/>
      <c r="O148" s="3"/>
      <c r="P148" s="3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2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3"/>
      <c r="K149" s="3"/>
      <c r="L149" s="3"/>
      <c r="M149" s="3"/>
      <c r="N149" s="3"/>
      <c r="O149" s="3"/>
      <c r="P149" s="3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2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3"/>
      <c r="K150" s="3"/>
      <c r="L150" s="3"/>
      <c r="M150" s="3"/>
      <c r="N150" s="3"/>
      <c r="O150" s="3"/>
      <c r="P150" s="3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2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3"/>
      <c r="K151" s="3"/>
      <c r="L151" s="3"/>
      <c r="M151" s="3"/>
      <c r="N151" s="3"/>
      <c r="O151" s="3"/>
      <c r="P151" s="3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2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3"/>
      <c r="K152" s="3"/>
      <c r="L152" s="3"/>
      <c r="M152" s="3"/>
      <c r="N152" s="3"/>
      <c r="O152" s="3"/>
      <c r="P152" s="3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2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3"/>
      <c r="K153" s="3"/>
      <c r="L153" s="3"/>
      <c r="M153" s="3"/>
      <c r="N153" s="3"/>
      <c r="O153" s="3"/>
      <c r="P153" s="3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2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3"/>
      <c r="K154" s="3"/>
      <c r="L154" s="3"/>
      <c r="M154" s="3"/>
      <c r="N154" s="3"/>
      <c r="O154" s="3"/>
      <c r="P154" s="3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2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3"/>
      <c r="K155" s="3"/>
      <c r="L155" s="3"/>
      <c r="M155" s="3"/>
      <c r="N155" s="3"/>
      <c r="O155" s="3"/>
      <c r="P155" s="3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2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3"/>
      <c r="K156" s="3"/>
      <c r="L156" s="3"/>
      <c r="M156" s="3"/>
      <c r="N156" s="3"/>
      <c r="O156" s="3"/>
      <c r="P156" s="3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2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3"/>
      <c r="K157" s="3"/>
      <c r="L157" s="3"/>
      <c r="M157" s="3"/>
      <c r="N157" s="3"/>
      <c r="O157" s="3"/>
      <c r="P157" s="3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2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3"/>
      <c r="K158" s="3"/>
      <c r="L158" s="3"/>
      <c r="M158" s="3"/>
      <c r="N158" s="3"/>
      <c r="O158" s="3"/>
      <c r="P158" s="3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2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3"/>
      <c r="K159" s="3"/>
      <c r="L159" s="3"/>
      <c r="M159" s="3"/>
      <c r="N159" s="3"/>
      <c r="O159" s="3"/>
      <c r="P159" s="3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2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3"/>
      <c r="K160" s="3"/>
      <c r="L160" s="3"/>
      <c r="M160" s="3"/>
      <c r="N160" s="3"/>
      <c r="O160" s="3"/>
      <c r="P160" s="3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2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3"/>
      <c r="K161" s="3"/>
      <c r="L161" s="3"/>
      <c r="M161" s="3"/>
      <c r="N161" s="3"/>
      <c r="O161" s="3"/>
      <c r="P161" s="3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2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3"/>
      <c r="K162" s="3"/>
      <c r="L162" s="3"/>
      <c r="M162" s="3"/>
      <c r="N162" s="3"/>
      <c r="O162" s="3"/>
      <c r="P162" s="3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2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3"/>
      <c r="K163" s="3"/>
      <c r="L163" s="3"/>
      <c r="M163" s="3"/>
      <c r="N163" s="3"/>
      <c r="O163" s="3"/>
      <c r="P163" s="3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2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3"/>
      <c r="K164" s="3"/>
      <c r="L164" s="3"/>
      <c r="M164" s="3"/>
      <c r="N164" s="3"/>
      <c r="O164" s="3"/>
      <c r="P164" s="3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2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3"/>
      <c r="K165" s="3"/>
      <c r="L165" s="3"/>
      <c r="M165" s="3"/>
      <c r="N165" s="3"/>
      <c r="O165" s="3"/>
      <c r="P165" s="3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2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3"/>
      <c r="K166" s="3"/>
      <c r="L166" s="3"/>
      <c r="M166" s="3"/>
      <c r="N166" s="3"/>
      <c r="O166" s="3"/>
      <c r="P166" s="3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2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3"/>
      <c r="K167" s="3"/>
      <c r="L167" s="3"/>
      <c r="M167" s="3"/>
      <c r="N167" s="3"/>
      <c r="O167" s="3"/>
      <c r="P167" s="3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2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3"/>
      <c r="K168" s="3"/>
      <c r="L168" s="3"/>
      <c r="M168" s="3"/>
      <c r="N168" s="3"/>
      <c r="O168" s="3"/>
      <c r="P168" s="3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2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3"/>
      <c r="K169" s="3"/>
      <c r="L169" s="3"/>
      <c r="M169" s="3"/>
      <c r="N169" s="3"/>
      <c r="O169" s="3"/>
      <c r="P169" s="3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2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3"/>
      <c r="K170" s="3"/>
      <c r="L170" s="3"/>
      <c r="M170" s="3"/>
      <c r="N170" s="3"/>
      <c r="O170" s="3"/>
      <c r="P170" s="3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2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3"/>
      <c r="K171" s="3"/>
      <c r="L171" s="3"/>
      <c r="M171" s="3"/>
      <c r="N171" s="3"/>
      <c r="O171" s="3"/>
      <c r="P171" s="3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2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3"/>
      <c r="K172" s="3"/>
      <c r="L172" s="3"/>
      <c r="M172" s="3"/>
      <c r="N172" s="3"/>
      <c r="O172" s="3"/>
      <c r="P172" s="3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2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3"/>
      <c r="K173" s="3"/>
      <c r="L173" s="3"/>
      <c r="M173" s="3"/>
      <c r="N173" s="3"/>
      <c r="O173" s="3"/>
      <c r="P173" s="3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2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3"/>
      <c r="K174" s="3"/>
      <c r="L174" s="3"/>
      <c r="M174" s="3"/>
      <c r="N174" s="3"/>
      <c r="O174" s="3"/>
      <c r="P174" s="3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2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3"/>
      <c r="K175" s="3"/>
      <c r="L175" s="3"/>
      <c r="M175" s="3"/>
      <c r="N175" s="3"/>
      <c r="O175" s="3"/>
      <c r="P175" s="3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2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3"/>
      <c r="K176" s="3"/>
      <c r="L176" s="3"/>
      <c r="M176" s="3"/>
      <c r="N176" s="3"/>
      <c r="O176" s="3"/>
      <c r="P176" s="3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2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3"/>
      <c r="K177" s="3"/>
      <c r="L177" s="3"/>
      <c r="M177" s="3"/>
      <c r="N177" s="3"/>
      <c r="O177" s="3"/>
      <c r="P177" s="3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2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3"/>
      <c r="K178" s="3"/>
      <c r="L178" s="3"/>
      <c r="M178" s="3"/>
      <c r="N178" s="3"/>
      <c r="O178" s="3"/>
      <c r="P178" s="3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2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3"/>
      <c r="K179" s="3"/>
      <c r="L179" s="3"/>
      <c r="M179" s="3"/>
      <c r="N179" s="3"/>
      <c r="O179" s="3"/>
      <c r="P179" s="3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2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3"/>
      <c r="K180" s="3"/>
      <c r="L180" s="3"/>
      <c r="M180" s="3"/>
      <c r="N180" s="3"/>
      <c r="O180" s="3"/>
      <c r="P180" s="3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2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3"/>
      <c r="K181" s="3"/>
      <c r="L181" s="3"/>
      <c r="M181" s="3"/>
      <c r="N181" s="3"/>
      <c r="O181" s="3"/>
      <c r="P181" s="3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2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3"/>
      <c r="K182" s="3"/>
      <c r="L182" s="3"/>
      <c r="M182" s="3"/>
      <c r="N182" s="3"/>
      <c r="O182" s="3"/>
      <c r="P182" s="3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2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3"/>
      <c r="K183" s="3"/>
      <c r="L183" s="3"/>
      <c r="M183" s="3"/>
      <c r="N183" s="3"/>
      <c r="O183" s="3"/>
      <c r="P183" s="3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2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3"/>
      <c r="K184" s="3"/>
      <c r="L184" s="3"/>
      <c r="M184" s="3"/>
      <c r="N184" s="3"/>
      <c r="O184" s="3"/>
      <c r="P184" s="3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2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3"/>
      <c r="K185" s="3"/>
      <c r="L185" s="3"/>
      <c r="M185" s="3"/>
      <c r="N185" s="3"/>
      <c r="O185" s="3"/>
      <c r="P185" s="3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2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3"/>
      <c r="K186" s="3"/>
      <c r="L186" s="3"/>
      <c r="M186" s="3"/>
      <c r="N186" s="3"/>
      <c r="O186" s="3"/>
      <c r="P186" s="3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2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3"/>
      <c r="K187" s="3"/>
      <c r="L187" s="3"/>
      <c r="M187" s="3"/>
      <c r="N187" s="3"/>
      <c r="O187" s="3"/>
      <c r="P187" s="3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2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3"/>
      <c r="K188" s="3"/>
      <c r="L188" s="3"/>
      <c r="M188" s="3"/>
      <c r="N188" s="3"/>
      <c r="O188" s="3"/>
      <c r="P188" s="3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2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3"/>
      <c r="K189" s="3"/>
      <c r="L189" s="3"/>
      <c r="M189" s="3"/>
      <c r="N189" s="3"/>
      <c r="O189" s="3"/>
      <c r="P189" s="3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2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3"/>
      <c r="K190" s="3"/>
      <c r="L190" s="3"/>
      <c r="M190" s="3"/>
      <c r="N190" s="3"/>
      <c r="O190" s="3"/>
      <c r="P190" s="3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2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3"/>
      <c r="K191" s="3"/>
      <c r="L191" s="3"/>
      <c r="M191" s="3"/>
      <c r="N191" s="3"/>
      <c r="O191" s="3"/>
      <c r="P191" s="3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3"/>
      <c r="K192" s="3"/>
      <c r="L192" s="3"/>
      <c r="M192" s="3"/>
      <c r="N192" s="3"/>
      <c r="O192" s="3"/>
      <c r="P192" s="3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3"/>
      <c r="K193" s="3"/>
      <c r="L193" s="3"/>
      <c r="M193" s="3"/>
      <c r="N193" s="3"/>
      <c r="O193" s="3"/>
      <c r="P193" s="3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3"/>
      <c r="K194" s="3"/>
      <c r="L194" s="3"/>
      <c r="M194" s="3"/>
      <c r="N194" s="3"/>
      <c r="O194" s="3"/>
      <c r="P194" s="3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3"/>
      <c r="K195" s="3"/>
      <c r="L195" s="3"/>
      <c r="M195" s="3"/>
      <c r="N195" s="3"/>
      <c r="O195" s="3"/>
      <c r="P195" s="3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3"/>
      <c r="K196" s="3"/>
      <c r="L196" s="3"/>
      <c r="M196" s="3"/>
      <c r="N196" s="3"/>
      <c r="O196" s="3"/>
      <c r="P196" s="3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3"/>
      <c r="K197" s="3"/>
      <c r="L197" s="3"/>
      <c r="M197" s="3"/>
      <c r="N197" s="3"/>
      <c r="O197" s="3"/>
      <c r="P197" s="3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3"/>
      <c r="K198" s="3"/>
      <c r="L198" s="3"/>
      <c r="M198" s="3"/>
      <c r="N198" s="3"/>
      <c r="O198" s="3"/>
      <c r="P198" s="3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3"/>
      <c r="K199" s="3"/>
      <c r="L199" s="3"/>
      <c r="M199" s="3"/>
      <c r="N199" s="3"/>
      <c r="O199" s="3"/>
      <c r="P199" s="3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3"/>
      <c r="K200" s="3"/>
      <c r="L200" s="3"/>
      <c r="M200" s="3"/>
      <c r="N200" s="3"/>
      <c r="O200" s="3"/>
      <c r="P200" s="3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3"/>
      <c r="K201" s="3"/>
      <c r="L201" s="3"/>
      <c r="M201" s="3"/>
      <c r="N201" s="3"/>
      <c r="O201" s="3"/>
      <c r="P201" s="3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3"/>
      <c r="K202" s="3"/>
      <c r="L202" s="3"/>
      <c r="M202" s="3"/>
      <c r="N202" s="3"/>
      <c r="O202" s="3"/>
      <c r="P202" s="3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3"/>
      <c r="K203" s="3"/>
      <c r="L203" s="3"/>
      <c r="M203" s="3"/>
      <c r="N203" s="3"/>
      <c r="O203" s="3"/>
      <c r="P203" s="3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3"/>
      <c r="K204" s="3"/>
      <c r="L204" s="3"/>
      <c r="M204" s="3"/>
      <c r="N204" s="3"/>
      <c r="O204" s="3"/>
      <c r="P204" s="3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3"/>
      <c r="K205" s="3"/>
      <c r="L205" s="3"/>
      <c r="M205" s="3"/>
      <c r="N205" s="3"/>
      <c r="O205" s="3"/>
      <c r="P205" s="3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3"/>
      <c r="K206" s="3"/>
      <c r="L206" s="3"/>
      <c r="M206" s="3"/>
      <c r="N206" s="3"/>
      <c r="O206" s="3"/>
      <c r="P206" s="3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3"/>
      <c r="K207" s="3"/>
      <c r="L207" s="3"/>
      <c r="M207" s="3"/>
      <c r="N207" s="3"/>
      <c r="O207" s="3"/>
      <c r="P207" s="3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3"/>
      <c r="K208" s="3"/>
      <c r="L208" s="3"/>
      <c r="M208" s="3"/>
      <c r="N208" s="3"/>
      <c r="O208" s="3"/>
      <c r="P208" s="3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3"/>
      <c r="K209" s="3"/>
      <c r="L209" s="3"/>
      <c r="M209" s="3"/>
      <c r="N209" s="3"/>
      <c r="O209" s="3"/>
      <c r="P209" s="3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3"/>
      <c r="K210" s="3"/>
      <c r="L210" s="3"/>
      <c r="M210" s="3"/>
      <c r="N210" s="3"/>
      <c r="O210" s="3"/>
      <c r="P210" s="3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3"/>
      <c r="K211" s="3"/>
      <c r="L211" s="3"/>
      <c r="M211" s="3"/>
      <c r="N211" s="3"/>
      <c r="O211" s="3"/>
      <c r="P211" s="3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3"/>
      <c r="K212" s="3"/>
      <c r="L212" s="3"/>
      <c r="M212" s="3"/>
      <c r="N212" s="3"/>
      <c r="O212" s="3"/>
      <c r="P212" s="3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3"/>
      <c r="K213" s="3"/>
      <c r="L213" s="3"/>
      <c r="M213" s="3"/>
      <c r="N213" s="3"/>
      <c r="O213" s="3"/>
      <c r="P213" s="3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3"/>
      <c r="K214" s="3"/>
      <c r="L214" s="3"/>
      <c r="M214" s="3"/>
      <c r="N214" s="3"/>
      <c r="O214" s="3"/>
      <c r="P214" s="3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3"/>
      <c r="K215" s="3"/>
      <c r="L215" s="3"/>
      <c r="M215" s="3"/>
      <c r="N215" s="3"/>
      <c r="O215" s="3"/>
      <c r="P215" s="3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3"/>
      <c r="K216" s="3"/>
      <c r="L216" s="3"/>
      <c r="M216" s="3"/>
      <c r="N216" s="3"/>
      <c r="O216" s="3"/>
      <c r="P216" s="3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3"/>
      <c r="K217" s="3"/>
      <c r="L217" s="3"/>
      <c r="M217" s="3"/>
      <c r="N217" s="3"/>
      <c r="O217" s="3"/>
      <c r="P217" s="3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3"/>
      <c r="K218" s="3"/>
      <c r="L218" s="3"/>
      <c r="M218" s="3"/>
      <c r="N218" s="3"/>
      <c r="O218" s="3"/>
      <c r="P218" s="3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3"/>
      <c r="K219" s="3"/>
      <c r="L219" s="3"/>
      <c r="M219" s="3"/>
      <c r="N219" s="3"/>
      <c r="O219" s="3"/>
      <c r="P219" s="3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3"/>
      <c r="K220" s="3"/>
      <c r="L220" s="3"/>
      <c r="M220" s="3"/>
      <c r="N220" s="3"/>
      <c r="O220" s="3"/>
      <c r="P220" s="3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3"/>
      <c r="K221" s="3"/>
      <c r="L221" s="3"/>
      <c r="M221" s="3"/>
      <c r="N221" s="3"/>
      <c r="O221" s="3"/>
      <c r="P221" s="3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3"/>
      <c r="K222" s="3"/>
      <c r="L222" s="3"/>
      <c r="M222" s="3"/>
      <c r="N222" s="3"/>
      <c r="O222" s="3"/>
      <c r="P222" s="3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3"/>
      <c r="K223" s="3"/>
      <c r="L223" s="3"/>
      <c r="M223" s="3"/>
      <c r="N223" s="3"/>
      <c r="O223" s="3"/>
      <c r="P223" s="3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3"/>
      <c r="K224" s="3"/>
      <c r="L224" s="3"/>
      <c r="M224" s="3"/>
      <c r="N224" s="3"/>
      <c r="O224" s="3"/>
      <c r="P224" s="3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3"/>
      <c r="K225" s="3"/>
      <c r="L225" s="3"/>
      <c r="M225" s="3"/>
      <c r="N225" s="3"/>
      <c r="O225" s="3"/>
      <c r="P225" s="3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3"/>
      <c r="K226" s="3"/>
      <c r="L226" s="3"/>
      <c r="M226" s="3"/>
      <c r="N226" s="3"/>
      <c r="O226" s="3"/>
      <c r="P226" s="3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3"/>
      <c r="K227" s="3"/>
      <c r="L227" s="3"/>
      <c r="M227" s="3"/>
      <c r="N227" s="3"/>
      <c r="O227" s="3"/>
      <c r="P227" s="3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3"/>
      <c r="K228" s="3"/>
      <c r="L228" s="3"/>
      <c r="M228" s="3"/>
      <c r="N228" s="3"/>
      <c r="O228" s="3"/>
      <c r="P228" s="3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3"/>
      <c r="K229" s="3"/>
      <c r="L229" s="3"/>
      <c r="M229" s="3"/>
      <c r="N229" s="3"/>
      <c r="O229" s="3"/>
      <c r="P229" s="3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3"/>
      <c r="K230" s="3"/>
      <c r="L230" s="3"/>
      <c r="M230" s="3"/>
      <c r="N230" s="3"/>
      <c r="O230" s="3"/>
      <c r="P230" s="3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3"/>
      <c r="K231" s="3"/>
      <c r="L231" s="3"/>
      <c r="M231" s="3"/>
      <c r="N231" s="3"/>
      <c r="O231" s="3"/>
      <c r="P231" s="3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3"/>
      <c r="K232" s="3"/>
      <c r="L232" s="3"/>
      <c r="M232" s="3"/>
      <c r="N232" s="3"/>
      <c r="O232" s="3"/>
      <c r="P232" s="3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3"/>
      <c r="K233" s="3"/>
      <c r="L233" s="3"/>
      <c r="M233" s="3"/>
      <c r="N233" s="3"/>
      <c r="O233" s="3"/>
      <c r="P233" s="3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3"/>
      <c r="K234" s="3"/>
      <c r="L234" s="3"/>
      <c r="M234" s="3"/>
      <c r="N234" s="3"/>
      <c r="O234" s="3"/>
      <c r="P234" s="3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3"/>
      <c r="K235" s="3"/>
      <c r="L235" s="3"/>
      <c r="M235" s="3"/>
      <c r="N235" s="3"/>
      <c r="O235" s="3"/>
      <c r="P235" s="3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3"/>
      <c r="K236" s="3"/>
      <c r="L236" s="3"/>
      <c r="M236" s="3"/>
      <c r="N236" s="3"/>
      <c r="O236" s="3"/>
      <c r="P236" s="3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3"/>
      <c r="K237" s="3"/>
      <c r="L237" s="3"/>
      <c r="M237" s="3"/>
      <c r="N237" s="3"/>
      <c r="O237" s="3"/>
      <c r="P237" s="3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3"/>
      <c r="K238" s="3"/>
      <c r="L238" s="3"/>
      <c r="M238" s="3"/>
      <c r="N238" s="3"/>
      <c r="O238" s="3"/>
      <c r="P238" s="3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3"/>
      <c r="K239" s="3"/>
      <c r="L239" s="3"/>
      <c r="M239" s="3"/>
      <c r="N239" s="3"/>
      <c r="O239" s="3"/>
      <c r="P239" s="3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3"/>
      <c r="K240" s="3"/>
      <c r="L240" s="3"/>
      <c r="M240" s="3"/>
      <c r="N240" s="3"/>
      <c r="O240" s="3"/>
      <c r="P240" s="3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3"/>
      <c r="K241" s="3"/>
      <c r="L241" s="3"/>
      <c r="M241" s="3"/>
      <c r="N241" s="3"/>
      <c r="O241" s="3"/>
      <c r="P241" s="3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3"/>
      <c r="K242" s="3"/>
      <c r="L242" s="3"/>
      <c r="M242" s="3"/>
      <c r="N242" s="3"/>
      <c r="O242" s="3"/>
      <c r="P242" s="3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3"/>
      <c r="K243" s="3"/>
      <c r="L243" s="3"/>
      <c r="M243" s="3"/>
      <c r="N243" s="3"/>
      <c r="O243" s="3"/>
      <c r="P243" s="3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3"/>
      <c r="K244" s="3"/>
      <c r="L244" s="3"/>
      <c r="M244" s="3"/>
      <c r="N244" s="3"/>
      <c r="O244" s="3"/>
      <c r="P244" s="3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3"/>
      <c r="K245" s="3"/>
      <c r="L245" s="3"/>
      <c r="M245" s="3"/>
      <c r="N245" s="3"/>
      <c r="O245" s="3"/>
      <c r="P245" s="3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3"/>
      <c r="K246" s="3"/>
      <c r="L246" s="3"/>
      <c r="M246" s="3"/>
      <c r="N246" s="3"/>
      <c r="O246" s="3"/>
      <c r="P246" s="3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3"/>
      <c r="K247" s="3"/>
      <c r="L247" s="3"/>
      <c r="M247" s="3"/>
      <c r="N247" s="3"/>
      <c r="O247" s="3"/>
      <c r="P247" s="3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3"/>
      <c r="K248" s="3"/>
      <c r="L248" s="3"/>
      <c r="M248" s="3"/>
      <c r="N248" s="3"/>
      <c r="O248" s="3"/>
      <c r="P248" s="3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3"/>
      <c r="K249" s="3"/>
      <c r="L249" s="3"/>
      <c r="M249" s="3"/>
      <c r="N249" s="3"/>
      <c r="O249" s="3"/>
      <c r="P249" s="3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3"/>
      <c r="K250" s="3"/>
      <c r="L250" s="3"/>
      <c r="M250" s="3"/>
      <c r="N250" s="3"/>
      <c r="O250" s="3"/>
      <c r="P250" s="3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3"/>
      <c r="K251" s="3"/>
      <c r="L251" s="3"/>
      <c r="M251" s="3"/>
      <c r="N251" s="3"/>
      <c r="O251" s="3"/>
      <c r="P251" s="3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3"/>
      <c r="K252" s="3"/>
      <c r="L252" s="3"/>
      <c r="M252" s="3"/>
      <c r="N252" s="3"/>
      <c r="O252" s="3"/>
      <c r="P252" s="3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3"/>
      <c r="K253" s="3"/>
      <c r="L253" s="3"/>
      <c r="M253" s="3"/>
      <c r="N253" s="3"/>
      <c r="O253" s="3"/>
      <c r="P253" s="3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3"/>
      <c r="K254" s="3"/>
      <c r="L254" s="3"/>
      <c r="M254" s="3"/>
      <c r="N254" s="3"/>
      <c r="O254" s="3"/>
      <c r="P254" s="3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3"/>
      <c r="K255" s="3"/>
      <c r="L255" s="3"/>
      <c r="M255" s="3"/>
      <c r="N255" s="3"/>
      <c r="O255" s="3"/>
      <c r="P255" s="3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3"/>
      <c r="K256" s="3"/>
      <c r="L256" s="3"/>
      <c r="M256" s="3"/>
      <c r="N256" s="3"/>
      <c r="O256" s="3"/>
      <c r="P256" s="3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3"/>
      <c r="K257" s="3"/>
      <c r="L257" s="3"/>
      <c r="M257" s="3"/>
      <c r="N257" s="3"/>
      <c r="O257" s="3"/>
      <c r="P257" s="3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3"/>
      <c r="K258" s="3"/>
      <c r="L258" s="3"/>
      <c r="M258" s="3"/>
      <c r="N258" s="3"/>
      <c r="O258" s="3"/>
      <c r="P258" s="3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3"/>
      <c r="K259" s="3"/>
      <c r="L259" s="3"/>
      <c r="M259" s="3"/>
      <c r="N259" s="3"/>
      <c r="O259" s="3"/>
      <c r="P259" s="3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3"/>
      <c r="K260" s="3"/>
      <c r="L260" s="3"/>
      <c r="M260" s="3"/>
      <c r="N260" s="3"/>
      <c r="O260" s="3"/>
      <c r="P260" s="3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3"/>
      <c r="K261" s="3"/>
      <c r="L261" s="3"/>
      <c r="M261" s="3"/>
      <c r="N261" s="3"/>
      <c r="O261" s="3"/>
      <c r="P261" s="3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3"/>
      <c r="K262" s="3"/>
      <c r="L262" s="3"/>
      <c r="M262" s="3"/>
      <c r="N262" s="3"/>
      <c r="O262" s="3"/>
      <c r="P262" s="3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3"/>
      <c r="K263" s="3"/>
      <c r="L263" s="3"/>
      <c r="M263" s="3"/>
      <c r="N263" s="3"/>
      <c r="O263" s="3"/>
      <c r="P263" s="3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3"/>
      <c r="K264" s="3"/>
      <c r="L264" s="3"/>
      <c r="M264" s="3"/>
      <c r="N264" s="3"/>
      <c r="O264" s="3"/>
      <c r="P264" s="3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3"/>
      <c r="K265" s="3"/>
      <c r="L265" s="3"/>
      <c r="M265" s="3"/>
      <c r="N265" s="3"/>
      <c r="O265" s="3"/>
      <c r="P265" s="3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3"/>
      <c r="K266" s="3"/>
      <c r="L266" s="3"/>
      <c r="M266" s="3"/>
      <c r="N266" s="3"/>
      <c r="O266" s="3"/>
      <c r="P266" s="3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3"/>
      <c r="K267" s="3"/>
      <c r="L267" s="3"/>
      <c r="M267" s="3"/>
      <c r="N267" s="3"/>
      <c r="O267" s="3"/>
      <c r="P267" s="3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3"/>
      <c r="K268" s="3"/>
      <c r="L268" s="3"/>
      <c r="M268" s="3"/>
      <c r="N268" s="3"/>
      <c r="O268" s="3"/>
      <c r="P268" s="3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3"/>
      <c r="K269" s="3"/>
      <c r="L269" s="3"/>
      <c r="M269" s="3"/>
      <c r="N269" s="3"/>
      <c r="O269" s="3"/>
      <c r="P269" s="3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3"/>
      <c r="K270" s="3"/>
      <c r="L270" s="3"/>
      <c r="M270" s="3"/>
      <c r="N270" s="3"/>
      <c r="O270" s="3"/>
      <c r="P270" s="3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3"/>
      <c r="K271" s="3"/>
      <c r="L271" s="3"/>
      <c r="M271" s="3"/>
      <c r="N271" s="3"/>
      <c r="O271" s="3"/>
      <c r="P271" s="3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3"/>
      <c r="K272" s="3"/>
      <c r="L272" s="3"/>
      <c r="M272" s="3"/>
      <c r="N272" s="3"/>
      <c r="O272" s="3"/>
      <c r="P272" s="3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3"/>
      <c r="K273" s="3"/>
      <c r="L273" s="3"/>
      <c r="M273" s="3"/>
      <c r="N273" s="3"/>
      <c r="O273" s="3"/>
      <c r="P273" s="3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3"/>
      <c r="K274" s="3"/>
      <c r="L274" s="3"/>
      <c r="M274" s="3"/>
      <c r="N274" s="3"/>
      <c r="O274" s="3"/>
      <c r="P274" s="3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3"/>
      <c r="K275" s="3"/>
      <c r="L275" s="3"/>
      <c r="M275" s="3"/>
      <c r="N275" s="3"/>
      <c r="O275" s="3"/>
      <c r="P275" s="3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3"/>
      <c r="K276" s="3"/>
      <c r="L276" s="3"/>
      <c r="M276" s="3"/>
      <c r="N276" s="3"/>
      <c r="O276" s="3"/>
      <c r="P276" s="3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3"/>
      <c r="K277" s="3"/>
      <c r="L277" s="3"/>
      <c r="M277" s="3"/>
      <c r="N277" s="3"/>
      <c r="O277" s="3"/>
      <c r="P277" s="3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3"/>
      <c r="K278" s="3"/>
      <c r="L278" s="3"/>
      <c r="M278" s="3"/>
      <c r="N278" s="3"/>
      <c r="O278" s="3"/>
      <c r="P278" s="3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3"/>
      <c r="K279" s="3"/>
      <c r="L279" s="3"/>
      <c r="M279" s="3"/>
      <c r="N279" s="3"/>
      <c r="O279" s="3"/>
      <c r="P279" s="3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3"/>
      <c r="K280" s="3"/>
      <c r="L280" s="3"/>
      <c r="M280" s="3"/>
      <c r="N280" s="3"/>
      <c r="O280" s="3"/>
      <c r="P280" s="3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3"/>
      <c r="K281" s="3"/>
      <c r="L281" s="3"/>
      <c r="M281" s="3"/>
      <c r="N281" s="3"/>
      <c r="O281" s="3"/>
      <c r="P281" s="3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3"/>
      <c r="K282" s="3"/>
      <c r="L282" s="3"/>
      <c r="M282" s="3"/>
      <c r="N282" s="3"/>
      <c r="O282" s="3"/>
      <c r="P282" s="3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3"/>
      <c r="K283" s="3"/>
      <c r="L283" s="3"/>
      <c r="M283" s="3"/>
      <c r="N283" s="3"/>
      <c r="O283" s="3"/>
      <c r="P283" s="3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3"/>
      <c r="K284" s="3"/>
      <c r="L284" s="3"/>
      <c r="M284" s="3"/>
      <c r="N284" s="3"/>
      <c r="O284" s="3"/>
      <c r="P284" s="3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3"/>
      <c r="K285" s="3"/>
      <c r="L285" s="3"/>
      <c r="M285" s="3"/>
      <c r="N285" s="3"/>
      <c r="O285" s="3"/>
      <c r="P285" s="3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3"/>
      <c r="K286" s="3"/>
      <c r="L286" s="3"/>
      <c r="M286" s="3"/>
      <c r="N286" s="3"/>
      <c r="O286" s="3"/>
      <c r="P286" s="3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3"/>
      <c r="K287" s="3"/>
      <c r="L287" s="3"/>
      <c r="M287" s="3"/>
      <c r="N287" s="3"/>
      <c r="O287" s="3"/>
      <c r="P287" s="3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3"/>
      <c r="K288" s="3"/>
      <c r="L288" s="3"/>
      <c r="M288" s="3"/>
      <c r="N288" s="3"/>
      <c r="O288" s="3"/>
      <c r="P288" s="3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3"/>
      <c r="K289" s="3"/>
      <c r="L289" s="3"/>
      <c r="M289" s="3"/>
      <c r="N289" s="3"/>
      <c r="O289" s="3"/>
      <c r="P289" s="3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3"/>
      <c r="K290" s="3"/>
      <c r="L290" s="3"/>
      <c r="M290" s="3"/>
      <c r="N290" s="3"/>
      <c r="O290" s="3"/>
      <c r="P290" s="3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3"/>
      <c r="K291" s="3"/>
      <c r="L291" s="3"/>
      <c r="M291" s="3"/>
      <c r="N291" s="3"/>
      <c r="O291" s="3"/>
      <c r="P291" s="3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3"/>
      <c r="K292" s="3"/>
      <c r="L292" s="3"/>
      <c r="M292" s="3"/>
      <c r="N292" s="3"/>
      <c r="O292" s="3"/>
      <c r="P292" s="3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3"/>
      <c r="K293" s="3"/>
      <c r="L293" s="3"/>
      <c r="M293" s="3"/>
      <c r="N293" s="3"/>
      <c r="O293" s="3"/>
      <c r="P293" s="3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3"/>
      <c r="K294" s="3"/>
      <c r="L294" s="3"/>
      <c r="M294" s="3"/>
      <c r="N294" s="3"/>
      <c r="O294" s="3"/>
      <c r="P294" s="3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3"/>
      <c r="K295" s="3"/>
      <c r="L295" s="3"/>
      <c r="M295" s="3"/>
      <c r="N295" s="3"/>
      <c r="O295" s="3"/>
      <c r="P295" s="3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3"/>
      <c r="K296" s="3"/>
      <c r="L296" s="3"/>
      <c r="M296" s="3"/>
      <c r="N296" s="3"/>
      <c r="O296" s="3"/>
      <c r="P296" s="3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3"/>
      <c r="K297" s="3"/>
      <c r="L297" s="3"/>
      <c r="M297" s="3"/>
      <c r="N297" s="3"/>
      <c r="O297" s="3"/>
      <c r="P297" s="3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3"/>
      <c r="K298" s="3"/>
      <c r="L298" s="3"/>
      <c r="M298" s="3"/>
      <c r="N298" s="3"/>
      <c r="O298" s="3"/>
      <c r="P298" s="3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3"/>
      <c r="K299" s="3"/>
      <c r="L299" s="3"/>
      <c r="M299" s="3"/>
      <c r="N299" s="3"/>
      <c r="O299" s="3"/>
      <c r="P299" s="3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3"/>
      <c r="K300" s="3"/>
      <c r="L300" s="3"/>
      <c r="M300" s="3"/>
      <c r="N300" s="3"/>
      <c r="O300" s="3"/>
      <c r="P300" s="3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3"/>
      <c r="K301" s="3"/>
      <c r="L301" s="3"/>
      <c r="M301" s="3"/>
      <c r="N301" s="3"/>
      <c r="O301" s="3"/>
      <c r="P301" s="3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3"/>
      <c r="K302" s="3"/>
      <c r="L302" s="3"/>
      <c r="M302" s="3"/>
      <c r="N302" s="3"/>
      <c r="O302" s="3"/>
      <c r="P302" s="3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3"/>
      <c r="K303" s="3"/>
      <c r="L303" s="3"/>
      <c r="M303" s="3"/>
      <c r="N303" s="3"/>
      <c r="O303" s="3"/>
      <c r="P303" s="3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3"/>
      <c r="K304" s="3"/>
      <c r="L304" s="3"/>
      <c r="M304" s="3"/>
      <c r="N304" s="3"/>
      <c r="O304" s="3"/>
      <c r="P304" s="3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3"/>
      <c r="K305" s="3"/>
      <c r="L305" s="3"/>
      <c r="M305" s="3"/>
      <c r="N305" s="3"/>
      <c r="O305" s="3"/>
      <c r="P305" s="3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3"/>
      <c r="K306" s="3"/>
      <c r="L306" s="3"/>
      <c r="M306" s="3"/>
      <c r="N306" s="3"/>
      <c r="O306" s="3"/>
      <c r="P306" s="3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3"/>
      <c r="K307" s="3"/>
      <c r="L307" s="3"/>
      <c r="M307" s="3"/>
      <c r="N307" s="3"/>
      <c r="O307" s="3"/>
      <c r="P307" s="3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3"/>
      <c r="K308" s="3"/>
      <c r="L308" s="3"/>
      <c r="M308" s="3"/>
      <c r="N308" s="3"/>
      <c r="O308" s="3"/>
      <c r="P308" s="3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3"/>
      <c r="K309" s="3"/>
      <c r="L309" s="3"/>
      <c r="M309" s="3"/>
      <c r="N309" s="3"/>
      <c r="O309" s="3"/>
      <c r="P309" s="3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3"/>
      <c r="K310" s="3"/>
      <c r="L310" s="3"/>
      <c r="M310" s="3"/>
      <c r="N310" s="3"/>
      <c r="O310" s="3"/>
      <c r="P310" s="3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3"/>
      <c r="K311" s="3"/>
      <c r="L311" s="3"/>
      <c r="M311" s="3"/>
      <c r="N311" s="3"/>
      <c r="O311" s="3"/>
      <c r="P311" s="3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3"/>
      <c r="K312" s="3"/>
      <c r="L312" s="3"/>
      <c r="M312" s="3"/>
      <c r="N312" s="3"/>
      <c r="O312" s="3"/>
      <c r="P312" s="3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3"/>
      <c r="K313" s="3"/>
      <c r="L313" s="3"/>
      <c r="M313" s="3"/>
      <c r="N313" s="3"/>
      <c r="O313" s="3"/>
      <c r="P313" s="3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3"/>
      <c r="K314" s="3"/>
      <c r="L314" s="3"/>
      <c r="M314" s="3"/>
      <c r="N314" s="3"/>
      <c r="O314" s="3"/>
      <c r="P314" s="3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3"/>
      <c r="K315" s="3"/>
      <c r="L315" s="3"/>
      <c r="M315" s="3"/>
      <c r="N315" s="3"/>
      <c r="O315" s="3"/>
      <c r="P315" s="3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3"/>
      <c r="K316" s="3"/>
      <c r="L316" s="3"/>
      <c r="M316" s="3"/>
      <c r="N316" s="3"/>
      <c r="O316" s="3"/>
      <c r="P316" s="3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3"/>
      <c r="K317" s="3"/>
      <c r="L317" s="3"/>
      <c r="M317" s="3"/>
      <c r="N317" s="3"/>
      <c r="O317" s="3"/>
      <c r="P317" s="3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3"/>
      <c r="K318" s="3"/>
      <c r="L318" s="3"/>
      <c r="M318" s="3"/>
      <c r="N318" s="3"/>
      <c r="O318" s="3"/>
      <c r="P318" s="3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3"/>
      <c r="K319" s="3"/>
      <c r="L319" s="3"/>
      <c r="M319" s="3"/>
      <c r="N319" s="3"/>
      <c r="O319" s="3"/>
      <c r="P319" s="3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3"/>
      <c r="K320" s="3"/>
      <c r="L320" s="3"/>
      <c r="M320" s="3"/>
      <c r="N320" s="3"/>
      <c r="O320" s="3"/>
      <c r="P320" s="3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3"/>
      <c r="K321" s="3"/>
      <c r="L321" s="3"/>
      <c r="M321" s="3"/>
      <c r="N321" s="3"/>
      <c r="O321" s="3"/>
      <c r="P321" s="3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3"/>
      <c r="K322" s="3"/>
      <c r="L322" s="3"/>
      <c r="M322" s="3"/>
      <c r="N322" s="3"/>
      <c r="O322" s="3"/>
      <c r="P322" s="3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3"/>
      <c r="K323" s="3"/>
      <c r="L323" s="3"/>
      <c r="M323" s="3"/>
      <c r="N323" s="3"/>
      <c r="O323" s="3"/>
      <c r="P323" s="3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3"/>
      <c r="K324" s="3"/>
      <c r="L324" s="3"/>
      <c r="M324" s="3"/>
      <c r="N324" s="3"/>
      <c r="O324" s="3"/>
      <c r="P324" s="3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3"/>
      <c r="K325" s="3"/>
      <c r="L325" s="3"/>
      <c r="M325" s="3"/>
      <c r="N325" s="3"/>
      <c r="O325" s="3"/>
      <c r="P325" s="3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2.5" x14ac:dyDescent="0.25">
      <c r="J326" s="115"/>
      <c r="K326" s="115"/>
      <c r="L326" s="115"/>
      <c r="M326" s="115"/>
      <c r="N326" s="115"/>
      <c r="O326" s="115"/>
      <c r="P326" s="115"/>
    </row>
    <row r="327" spans="1:30" ht="12.5" x14ac:dyDescent="0.25">
      <c r="J327" s="115"/>
      <c r="K327" s="115"/>
      <c r="L327" s="115"/>
      <c r="M327" s="115"/>
      <c r="N327" s="115"/>
      <c r="O327" s="115"/>
      <c r="P327" s="115"/>
    </row>
    <row r="328" spans="1:30" ht="12.5" x14ac:dyDescent="0.25">
      <c r="J328" s="115"/>
      <c r="K328" s="115"/>
      <c r="L328" s="115"/>
      <c r="M328" s="115"/>
      <c r="N328" s="115"/>
      <c r="O328" s="115"/>
      <c r="P328" s="115"/>
    </row>
    <row r="329" spans="1:30" ht="12.5" x14ac:dyDescent="0.25">
      <c r="J329" s="115"/>
      <c r="K329" s="115"/>
      <c r="L329" s="115"/>
      <c r="M329" s="115"/>
      <c r="N329" s="115"/>
      <c r="O329" s="115"/>
      <c r="P329" s="115"/>
    </row>
    <row r="330" spans="1:30" ht="12.5" x14ac:dyDescent="0.25">
      <c r="J330" s="115"/>
      <c r="K330" s="115"/>
      <c r="L330" s="115"/>
      <c r="M330" s="115"/>
      <c r="N330" s="115"/>
      <c r="O330" s="115"/>
      <c r="P330" s="115"/>
    </row>
    <row r="331" spans="1:30" ht="12.5" x14ac:dyDescent="0.25">
      <c r="J331" s="115"/>
      <c r="K331" s="115"/>
      <c r="L331" s="115"/>
      <c r="M331" s="115"/>
      <c r="N331" s="115"/>
      <c r="O331" s="115"/>
      <c r="P331" s="115"/>
    </row>
    <row r="332" spans="1:30" ht="12.5" x14ac:dyDescent="0.25">
      <c r="J332" s="115"/>
      <c r="K332" s="115"/>
      <c r="L332" s="115"/>
      <c r="M332" s="115"/>
      <c r="N332" s="115"/>
      <c r="O332" s="115"/>
      <c r="P332" s="115"/>
    </row>
    <row r="333" spans="1:30" ht="12.5" x14ac:dyDescent="0.25">
      <c r="J333" s="115"/>
      <c r="K333" s="115"/>
      <c r="L333" s="115"/>
      <c r="M333" s="115"/>
      <c r="N333" s="115"/>
      <c r="O333" s="115"/>
      <c r="P333" s="115"/>
    </row>
    <row r="334" spans="1:30" ht="12.5" x14ac:dyDescent="0.25">
      <c r="J334" s="115"/>
      <c r="K334" s="115"/>
      <c r="L334" s="115"/>
      <c r="M334" s="115"/>
      <c r="N334" s="115"/>
      <c r="O334" s="115"/>
      <c r="P334" s="115"/>
    </row>
    <row r="335" spans="1:30" ht="12.5" x14ac:dyDescent="0.25">
      <c r="J335" s="115"/>
      <c r="K335" s="115"/>
      <c r="L335" s="115"/>
      <c r="M335" s="115"/>
      <c r="N335" s="115"/>
      <c r="O335" s="115"/>
      <c r="P335" s="115"/>
    </row>
    <row r="336" spans="1:30" ht="12.5" x14ac:dyDescent="0.25">
      <c r="J336" s="115"/>
      <c r="K336" s="115"/>
      <c r="L336" s="115"/>
      <c r="M336" s="115"/>
      <c r="N336" s="115"/>
      <c r="O336" s="115"/>
      <c r="P336" s="115"/>
    </row>
    <row r="337" spans="10:16" ht="12.5" x14ac:dyDescent="0.25">
      <c r="J337" s="115"/>
      <c r="K337" s="115"/>
      <c r="L337" s="115"/>
      <c r="M337" s="115"/>
      <c r="N337" s="115"/>
      <c r="O337" s="115"/>
      <c r="P337" s="115"/>
    </row>
    <row r="338" spans="10:16" ht="12.5" x14ac:dyDescent="0.25">
      <c r="J338" s="115"/>
      <c r="K338" s="115"/>
      <c r="L338" s="115"/>
      <c r="M338" s="115"/>
      <c r="N338" s="115"/>
      <c r="O338" s="115"/>
      <c r="P338" s="115"/>
    </row>
    <row r="339" spans="10:16" ht="12.5" x14ac:dyDescent="0.25">
      <c r="J339" s="115"/>
      <c r="K339" s="115"/>
      <c r="L339" s="115"/>
      <c r="M339" s="115"/>
      <c r="N339" s="115"/>
      <c r="O339" s="115"/>
      <c r="P339" s="115"/>
    </row>
    <row r="340" spans="10:16" ht="12.5" x14ac:dyDescent="0.25">
      <c r="J340" s="115"/>
      <c r="K340" s="115"/>
      <c r="L340" s="115"/>
      <c r="M340" s="115"/>
      <c r="N340" s="115"/>
      <c r="O340" s="115"/>
      <c r="P340" s="115"/>
    </row>
    <row r="341" spans="10:16" ht="12.5" x14ac:dyDescent="0.25">
      <c r="J341" s="115"/>
      <c r="K341" s="115"/>
      <c r="L341" s="115"/>
      <c r="M341" s="115"/>
      <c r="N341" s="115"/>
      <c r="O341" s="115"/>
      <c r="P341" s="115"/>
    </row>
    <row r="342" spans="10:16" ht="12.5" x14ac:dyDescent="0.25">
      <c r="J342" s="115"/>
      <c r="K342" s="115"/>
      <c r="L342" s="115"/>
      <c r="M342" s="115"/>
      <c r="N342" s="115"/>
      <c r="O342" s="115"/>
      <c r="P342" s="115"/>
    </row>
    <row r="343" spans="10:16" ht="12.5" x14ac:dyDescent="0.25">
      <c r="J343" s="115"/>
      <c r="K343" s="115"/>
      <c r="L343" s="115"/>
      <c r="M343" s="115"/>
      <c r="N343" s="115"/>
      <c r="O343" s="115"/>
      <c r="P343" s="115"/>
    </row>
    <row r="344" spans="10:16" ht="12.5" x14ac:dyDescent="0.25">
      <c r="J344" s="115"/>
      <c r="K344" s="115"/>
      <c r="L344" s="115"/>
      <c r="M344" s="115"/>
      <c r="N344" s="115"/>
      <c r="O344" s="115"/>
      <c r="P344" s="115"/>
    </row>
    <row r="345" spans="10:16" ht="12.5" x14ac:dyDescent="0.25">
      <c r="J345" s="115"/>
      <c r="K345" s="115"/>
      <c r="L345" s="115"/>
      <c r="M345" s="115"/>
      <c r="N345" s="115"/>
      <c r="O345" s="115"/>
      <c r="P345" s="115"/>
    </row>
    <row r="346" spans="10:16" ht="12.5" x14ac:dyDescent="0.25">
      <c r="J346" s="115"/>
      <c r="K346" s="115"/>
      <c r="L346" s="115"/>
      <c r="M346" s="115"/>
      <c r="N346" s="115"/>
      <c r="O346" s="115"/>
      <c r="P346" s="115"/>
    </row>
    <row r="347" spans="10:16" ht="12.5" x14ac:dyDescent="0.25">
      <c r="J347" s="115"/>
      <c r="K347" s="115"/>
      <c r="L347" s="115"/>
      <c r="M347" s="115"/>
      <c r="N347" s="115"/>
      <c r="O347" s="115"/>
      <c r="P347" s="115"/>
    </row>
    <row r="348" spans="10:16" ht="12.5" x14ac:dyDescent="0.25">
      <c r="J348" s="115"/>
      <c r="K348" s="115"/>
      <c r="L348" s="115"/>
      <c r="M348" s="115"/>
      <c r="N348" s="115"/>
      <c r="O348" s="115"/>
      <c r="P348" s="115"/>
    </row>
    <row r="349" spans="10:16" ht="12.5" x14ac:dyDescent="0.25">
      <c r="J349" s="115"/>
      <c r="K349" s="115"/>
      <c r="L349" s="115"/>
      <c r="M349" s="115"/>
      <c r="N349" s="115"/>
      <c r="O349" s="115"/>
      <c r="P349" s="115"/>
    </row>
    <row r="350" spans="10:16" ht="12.5" x14ac:dyDescent="0.25">
      <c r="J350" s="115"/>
      <c r="K350" s="115"/>
      <c r="L350" s="115"/>
      <c r="M350" s="115"/>
      <c r="N350" s="115"/>
      <c r="O350" s="115"/>
      <c r="P350" s="115"/>
    </row>
    <row r="351" spans="10:16" ht="12.5" x14ac:dyDescent="0.25">
      <c r="J351" s="115"/>
      <c r="K351" s="115"/>
      <c r="L351" s="115"/>
      <c r="M351" s="115"/>
      <c r="N351" s="115"/>
      <c r="O351" s="115"/>
      <c r="P351" s="115"/>
    </row>
    <row r="352" spans="10:16" ht="12.5" x14ac:dyDescent="0.25">
      <c r="J352" s="115"/>
      <c r="K352" s="115"/>
      <c r="L352" s="115"/>
      <c r="M352" s="115"/>
      <c r="N352" s="115"/>
      <c r="O352" s="115"/>
      <c r="P352" s="115"/>
    </row>
    <row r="353" spans="10:16" ht="12.5" x14ac:dyDescent="0.25">
      <c r="J353" s="115"/>
      <c r="K353" s="115"/>
      <c r="L353" s="115"/>
      <c r="M353" s="115"/>
      <c r="N353" s="115"/>
      <c r="O353" s="115"/>
      <c r="P353" s="115"/>
    </row>
    <row r="354" spans="10:16" ht="12.5" x14ac:dyDescent="0.25">
      <c r="J354" s="115"/>
      <c r="K354" s="115"/>
      <c r="L354" s="115"/>
      <c r="M354" s="115"/>
      <c r="N354" s="115"/>
      <c r="O354" s="115"/>
      <c r="P354" s="115"/>
    </row>
    <row r="355" spans="10:16" ht="12.5" x14ac:dyDescent="0.25">
      <c r="J355" s="115"/>
      <c r="K355" s="115"/>
      <c r="L355" s="115"/>
      <c r="M355" s="115"/>
      <c r="N355" s="115"/>
      <c r="O355" s="115"/>
      <c r="P355" s="115"/>
    </row>
    <row r="356" spans="10:16" ht="12.5" x14ac:dyDescent="0.25">
      <c r="J356" s="115"/>
      <c r="K356" s="115"/>
      <c r="L356" s="115"/>
      <c r="M356" s="115"/>
      <c r="N356" s="115"/>
      <c r="O356" s="115"/>
      <c r="P356" s="115"/>
    </row>
    <row r="357" spans="10:16" ht="12.5" x14ac:dyDescent="0.25">
      <c r="J357" s="115"/>
      <c r="K357" s="115"/>
      <c r="L357" s="115"/>
      <c r="M357" s="115"/>
      <c r="N357" s="115"/>
      <c r="O357" s="115"/>
      <c r="P357" s="115"/>
    </row>
    <row r="358" spans="10:16" ht="12.5" x14ac:dyDescent="0.25">
      <c r="J358" s="115"/>
      <c r="K358" s="115"/>
      <c r="L358" s="115"/>
      <c r="M358" s="115"/>
      <c r="N358" s="115"/>
      <c r="O358" s="115"/>
      <c r="P358" s="115"/>
    </row>
    <row r="359" spans="10:16" ht="12.5" x14ac:dyDescent="0.25">
      <c r="J359" s="115"/>
      <c r="K359" s="115"/>
      <c r="L359" s="115"/>
      <c r="M359" s="115"/>
      <c r="N359" s="115"/>
      <c r="O359" s="115"/>
      <c r="P359" s="115"/>
    </row>
    <row r="360" spans="10:16" ht="12.5" x14ac:dyDescent="0.25">
      <c r="J360" s="115"/>
      <c r="K360" s="115"/>
      <c r="L360" s="115"/>
      <c r="M360" s="115"/>
      <c r="N360" s="115"/>
      <c r="O360" s="115"/>
      <c r="P360" s="115"/>
    </row>
    <row r="361" spans="10:16" ht="12.5" x14ac:dyDescent="0.25">
      <c r="J361" s="115"/>
      <c r="K361" s="115"/>
      <c r="L361" s="115"/>
      <c r="M361" s="115"/>
      <c r="N361" s="115"/>
      <c r="O361" s="115"/>
      <c r="P361" s="115"/>
    </row>
    <row r="362" spans="10:16" ht="12.5" x14ac:dyDescent="0.25">
      <c r="J362" s="115"/>
      <c r="K362" s="115"/>
      <c r="L362" s="115"/>
      <c r="M362" s="115"/>
      <c r="N362" s="115"/>
      <c r="O362" s="115"/>
      <c r="P362" s="115"/>
    </row>
    <row r="363" spans="10:16" ht="12.5" x14ac:dyDescent="0.25">
      <c r="J363" s="115"/>
      <c r="K363" s="115"/>
      <c r="L363" s="115"/>
      <c r="M363" s="115"/>
      <c r="N363" s="115"/>
      <c r="O363" s="115"/>
      <c r="P363" s="115"/>
    </row>
    <row r="364" spans="10:16" ht="12.5" x14ac:dyDescent="0.25">
      <c r="J364" s="115"/>
      <c r="K364" s="115"/>
      <c r="L364" s="115"/>
      <c r="M364" s="115"/>
      <c r="N364" s="115"/>
      <c r="O364" s="115"/>
      <c r="P364" s="115"/>
    </row>
    <row r="365" spans="10:16" ht="12.5" x14ac:dyDescent="0.25">
      <c r="J365" s="115"/>
      <c r="K365" s="115"/>
      <c r="L365" s="115"/>
      <c r="M365" s="115"/>
      <c r="N365" s="115"/>
      <c r="O365" s="115"/>
      <c r="P365" s="115"/>
    </row>
    <row r="366" spans="10:16" ht="12.5" x14ac:dyDescent="0.25">
      <c r="J366" s="115"/>
      <c r="K366" s="115"/>
      <c r="L366" s="115"/>
      <c r="M366" s="115"/>
      <c r="N366" s="115"/>
      <c r="O366" s="115"/>
      <c r="P366" s="115"/>
    </row>
    <row r="367" spans="10:16" ht="12.5" x14ac:dyDescent="0.25">
      <c r="J367" s="115"/>
      <c r="K367" s="115"/>
      <c r="L367" s="115"/>
      <c r="M367" s="115"/>
      <c r="N367" s="115"/>
      <c r="O367" s="115"/>
      <c r="P367" s="115"/>
    </row>
    <row r="368" spans="10:16" ht="12.5" x14ac:dyDescent="0.25">
      <c r="J368" s="115"/>
      <c r="K368" s="115"/>
      <c r="L368" s="115"/>
      <c r="M368" s="115"/>
      <c r="N368" s="115"/>
      <c r="O368" s="115"/>
      <c r="P368" s="115"/>
    </row>
    <row r="369" spans="10:16" ht="12.5" x14ac:dyDescent="0.25">
      <c r="J369" s="115"/>
      <c r="K369" s="115"/>
      <c r="L369" s="115"/>
      <c r="M369" s="115"/>
      <c r="N369" s="115"/>
      <c r="O369" s="115"/>
      <c r="P369" s="115"/>
    </row>
    <row r="370" spans="10:16" ht="12.5" x14ac:dyDescent="0.25">
      <c r="J370" s="115"/>
      <c r="K370" s="115"/>
      <c r="L370" s="115"/>
      <c r="M370" s="115"/>
      <c r="N370" s="115"/>
      <c r="O370" s="115"/>
      <c r="P370" s="115"/>
    </row>
    <row r="371" spans="10:16" ht="12.5" x14ac:dyDescent="0.25">
      <c r="J371" s="115"/>
      <c r="K371" s="115"/>
      <c r="L371" s="115"/>
      <c r="M371" s="115"/>
      <c r="N371" s="115"/>
      <c r="O371" s="115"/>
      <c r="P371" s="115"/>
    </row>
    <row r="372" spans="10:16" ht="12.5" x14ac:dyDescent="0.25">
      <c r="J372" s="115"/>
      <c r="K372" s="115"/>
      <c r="L372" s="115"/>
      <c r="M372" s="115"/>
      <c r="N372" s="115"/>
      <c r="O372" s="115"/>
      <c r="P372" s="115"/>
    </row>
    <row r="373" spans="10:16" ht="12.5" x14ac:dyDescent="0.25">
      <c r="J373" s="115"/>
      <c r="K373" s="115"/>
      <c r="L373" s="115"/>
      <c r="M373" s="115"/>
      <c r="N373" s="115"/>
      <c r="O373" s="115"/>
      <c r="P373" s="115"/>
    </row>
    <row r="374" spans="10:16" ht="12.5" x14ac:dyDescent="0.25">
      <c r="J374" s="115"/>
      <c r="K374" s="115"/>
      <c r="L374" s="115"/>
      <c r="M374" s="115"/>
      <c r="N374" s="115"/>
      <c r="O374" s="115"/>
      <c r="P374" s="115"/>
    </row>
    <row r="375" spans="10:16" ht="12.5" x14ac:dyDescent="0.25">
      <c r="J375" s="115"/>
      <c r="K375" s="115"/>
      <c r="L375" s="115"/>
      <c r="M375" s="115"/>
      <c r="N375" s="115"/>
      <c r="O375" s="115"/>
      <c r="P375" s="115"/>
    </row>
    <row r="376" spans="10:16" ht="12.5" x14ac:dyDescent="0.25">
      <c r="J376" s="115"/>
      <c r="K376" s="115"/>
      <c r="L376" s="115"/>
      <c r="M376" s="115"/>
      <c r="N376" s="115"/>
      <c r="O376" s="115"/>
      <c r="P376" s="115"/>
    </row>
    <row r="377" spans="10:16" ht="12.5" x14ac:dyDescent="0.25">
      <c r="J377" s="115"/>
      <c r="K377" s="115"/>
      <c r="L377" s="115"/>
      <c r="M377" s="115"/>
      <c r="N377" s="115"/>
      <c r="O377" s="115"/>
      <c r="P377" s="115"/>
    </row>
    <row r="378" spans="10:16" ht="12.5" x14ac:dyDescent="0.25">
      <c r="J378" s="115"/>
      <c r="K378" s="115"/>
      <c r="L378" s="115"/>
      <c r="M378" s="115"/>
      <c r="N378" s="115"/>
      <c r="O378" s="115"/>
      <c r="P378" s="115"/>
    </row>
    <row r="379" spans="10:16" ht="12.5" x14ac:dyDescent="0.25">
      <c r="J379" s="115"/>
      <c r="K379" s="115"/>
      <c r="L379" s="115"/>
      <c r="M379" s="115"/>
      <c r="N379" s="115"/>
      <c r="O379" s="115"/>
      <c r="P379" s="115"/>
    </row>
    <row r="380" spans="10:16" ht="12.5" x14ac:dyDescent="0.25">
      <c r="J380" s="115"/>
      <c r="K380" s="115"/>
      <c r="L380" s="115"/>
      <c r="M380" s="115"/>
      <c r="N380" s="115"/>
      <c r="O380" s="115"/>
      <c r="P380" s="115"/>
    </row>
    <row r="381" spans="10:16" ht="12.5" x14ac:dyDescent="0.25">
      <c r="J381" s="115"/>
      <c r="K381" s="115"/>
      <c r="L381" s="115"/>
      <c r="M381" s="115"/>
      <c r="N381" s="115"/>
      <c r="O381" s="115"/>
      <c r="P381" s="115"/>
    </row>
    <row r="382" spans="10:16" ht="12.5" x14ac:dyDescent="0.25">
      <c r="J382" s="115"/>
      <c r="K382" s="115"/>
      <c r="L382" s="115"/>
      <c r="M382" s="115"/>
      <c r="N382" s="115"/>
      <c r="O382" s="115"/>
      <c r="P382" s="115"/>
    </row>
    <row r="383" spans="10:16" ht="12.5" x14ac:dyDescent="0.25">
      <c r="J383" s="115"/>
      <c r="K383" s="115"/>
      <c r="L383" s="115"/>
      <c r="M383" s="115"/>
      <c r="N383" s="115"/>
      <c r="O383" s="115"/>
      <c r="P383" s="115"/>
    </row>
    <row r="384" spans="10:16" ht="12.5" x14ac:dyDescent="0.25">
      <c r="J384" s="115"/>
      <c r="K384" s="115"/>
      <c r="L384" s="115"/>
      <c r="M384" s="115"/>
      <c r="N384" s="115"/>
      <c r="O384" s="115"/>
      <c r="P384" s="115"/>
    </row>
    <row r="385" spans="10:16" ht="12.5" x14ac:dyDescent="0.25">
      <c r="J385" s="115"/>
      <c r="K385" s="115"/>
      <c r="L385" s="115"/>
      <c r="M385" s="115"/>
      <c r="N385" s="115"/>
      <c r="O385" s="115"/>
      <c r="P385" s="115"/>
    </row>
    <row r="386" spans="10:16" ht="12.5" x14ac:dyDescent="0.25">
      <c r="J386" s="115"/>
      <c r="K386" s="115"/>
      <c r="L386" s="115"/>
      <c r="M386" s="115"/>
      <c r="N386" s="115"/>
      <c r="O386" s="115"/>
      <c r="P386" s="115"/>
    </row>
    <row r="387" spans="10:16" ht="12.5" x14ac:dyDescent="0.25">
      <c r="J387" s="115"/>
      <c r="K387" s="115"/>
      <c r="L387" s="115"/>
      <c r="M387" s="115"/>
      <c r="N387" s="115"/>
      <c r="O387" s="115"/>
      <c r="P387" s="115"/>
    </row>
    <row r="388" spans="10:16" ht="12.5" x14ac:dyDescent="0.25">
      <c r="J388" s="115"/>
      <c r="K388" s="115"/>
      <c r="L388" s="115"/>
      <c r="M388" s="115"/>
      <c r="N388" s="115"/>
      <c r="O388" s="115"/>
      <c r="P388" s="115"/>
    </row>
    <row r="389" spans="10:16" ht="12.5" x14ac:dyDescent="0.25">
      <c r="J389" s="115"/>
      <c r="K389" s="115"/>
      <c r="L389" s="115"/>
      <c r="M389" s="115"/>
      <c r="N389" s="115"/>
      <c r="O389" s="115"/>
      <c r="P389" s="115"/>
    </row>
    <row r="390" spans="10:16" ht="12.5" x14ac:dyDescent="0.25">
      <c r="J390" s="115"/>
      <c r="K390" s="115"/>
      <c r="L390" s="115"/>
      <c r="M390" s="115"/>
      <c r="N390" s="115"/>
      <c r="O390" s="115"/>
      <c r="P390" s="115"/>
    </row>
    <row r="391" spans="10:16" ht="12.5" x14ac:dyDescent="0.25">
      <c r="J391" s="115"/>
      <c r="K391" s="115"/>
      <c r="L391" s="115"/>
      <c r="M391" s="115"/>
      <c r="N391" s="115"/>
      <c r="O391" s="115"/>
      <c r="P391" s="115"/>
    </row>
    <row r="392" spans="10:16" ht="12.5" x14ac:dyDescent="0.25">
      <c r="J392" s="115"/>
      <c r="K392" s="115"/>
      <c r="L392" s="115"/>
      <c r="M392" s="115"/>
      <c r="N392" s="115"/>
      <c r="O392" s="115"/>
      <c r="P392" s="115"/>
    </row>
    <row r="393" spans="10:16" ht="12.5" x14ac:dyDescent="0.25">
      <c r="J393" s="115"/>
      <c r="K393" s="115"/>
      <c r="L393" s="115"/>
      <c r="M393" s="115"/>
      <c r="N393" s="115"/>
      <c r="O393" s="115"/>
      <c r="P393" s="115"/>
    </row>
    <row r="394" spans="10:16" ht="12.5" x14ac:dyDescent="0.25">
      <c r="J394" s="115"/>
      <c r="K394" s="115"/>
      <c r="L394" s="115"/>
      <c r="M394" s="115"/>
      <c r="N394" s="115"/>
      <c r="O394" s="115"/>
      <c r="P394" s="115"/>
    </row>
    <row r="395" spans="10:16" ht="12.5" x14ac:dyDescent="0.25">
      <c r="J395" s="115"/>
      <c r="K395" s="115"/>
      <c r="L395" s="115"/>
      <c r="M395" s="115"/>
      <c r="N395" s="115"/>
      <c r="O395" s="115"/>
      <c r="P395" s="115"/>
    </row>
    <row r="396" spans="10:16" ht="12.5" x14ac:dyDescent="0.25">
      <c r="J396" s="115"/>
      <c r="K396" s="115"/>
      <c r="L396" s="115"/>
      <c r="M396" s="115"/>
      <c r="N396" s="115"/>
      <c r="O396" s="115"/>
      <c r="P396" s="115"/>
    </row>
    <row r="397" spans="10:16" ht="12.5" x14ac:dyDescent="0.25">
      <c r="J397" s="115"/>
      <c r="K397" s="115"/>
      <c r="L397" s="115"/>
      <c r="M397" s="115"/>
      <c r="N397" s="115"/>
      <c r="O397" s="115"/>
      <c r="P397" s="115"/>
    </row>
    <row r="398" spans="10:16" ht="12.5" x14ac:dyDescent="0.25">
      <c r="J398" s="115"/>
      <c r="K398" s="115"/>
      <c r="L398" s="115"/>
      <c r="M398" s="115"/>
      <c r="N398" s="115"/>
      <c r="O398" s="115"/>
      <c r="P398" s="115"/>
    </row>
    <row r="399" spans="10:16" ht="12.5" x14ac:dyDescent="0.25">
      <c r="J399" s="115"/>
      <c r="K399" s="115"/>
      <c r="L399" s="115"/>
      <c r="M399" s="115"/>
      <c r="N399" s="115"/>
      <c r="O399" s="115"/>
      <c r="P399" s="115"/>
    </row>
    <row r="400" spans="10:16" ht="12.5" x14ac:dyDescent="0.25">
      <c r="J400" s="115"/>
      <c r="K400" s="115"/>
      <c r="L400" s="115"/>
      <c r="M400" s="115"/>
      <c r="N400" s="115"/>
      <c r="O400" s="115"/>
      <c r="P400" s="115"/>
    </row>
    <row r="401" spans="10:16" ht="12.5" x14ac:dyDescent="0.25">
      <c r="J401" s="115"/>
      <c r="K401" s="115"/>
      <c r="L401" s="115"/>
      <c r="M401" s="115"/>
      <c r="N401" s="115"/>
      <c r="O401" s="115"/>
      <c r="P401" s="115"/>
    </row>
    <row r="402" spans="10:16" ht="12.5" x14ac:dyDescent="0.25">
      <c r="J402" s="115"/>
      <c r="K402" s="115"/>
      <c r="L402" s="115"/>
      <c r="M402" s="115"/>
      <c r="N402" s="115"/>
      <c r="O402" s="115"/>
      <c r="P402" s="115"/>
    </row>
    <row r="403" spans="10:16" ht="12.5" x14ac:dyDescent="0.25">
      <c r="J403" s="115"/>
      <c r="K403" s="115"/>
      <c r="L403" s="115"/>
      <c r="M403" s="115"/>
      <c r="N403" s="115"/>
      <c r="O403" s="115"/>
      <c r="P403" s="115"/>
    </row>
    <row r="404" spans="10:16" ht="12.5" x14ac:dyDescent="0.25">
      <c r="J404" s="115"/>
      <c r="K404" s="115"/>
      <c r="L404" s="115"/>
      <c r="M404" s="115"/>
      <c r="N404" s="115"/>
      <c r="O404" s="115"/>
      <c r="P404" s="115"/>
    </row>
    <row r="405" spans="10:16" ht="12.5" x14ac:dyDescent="0.25">
      <c r="J405" s="115"/>
      <c r="K405" s="115"/>
      <c r="L405" s="115"/>
      <c r="M405" s="115"/>
      <c r="N405" s="115"/>
      <c r="O405" s="115"/>
      <c r="P405" s="115"/>
    </row>
    <row r="406" spans="10:16" ht="12.5" x14ac:dyDescent="0.25">
      <c r="J406" s="115"/>
      <c r="K406" s="115"/>
      <c r="L406" s="115"/>
      <c r="M406" s="115"/>
      <c r="N406" s="115"/>
      <c r="O406" s="115"/>
      <c r="P406" s="115"/>
    </row>
    <row r="407" spans="10:16" ht="12.5" x14ac:dyDescent="0.25">
      <c r="J407" s="115"/>
      <c r="K407" s="115"/>
      <c r="L407" s="115"/>
      <c r="M407" s="115"/>
      <c r="N407" s="115"/>
      <c r="O407" s="115"/>
      <c r="P407" s="115"/>
    </row>
    <row r="408" spans="10:16" ht="12.5" x14ac:dyDescent="0.25">
      <c r="J408" s="115"/>
      <c r="K408" s="115"/>
      <c r="L408" s="115"/>
      <c r="M408" s="115"/>
      <c r="N408" s="115"/>
      <c r="O408" s="115"/>
      <c r="P408" s="115"/>
    </row>
    <row r="409" spans="10:16" ht="12.5" x14ac:dyDescent="0.25">
      <c r="J409" s="115"/>
      <c r="K409" s="115"/>
      <c r="L409" s="115"/>
      <c r="M409" s="115"/>
      <c r="N409" s="115"/>
      <c r="O409" s="115"/>
      <c r="P409" s="115"/>
    </row>
    <row r="410" spans="10:16" ht="12.5" x14ac:dyDescent="0.25">
      <c r="J410" s="115"/>
      <c r="K410" s="115"/>
      <c r="L410" s="115"/>
      <c r="M410" s="115"/>
      <c r="N410" s="115"/>
      <c r="O410" s="115"/>
      <c r="P410" s="115"/>
    </row>
    <row r="411" spans="10:16" ht="12.5" x14ac:dyDescent="0.25">
      <c r="J411" s="115"/>
      <c r="K411" s="115"/>
      <c r="L411" s="115"/>
      <c r="M411" s="115"/>
      <c r="N411" s="115"/>
      <c r="O411" s="115"/>
      <c r="P411" s="115"/>
    </row>
    <row r="412" spans="10:16" ht="12.5" x14ac:dyDescent="0.25">
      <c r="J412" s="115"/>
      <c r="K412" s="115"/>
      <c r="L412" s="115"/>
      <c r="M412" s="115"/>
      <c r="N412" s="115"/>
      <c r="O412" s="115"/>
      <c r="P412" s="115"/>
    </row>
    <row r="413" spans="10:16" ht="12.5" x14ac:dyDescent="0.25">
      <c r="J413" s="115"/>
      <c r="K413" s="115"/>
      <c r="L413" s="115"/>
      <c r="M413" s="115"/>
      <c r="N413" s="115"/>
      <c r="O413" s="115"/>
      <c r="P413" s="115"/>
    </row>
    <row r="414" spans="10:16" ht="12.5" x14ac:dyDescent="0.25">
      <c r="J414" s="115"/>
      <c r="K414" s="115"/>
      <c r="L414" s="115"/>
      <c r="M414" s="115"/>
      <c r="N414" s="115"/>
      <c r="O414" s="115"/>
      <c r="P414" s="115"/>
    </row>
    <row r="415" spans="10:16" ht="12.5" x14ac:dyDescent="0.25">
      <c r="J415" s="115"/>
      <c r="K415" s="115"/>
      <c r="L415" s="115"/>
      <c r="M415" s="115"/>
      <c r="N415" s="115"/>
      <c r="O415" s="115"/>
      <c r="P415" s="115"/>
    </row>
    <row r="416" spans="10:16" ht="12.5" x14ac:dyDescent="0.25">
      <c r="J416" s="115"/>
      <c r="K416" s="115"/>
      <c r="L416" s="115"/>
      <c r="M416" s="115"/>
      <c r="N416" s="115"/>
      <c r="O416" s="115"/>
      <c r="P416" s="115"/>
    </row>
    <row r="417" spans="10:16" ht="12.5" x14ac:dyDescent="0.25">
      <c r="J417" s="115"/>
      <c r="K417" s="115"/>
      <c r="L417" s="115"/>
      <c r="M417" s="115"/>
      <c r="N417" s="115"/>
      <c r="O417" s="115"/>
      <c r="P417" s="115"/>
    </row>
    <row r="418" spans="10:16" ht="12.5" x14ac:dyDescent="0.25">
      <c r="J418" s="115"/>
      <c r="K418" s="115"/>
      <c r="L418" s="115"/>
      <c r="M418" s="115"/>
      <c r="N418" s="115"/>
      <c r="O418" s="115"/>
      <c r="P418" s="115"/>
    </row>
    <row r="419" spans="10:16" ht="12.5" x14ac:dyDescent="0.25">
      <c r="J419" s="115"/>
      <c r="K419" s="115"/>
      <c r="L419" s="115"/>
      <c r="M419" s="115"/>
      <c r="N419" s="115"/>
      <c r="O419" s="115"/>
      <c r="P419" s="115"/>
    </row>
    <row r="420" spans="10:16" ht="12.5" x14ac:dyDescent="0.25">
      <c r="J420" s="115"/>
      <c r="K420" s="115"/>
      <c r="L420" s="115"/>
      <c r="M420" s="115"/>
      <c r="N420" s="115"/>
      <c r="O420" s="115"/>
      <c r="P420" s="115"/>
    </row>
    <row r="421" spans="10:16" ht="12.5" x14ac:dyDescent="0.25">
      <c r="J421" s="115"/>
      <c r="K421" s="115"/>
      <c r="L421" s="115"/>
      <c r="M421" s="115"/>
      <c r="N421" s="115"/>
      <c r="O421" s="115"/>
      <c r="P421" s="115"/>
    </row>
    <row r="422" spans="10:16" ht="12.5" x14ac:dyDescent="0.25">
      <c r="J422" s="115"/>
      <c r="K422" s="115"/>
      <c r="L422" s="115"/>
      <c r="M422" s="115"/>
      <c r="N422" s="115"/>
      <c r="O422" s="115"/>
      <c r="P422" s="115"/>
    </row>
    <row r="423" spans="10:16" ht="12.5" x14ac:dyDescent="0.25">
      <c r="J423" s="115"/>
      <c r="K423" s="115"/>
      <c r="L423" s="115"/>
      <c r="M423" s="115"/>
      <c r="N423" s="115"/>
      <c r="O423" s="115"/>
      <c r="P423" s="115"/>
    </row>
    <row r="424" spans="10:16" ht="12.5" x14ac:dyDescent="0.25">
      <c r="J424" s="115"/>
      <c r="K424" s="115"/>
      <c r="L424" s="115"/>
      <c r="M424" s="115"/>
      <c r="N424" s="115"/>
      <c r="O424" s="115"/>
      <c r="P424" s="115"/>
    </row>
    <row r="425" spans="10:16" ht="12.5" x14ac:dyDescent="0.25">
      <c r="J425" s="115"/>
      <c r="K425" s="115"/>
      <c r="L425" s="115"/>
      <c r="M425" s="115"/>
      <c r="N425" s="115"/>
      <c r="O425" s="115"/>
      <c r="P425" s="115"/>
    </row>
    <row r="426" spans="10:16" ht="12.5" x14ac:dyDescent="0.25">
      <c r="J426" s="115"/>
      <c r="K426" s="115"/>
      <c r="L426" s="115"/>
      <c r="M426" s="115"/>
      <c r="N426" s="115"/>
      <c r="O426" s="115"/>
      <c r="P426" s="115"/>
    </row>
    <row r="427" spans="10:16" ht="12.5" x14ac:dyDescent="0.25">
      <c r="J427" s="115"/>
      <c r="K427" s="115"/>
      <c r="L427" s="115"/>
      <c r="M427" s="115"/>
      <c r="N427" s="115"/>
      <c r="O427" s="115"/>
      <c r="P427" s="115"/>
    </row>
    <row r="428" spans="10:16" ht="12.5" x14ac:dyDescent="0.25">
      <c r="J428" s="115"/>
      <c r="K428" s="115"/>
      <c r="L428" s="115"/>
      <c r="M428" s="115"/>
      <c r="N428" s="115"/>
      <c r="O428" s="115"/>
      <c r="P428" s="115"/>
    </row>
    <row r="429" spans="10:16" ht="12.5" x14ac:dyDescent="0.25">
      <c r="J429" s="115"/>
      <c r="K429" s="115"/>
      <c r="L429" s="115"/>
      <c r="M429" s="115"/>
      <c r="N429" s="115"/>
      <c r="O429" s="115"/>
      <c r="P429" s="115"/>
    </row>
    <row r="430" spans="10:16" ht="12.5" x14ac:dyDescent="0.25">
      <c r="J430" s="115"/>
      <c r="K430" s="115"/>
      <c r="L430" s="115"/>
      <c r="M430" s="115"/>
      <c r="N430" s="115"/>
      <c r="O430" s="115"/>
      <c r="P430" s="115"/>
    </row>
    <row r="431" spans="10:16" ht="12.5" x14ac:dyDescent="0.25">
      <c r="J431" s="115"/>
      <c r="K431" s="115"/>
      <c r="L431" s="115"/>
      <c r="M431" s="115"/>
      <c r="N431" s="115"/>
      <c r="O431" s="115"/>
      <c r="P431" s="115"/>
    </row>
    <row r="432" spans="10:16" ht="12.5" x14ac:dyDescent="0.25">
      <c r="J432" s="115"/>
      <c r="K432" s="115"/>
      <c r="L432" s="115"/>
      <c r="M432" s="115"/>
      <c r="N432" s="115"/>
      <c r="O432" s="115"/>
      <c r="P432" s="115"/>
    </row>
    <row r="433" spans="10:16" ht="12.5" x14ac:dyDescent="0.25">
      <c r="J433" s="115"/>
      <c r="K433" s="115"/>
      <c r="L433" s="115"/>
      <c r="M433" s="115"/>
      <c r="N433" s="115"/>
      <c r="O433" s="115"/>
      <c r="P433" s="115"/>
    </row>
    <row r="434" spans="10:16" ht="12.5" x14ac:dyDescent="0.25">
      <c r="J434" s="115"/>
      <c r="K434" s="115"/>
      <c r="L434" s="115"/>
      <c r="M434" s="115"/>
      <c r="N434" s="115"/>
      <c r="O434" s="115"/>
      <c r="P434" s="115"/>
    </row>
    <row r="435" spans="10:16" ht="12.5" x14ac:dyDescent="0.25">
      <c r="J435" s="115"/>
      <c r="K435" s="115"/>
      <c r="L435" s="115"/>
      <c r="M435" s="115"/>
      <c r="N435" s="115"/>
      <c r="O435" s="115"/>
      <c r="P435" s="115"/>
    </row>
    <row r="436" spans="10:16" ht="12.5" x14ac:dyDescent="0.25">
      <c r="J436" s="115"/>
      <c r="K436" s="115"/>
      <c r="L436" s="115"/>
      <c r="M436" s="115"/>
      <c r="N436" s="115"/>
      <c r="O436" s="115"/>
      <c r="P436" s="115"/>
    </row>
    <row r="437" spans="10:16" ht="12.5" x14ac:dyDescent="0.25">
      <c r="J437" s="115"/>
      <c r="K437" s="115"/>
      <c r="L437" s="115"/>
      <c r="M437" s="115"/>
      <c r="N437" s="115"/>
      <c r="O437" s="115"/>
      <c r="P437" s="115"/>
    </row>
    <row r="438" spans="10:16" ht="12.5" x14ac:dyDescent="0.25">
      <c r="J438" s="115"/>
      <c r="K438" s="115"/>
      <c r="L438" s="115"/>
      <c r="M438" s="115"/>
      <c r="N438" s="115"/>
      <c r="O438" s="115"/>
      <c r="P438" s="115"/>
    </row>
    <row r="439" spans="10:16" ht="12.5" x14ac:dyDescent="0.25">
      <c r="J439" s="115"/>
      <c r="K439" s="115"/>
      <c r="L439" s="115"/>
      <c r="M439" s="115"/>
      <c r="N439" s="115"/>
      <c r="O439" s="115"/>
      <c r="P439" s="115"/>
    </row>
    <row r="440" spans="10:16" ht="12.5" x14ac:dyDescent="0.25">
      <c r="J440" s="115"/>
      <c r="K440" s="115"/>
      <c r="L440" s="115"/>
      <c r="M440" s="115"/>
      <c r="N440" s="115"/>
      <c r="O440" s="115"/>
      <c r="P440" s="115"/>
    </row>
    <row r="441" spans="10:16" ht="12.5" x14ac:dyDescent="0.25">
      <c r="J441" s="115"/>
      <c r="K441" s="115"/>
      <c r="L441" s="115"/>
      <c r="M441" s="115"/>
      <c r="N441" s="115"/>
      <c r="O441" s="115"/>
      <c r="P441" s="115"/>
    </row>
    <row r="442" spans="10:16" ht="12.5" x14ac:dyDescent="0.25">
      <c r="J442" s="115"/>
      <c r="K442" s="115"/>
      <c r="L442" s="115"/>
      <c r="M442" s="115"/>
      <c r="N442" s="115"/>
      <c r="O442" s="115"/>
      <c r="P442" s="115"/>
    </row>
    <row r="443" spans="10:16" ht="12.5" x14ac:dyDescent="0.25">
      <c r="J443" s="115"/>
      <c r="K443" s="115"/>
      <c r="L443" s="115"/>
      <c r="M443" s="115"/>
      <c r="N443" s="115"/>
      <c r="O443" s="115"/>
      <c r="P443" s="115"/>
    </row>
    <row r="444" spans="10:16" ht="12.5" x14ac:dyDescent="0.25">
      <c r="J444" s="115"/>
      <c r="K444" s="115"/>
      <c r="L444" s="115"/>
      <c r="M444" s="115"/>
      <c r="N444" s="115"/>
      <c r="O444" s="115"/>
      <c r="P444" s="115"/>
    </row>
    <row r="445" spans="10:16" ht="12.5" x14ac:dyDescent="0.25">
      <c r="J445" s="115"/>
      <c r="K445" s="115"/>
      <c r="L445" s="115"/>
      <c r="M445" s="115"/>
      <c r="N445" s="115"/>
      <c r="O445" s="115"/>
      <c r="P445" s="115"/>
    </row>
    <row r="446" spans="10:16" ht="12.5" x14ac:dyDescent="0.25">
      <c r="J446" s="115"/>
      <c r="K446" s="115"/>
      <c r="L446" s="115"/>
      <c r="M446" s="115"/>
      <c r="N446" s="115"/>
      <c r="O446" s="115"/>
      <c r="P446" s="115"/>
    </row>
    <row r="447" spans="10:16" ht="12.5" x14ac:dyDescent="0.25">
      <c r="J447" s="115"/>
      <c r="K447" s="115"/>
      <c r="L447" s="115"/>
      <c r="M447" s="115"/>
      <c r="N447" s="115"/>
      <c r="O447" s="115"/>
      <c r="P447" s="115"/>
    </row>
    <row r="448" spans="10:16" ht="12.5" x14ac:dyDescent="0.25">
      <c r="J448" s="115"/>
      <c r="K448" s="115"/>
      <c r="L448" s="115"/>
      <c r="M448" s="115"/>
      <c r="N448" s="115"/>
      <c r="O448" s="115"/>
      <c r="P448" s="115"/>
    </row>
    <row r="449" spans="10:16" ht="12.5" x14ac:dyDescent="0.25">
      <c r="J449" s="115"/>
      <c r="K449" s="115"/>
      <c r="L449" s="115"/>
      <c r="M449" s="115"/>
      <c r="N449" s="115"/>
      <c r="O449" s="115"/>
      <c r="P449" s="115"/>
    </row>
    <row r="450" spans="10:16" ht="12.5" x14ac:dyDescent="0.25">
      <c r="J450" s="115"/>
      <c r="K450" s="115"/>
      <c r="L450" s="115"/>
      <c r="M450" s="115"/>
      <c r="N450" s="115"/>
      <c r="O450" s="115"/>
      <c r="P450" s="115"/>
    </row>
    <row r="451" spans="10:16" ht="12.5" x14ac:dyDescent="0.25">
      <c r="J451" s="115"/>
      <c r="K451" s="115"/>
      <c r="L451" s="115"/>
      <c r="M451" s="115"/>
      <c r="N451" s="115"/>
      <c r="O451" s="115"/>
      <c r="P451" s="115"/>
    </row>
    <row r="452" spans="10:16" ht="12.5" x14ac:dyDescent="0.25">
      <c r="J452" s="115"/>
      <c r="K452" s="115"/>
      <c r="L452" s="115"/>
      <c r="M452" s="115"/>
      <c r="N452" s="115"/>
      <c r="O452" s="115"/>
      <c r="P452" s="115"/>
    </row>
    <row r="453" spans="10:16" ht="12.5" x14ac:dyDescent="0.25">
      <c r="J453" s="115"/>
      <c r="K453" s="115"/>
      <c r="L453" s="115"/>
      <c r="M453" s="115"/>
      <c r="N453" s="115"/>
      <c r="O453" s="115"/>
      <c r="P453" s="115"/>
    </row>
    <row r="454" spans="10:16" ht="12.5" x14ac:dyDescent="0.25">
      <c r="J454" s="115"/>
      <c r="K454" s="115"/>
      <c r="L454" s="115"/>
      <c r="M454" s="115"/>
      <c r="N454" s="115"/>
      <c r="O454" s="115"/>
      <c r="P454" s="115"/>
    </row>
    <row r="455" spans="10:16" ht="12.5" x14ac:dyDescent="0.25">
      <c r="J455" s="115"/>
      <c r="K455" s="115"/>
      <c r="L455" s="115"/>
      <c r="M455" s="115"/>
      <c r="N455" s="115"/>
      <c r="O455" s="115"/>
      <c r="P455" s="115"/>
    </row>
    <row r="456" spans="10:16" ht="12.5" x14ac:dyDescent="0.25">
      <c r="J456" s="115"/>
      <c r="K456" s="115"/>
      <c r="L456" s="115"/>
      <c r="M456" s="115"/>
      <c r="N456" s="115"/>
      <c r="O456" s="115"/>
      <c r="P456" s="115"/>
    </row>
    <row r="457" spans="10:16" ht="12.5" x14ac:dyDescent="0.25">
      <c r="J457" s="115"/>
      <c r="K457" s="115"/>
      <c r="L457" s="115"/>
      <c r="M457" s="115"/>
      <c r="N457" s="115"/>
      <c r="O457" s="115"/>
      <c r="P457" s="115"/>
    </row>
    <row r="458" spans="10:16" ht="12.5" x14ac:dyDescent="0.25">
      <c r="J458" s="115"/>
      <c r="K458" s="115"/>
      <c r="L458" s="115"/>
      <c r="M458" s="115"/>
      <c r="N458" s="115"/>
      <c r="O458" s="115"/>
      <c r="P458" s="115"/>
    </row>
    <row r="459" spans="10:16" ht="12.5" x14ac:dyDescent="0.25">
      <c r="J459" s="115"/>
      <c r="K459" s="115"/>
      <c r="L459" s="115"/>
      <c r="M459" s="115"/>
      <c r="N459" s="115"/>
      <c r="O459" s="115"/>
      <c r="P459" s="115"/>
    </row>
    <row r="460" spans="10:16" ht="12.5" x14ac:dyDescent="0.25">
      <c r="J460" s="115"/>
      <c r="K460" s="115"/>
      <c r="L460" s="115"/>
      <c r="M460" s="115"/>
      <c r="N460" s="115"/>
      <c r="O460" s="115"/>
      <c r="P460" s="115"/>
    </row>
    <row r="461" spans="10:16" ht="12.5" x14ac:dyDescent="0.25">
      <c r="J461" s="115"/>
      <c r="K461" s="115"/>
      <c r="L461" s="115"/>
      <c r="M461" s="115"/>
      <c r="N461" s="115"/>
      <c r="O461" s="115"/>
      <c r="P461" s="115"/>
    </row>
    <row r="462" spans="10:16" ht="12.5" x14ac:dyDescent="0.25">
      <c r="J462" s="115"/>
      <c r="K462" s="115"/>
      <c r="L462" s="115"/>
      <c r="M462" s="115"/>
      <c r="N462" s="115"/>
      <c r="O462" s="115"/>
      <c r="P462" s="115"/>
    </row>
    <row r="463" spans="10:16" ht="12.5" x14ac:dyDescent="0.25">
      <c r="J463" s="115"/>
      <c r="K463" s="115"/>
      <c r="L463" s="115"/>
      <c r="M463" s="115"/>
      <c r="N463" s="115"/>
      <c r="O463" s="115"/>
      <c r="P463" s="115"/>
    </row>
    <row r="464" spans="10:16" ht="12.5" x14ac:dyDescent="0.25">
      <c r="J464" s="115"/>
      <c r="K464" s="115"/>
      <c r="L464" s="115"/>
      <c r="M464" s="115"/>
      <c r="N464" s="115"/>
      <c r="O464" s="115"/>
      <c r="P464" s="115"/>
    </row>
    <row r="465" spans="10:16" ht="12.5" x14ac:dyDescent="0.25">
      <c r="J465" s="115"/>
      <c r="K465" s="115"/>
      <c r="L465" s="115"/>
      <c r="M465" s="115"/>
      <c r="N465" s="115"/>
      <c r="O465" s="115"/>
      <c r="P465" s="115"/>
    </row>
    <row r="466" spans="10:16" ht="12.5" x14ac:dyDescent="0.25">
      <c r="J466" s="115"/>
      <c r="K466" s="115"/>
      <c r="L466" s="115"/>
      <c r="M466" s="115"/>
      <c r="N466" s="115"/>
      <c r="O466" s="115"/>
      <c r="P466" s="115"/>
    </row>
    <row r="467" spans="10:16" ht="12.5" x14ac:dyDescent="0.25">
      <c r="J467" s="115"/>
      <c r="K467" s="115"/>
      <c r="L467" s="115"/>
      <c r="M467" s="115"/>
      <c r="N467" s="115"/>
      <c r="O467" s="115"/>
      <c r="P467" s="115"/>
    </row>
    <row r="468" spans="10:16" ht="12.5" x14ac:dyDescent="0.25">
      <c r="J468" s="115"/>
      <c r="K468" s="115"/>
      <c r="L468" s="115"/>
      <c r="M468" s="115"/>
      <c r="N468" s="115"/>
      <c r="O468" s="115"/>
      <c r="P468" s="115"/>
    </row>
    <row r="469" spans="10:16" ht="12.5" x14ac:dyDescent="0.25">
      <c r="J469" s="115"/>
      <c r="K469" s="115"/>
      <c r="L469" s="115"/>
      <c r="M469" s="115"/>
      <c r="N469" s="115"/>
      <c r="O469" s="115"/>
      <c r="P469" s="115"/>
    </row>
    <row r="470" spans="10:16" ht="12.5" x14ac:dyDescent="0.25">
      <c r="J470" s="115"/>
      <c r="K470" s="115"/>
      <c r="L470" s="115"/>
      <c r="M470" s="115"/>
      <c r="N470" s="115"/>
      <c r="O470" s="115"/>
      <c r="P470" s="115"/>
    </row>
    <row r="471" spans="10:16" ht="12.5" x14ac:dyDescent="0.25">
      <c r="J471" s="115"/>
      <c r="K471" s="115"/>
      <c r="L471" s="115"/>
      <c r="M471" s="115"/>
      <c r="N471" s="115"/>
      <c r="O471" s="115"/>
      <c r="P471" s="115"/>
    </row>
    <row r="472" spans="10:16" ht="12.5" x14ac:dyDescent="0.25">
      <c r="J472" s="115"/>
      <c r="K472" s="115"/>
      <c r="L472" s="115"/>
      <c r="M472" s="115"/>
      <c r="N472" s="115"/>
      <c r="O472" s="115"/>
      <c r="P472" s="115"/>
    </row>
    <row r="473" spans="10:16" ht="12.5" x14ac:dyDescent="0.25">
      <c r="J473" s="115"/>
      <c r="K473" s="115"/>
      <c r="L473" s="115"/>
      <c r="M473" s="115"/>
      <c r="N473" s="115"/>
      <c r="O473" s="115"/>
      <c r="P473" s="115"/>
    </row>
    <row r="474" spans="10:16" ht="12.5" x14ac:dyDescent="0.25">
      <c r="J474" s="115"/>
      <c r="K474" s="115"/>
      <c r="L474" s="115"/>
      <c r="M474" s="115"/>
      <c r="N474" s="115"/>
      <c r="O474" s="115"/>
      <c r="P474" s="115"/>
    </row>
    <row r="475" spans="10:16" ht="12.5" x14ac:dyDescent="0.25">
      <c r="J475" s="115"/>
      <c r="K475" s="115"/>
      <c r="L475" s="115"/>
      <c r="M475" s="115"/>
      <c r="N475" s="115"/>
      <c r="O475" s="115"/>
      <c r="P475" s="115"/>
    </row>
    <row r="476" spans="10:16" ht="12.5" x14ac:dyDescent="0.25">
      <c r="J476" s="115"/>
      <c r="K476" s="115"/>
      <c r="L476" s="115"/>
      <c r="M476" s="115"/>
      <c r="N476" s="115"/>
      <c r="O476" s="115"/>
      <c r="P476" s="115"/>
    </row>
    <row r="477" spans="10:16" ht="12.5" x14ac:dyDescent="0.25">
      <c r="J477" s="115"/>
      <c r="K477" s="115"/>
      <c r="L477" s="115"/>
      <c r="M477" s="115"/>
      <c r="N477" s="115"/>
      <c r="O477" s="115"/>
      <c r="P477" s="115"/>
    </row>
    <row r="478" spans="10:16" ht="12.5" x14ac:dyDescent="0.25">
      <c r="J478" s="115"/>
      <c r="K478" s="115"/>
      <c r="L478" s="115"/>
      <c r="M478" s="115"/>
      <c r="N478" s="115"/>
      <c r="O478" s="115"/>
      <c r="P478" s="115"/>
    </row>
    <row r="479" spans="10:16" ht="12.5" x14ac:dyDescent="0.25">
      <c r="J479" s="115"/>
      <c r="K479" s="115"/>
      <c r="L479" s="115"/>
      <c r="M479" s="115"/>
      <c r="N479" s="115"/>
      <c r="O479" s="115"/>
      <c r="P479" s="115"/>
    </row>
    <row r="480" spans="10:16" ht="12.5" x14ac:dyDescent="0.25">
      <c r="J480" s="115"/>
      <c r="K480" s="115"/>
      <c r="L480" s="115"/>
      <c r="M480" s="115"/>
      <c r="N480" s="115"/>
      <c r="O480" s="115"/>
      <c r="P480" s="115"/>
    </row>
    <row r="481" spans="10:16" ht="12.5" x14ac:dyDescent="0.25">
      <c r="J481" s="115"/>
      <c r="K481" s="115"/>
      <c r="L481" s="115"/>
      <c r="M481" s="115"/>
      <c r="N481" s="115"/>
      <c r="O481" s="115"/>
      <c r="P481" s="115"/>
    </row>
    <row r="482" spans="10:16" ht="12.5" x14ac:dyDescent="0.25">
      <c r="J482" s="115"/>
      <c r="K482" s="115"/>
      <c r="L482" s="115"/>
      <c r="M482" s="115"/>
      <c r="N482" s="115"/>
      <c r="O482" s="115"/>
      <c r="P482" s="115"/>
    </row>
    <row r="483" spans="10:16" ht="12.5" x14ac:dyDescent="0.25">
      <c r="J483" s="115"/>
      <c r="K483" s="115"/>
      <c r="L483" s="115"/>
      <c r="M483" s="115"/>
      <c r="N483" s="115"/>
      <c r="O483" s="115"/>
      <c r="P483" s="115"/>
    </row>
    <row r="484" spans="10:16" ht="12.5" x14ac:dyDescent="0.25">
      <c r="J484" s="115"/>
      <c r="K484" s="115"/>
      <c r="L484" s="115"/>
      <c r="M484" s="115"/>
      <c r="N484" s="115"/>
      <c r="O484" s="115"/>
      <c r="P484" s="115"/>
    </row>
    <row r="485" spans="10:16" ht="12.5" x14ac:dyDescent="0.25">
      <c r="J485" s="115"/>
      <c r="K485" s="115"/>
      <c r="L485" s="115"/>
      <c r="M485" s="115"/>
      <c r="N485" s="115"/>
      <c r="O485" s="115"/>
      <c r="P485" s="115"/>
    </row>
    <row r="486" spans="10:16" ht="12.5" x14ac:dyDescent="0.25">
      <c r="J486" s="115"/>
      <c r="K486" s="115"/>
      <c r="L486" s="115"/>
      <c r="M486" s="115"/>
      <c r="N486" s="115"/>
      <c r="O486" s="115"/>
      <c r="P486" s="115"/>
    </row>
    <row r="487" spans="10:16" ht="12.5" x14ac:dyDescent="0.25">
      <c r="J487" s="115"/>
      <c r="K487" s="115"/>
      <c r="L487" s="115"/>
      <c r="M487" s="115"/>
      <c r="N487" s="115"/>
      <c r="O487" s="115"/>
      <c r="P487" s="115"/>
    </row>
    <row r="488" spans="10:16" ht="12.5" x14ac:dyDescent="0.25">
      <c r="J488" s="115"/>
      <c r="K488" s="115"/>
      <c r="L488" s="115"/>
      <c r="M488" s="115"/>
      <c r="N488" s="115"/>
      <c r="O488" s="115"/>
      <c r="P488" s="115"/>
    </row>
    <row r="489" spans="10:16" ht="12.5" x14ac:dyDescent="0.25">
      <c r="J489" s="115"/>
      <c r="K489" s="115"/>
      <c r="L489" s="115"/>
      <c r="M489" s="115"/>
      <c r="N489" s="115"/>
      <c r="O489" s="115"/>
      <c r="P489" s="115"/>
    </row>
    <row r="490" spans="10:16" ht="12.5" x14ac:dyDescent="0.25">
      <c r="J490" s="115"/>
      <c r="K490" s="115"/>
      <c r="L490" s="115"/>
      <c r="M490" s="115"/>
      <c r="N490" s="115"/>
      <c r="O490" s="115"/>
      <c r="P490" s="115"/>
    </row>
    <row r="491" spans="10:16" ht="12.5" x14ac:dyDescent="0.25">
      <c r="J491" s="115"/>
      <c r="K491" s="115"/>
      <c r="L491" s="115"/>
      <c r="M491" s="115"/>
      <c r="N491" s="115"/>
      <c r="O491" s="115"/>
      <c r="P491" s="115"/>
    </row>
    <row r="492" spans="10:16" ht="12.5" x14ac:dyDescent="0.25">
      <c r="J492" s="115"/>
      <c r="K492" s="115"/>
      <c r="L492" s="115"/>
      <c r="M492" s="115"/>
      <c r="N492" s="115"/>
      <c r="O492" s="115"/>
      <c r="P492" s="115"/>
    </row>
    <row r="493" spans="10:16" ht="12.5" x14ac:dyDescent="0.25">
      <c r="J493" s="115"/>
      <c r="K493" s="115"/>
      <c r="L493" s="115"/>
      <c r="M493" s="115"/>
      <c r="N493" s="115"/>
      <c r="O493" s="115"/>
      <c r="P493" s="115"/>
    </row>
    <row r="494" spans="10:16" ht="12.5" x14ac:dyDescent="0.25">
      <c r="J494" s="115"/>
      <c r="K494" s="115"/>
      <c r="L494" s="115"/>
      <c r="M494" s="115"/>
      <c r="N494" s="115"/>
      <c r="O494" s="115"/>
      <c r="P494" s="115"/>
    </row>
    <row r="495" spans="10:16" ht="12.5" x14ac:dyDescent="0.25">
      <c r="J495" s="115"/>
      <c r="K495" s="115"/>
      <c r="L495" s="115"/>
      <c r="M495" s="115"/>
      <c r="N495" s="115"/>
      <c r="O495" s="115"/>
      <c r="P495" s="115"/>
    </row>
    <row r="496" spans="10:16" ht="12.5" x14ac:dyDescent="0.25">
      <c r="J496" s="115"/>
      <c r="K496" s="115"/>
      <c r="L496" s="115"/>
      <c r="M496" s="115"/>
      <c r="N496" s="115"/>
      <c r="O496" s="115"/>
      <c r="P496" s="115"/>
    </row>
    <row r="497" spans="10:16" ht="12.5" x14ac:dyDescent="0.25">
      <c r="J497" s="115"/>
      <c r="K497" s="115"/>
      <c r="L497" s="115"/>
      <c r="M497" s="115"/>
      <c r="N497" s="115"/>
      <c r="O497" s="115"/>
      <c r="P497" s="115"/>
    </row>
    <row r="498" spans="10:16" ht="12.5" x14ac:dyDescent="0.25">
      <c r="J498" s="115"/>
      <c r="K498" s="115"/>
      <c r="L498" s="115"/>
      <c r="M498" s="115"/>
      <c r="N498" s="115"/>
      <c r="O498" s="115"/>
      <c r="P498" s="115"/>
    </row>
    <row r="499" spans="10:16" ht="12.5" x14ac:dyDescent="0.25">
      <c r="J499" s="115"/>
      <c r="K499" s="115"/>
      <c r="L499" s="115"/>
      <c r="M499" s="115"/>
      <c r="N499" s="115"/>
      <c r="O499" s="115"/>
      <c r="P499" s="115"/>
    </row>
    <row r="500" spans="10:16" ht="12.5" x14ac:dyDescent="0.25">
      <c r="J500" s="115"/>
      <c r="K500" s="115"/>
      <c r="L500" s="115"/>
      <c r="M500" s="115"/>
      <c r="N500" s="115"/>
      <c r="O500" s="115"/>
      <c r="P500" s="115"/>
    </row>
    <row r="501" spans="10:16" ht="12.5" x14ac:dyDescent="0.25">
      <c r="J501" s="115"/>
      <c r="K501" s="115"/>
      <c r="L501" s="115"/>
      <c r="M501" s="115"/>
      <c r="N501" s="115"/>
      <c r="O501" s="115"/>
      <c r="P501" s="115"/>
    </row>
    <row r="502" spans="10:16" ht="12.5" x14ac:dyDescent="0.25">
      <c r="J502" s="115"/>
      <c r="K502" s="115"/>
      <c r="L502" s="115"/>
      <c r="M502" s="115"/>
      <c r="N502" s="115"/>
      <c r="O502" s="115"/>
      <c r="P502" s="115"/>
    </row>
    <row r="503" spans="10:16" ht="12.5" x14ac:dyDescent="0.25">
      <c r="J503" s="115"/>
      <c r="K503" s="115"/>
      <c r="L503" s="115"/>
      <c r="M503" s="115"/>
      <c r="N503" s="115"/>
      <c r="O503" s="115"/>
      <c r="P503" s="115"/>
    </row>
    <row r="504" spans="10:16" ht="12.5" x14ac:dyDescent="0.25">
      <c r="J504" s="115"/>
      <c r="K504" s="115"/>
      <c r="L504" s="115"/>
      <c r="M504" s="115"/>
      <c r="N504" s="115"/>
      <c r="O504" s="115"/>
      <c r="P504" s="115"/>
    </row>
    <row r="505" spans="10:16" ht="12.5" x14ac:dyDescent="0.25">
      <c r="J505" s="115"/>
      <c r="K505" s="115"/>
      <c r="L505" s="115"/>
      <c r="M505" s="115"/>
      <c r="N505" s="115"/>
      <c r="O505" s="115"/>
      <c r="P505" s="115"/>
    </row>
    <row r="506" spans="10:16" ht="12.5" x14ac:dyDescent="0.25">
      <c r="J506" s="115"/>
      <c r="K506" s="115"/>
      <c r="L506" s="115"/>
      <c r="M506" s="115"/>
      <c r="N506" s="115"/>
      <c r="O506" s="115"/>
      <c r="P506" s="115"/>
    </row>
    <row r="507" spans="10:16" ht="12.5" x14ac:dyDescent="0.25">
      <c r="J507" s="115"/>
      <c r="K507" s="115"/>
      <c r="L507" s="115"/>
      <c r="M507" s="115"/>
      <c r="N507" s="115"/>
      <c r="O507" s="115"/>
      <c r="P507" s="115"/>
    </row>
    <row r="508" spans="10:16" ht="12.5" x14ac:dyDescent="0.25">
      <c r="J508" s="115"/>
      <c r="K508" s="115"/>
      <c r="L508" s="115"/>
      <c r="M508" s="115"/>
      <c r="N508" s="115"/>
      <c r="O508" s="115"/>
      <c r="P508" s="115"/>
    </row>
    <row r="509" spans="10:16" ht="12.5" x14ac:dyDescent="0.25">
      <c r="J509" s="115"/>
      <c r="K509" s="115"/>
      <c r="L509" s="115"/>
      <c r="M509" s="115"/>
      <c r="N509" s="115"/>
      <c r="O509" s="115"/>
      <c r="P509" s="115"/>
    </row>
    <row r="510" spans="10:16" ht="12.5" x14ac:dyDescent="0.25">
      <c r="J510" s="115"/>
      <c r="K510" s="115"/>
      <c r="L510" s="115"/>
      <c r="M510" s="115"/>
      <c r="N510" s="115"/>
      <c r="O510" s="115"/>
      <c r="P510" s="115"/>
    </row>
    <row r="511" spans="10:16" ht="12.5" x14ac:dyDescent="0.25">
      <c r="J511" s="115"/>
      <c r="K511" s="115"/>
      <c r="L511" s="115"/>
      <c r="M511" s="115"/>
      <c r="N511" s="115"/>
      <c r="O511" s="115"/>
      <c r="P511" s="115"/>
    </row>
    <row r="512" spans="10:16" ht="12.5" x14ac:dyDescent="0.25">
      <c r="J512" s="115"/>
      <c r="K512" s="115"/>
      <c r="L512" s="115"/>
      <c r="M512" s="115"/>
      <c r="N512" s="115"/>
      <c r="O512" s="115"/>
      <c r="P512" s="115"/>
    </row>
    <row r="513" spans="10:16" ht="12.5" x14ac:dyDescent="0.25">
      <c r="J513" s="115"/>
      <c r="K513" s="115"/>
      <c r="L513" s="115"/>
      <c r="M513" s="115"/>
      <c r="N513" s="115"/>
      <c r="O513" s="115"/>
      <c r="P513" s="115"/>
    </row>
    <row r="514" spans="10:16" ht="12.5" x14ac:dyDescent="0.25">
      <c r="J514" s="115"/>
      <c r="K514" s="115"/>
      <c r="L514" s="115"/>
      <c r="M514" s="115"/>
      <c r="N514" s="115"/>
      <c r="O514" s="115"/>
      <c r="P514" s="115"/>
    </row>
    <row r="515" spans="10:16" ht="12.5" x14ac:dyDescent="0.25">
      <c r="J515" s="115"/>
      <c r="K515" s="115"/>
      <c r="L515" s="115"/>
      <c r="M515" s="115"/>
      <c r="N515" s="115"/>
      <c r="O515" s="115"/>
      <c r="P515" s="115"/>
    </row>
    <row r="516" spans="10:16" ht="12.5" x14ac:dyDescent="0.25">
      <c r="J516" s="115"/>
      <c r="K516" s="115"/>
      <c r="L516" s="115"/>
      <c r="M516" s="115"/>
      <c r="N516" s="115"/>
      <c r="O516" s="115"/>
      <c r="P516" s="115"/>
    </row>
    <row r="517" spans="10:16" ht="12.5" x14ac:dyDescent="0.25">
      <c r="J517" s="115"/>
      <c r="K517" s="115"/>
      <c r="L517" s="115"/>
      <c r="M517" s="115"/>
      <c r="N517" s="115"/>
      <c r="O517" s="115"/>
      <c r="P517" s="115"/>
    </row>
    <row r="518" spans="10:16" ht="12.5" x14ac:dyDescent="0.25">
      <c r="J518" s="115"/>
      <c r="K518" s="115"/>
      <c r="L518" s="115"/>
      <c r="M518" s="115"/>
      <c r="N518" s="115"/>
      <c r="O518" s="115"/>
      <c r="P518" s="115"/>
    </row>
    <row r="519" spans="10:16" ht="12.5" x14ac:dyDescent="0.25">
      <c r="J519" s="115"/>
      <c r="K519" s="115"/>
      <c r="L519" s="115"/>
      <c r="M519" s="115"/>
      <c r="N519" s="115"/>
      <c r="O519" s="115"/>
      <c r="P519" s="115"/>
    </row>
    <row r="520" spans="10:16" ht="12.5" x14ac:dyDescent="0.25">
      <c r="J520" s="115"/>
      <c r="K520" s="115"/>
      <c r="L520" s="115"/>
      <c r="M520" s="115"/>
      <c r="N520" s="115"/>
      <c r="O520" s="115"/>
      <c r="P520" s="115"/>
    </row>
    <row r="521" spans="10:16" ht="12.5" x14ac:dyDescent="0.25">
      <c r="J521" s="115"/>
      <c r="K521" s="115"/>
      <c r="L521" s="115"/>
      <c r="M521" s="115"/>
      <c r="N521" s="115"/>
      <c r="O521" s="115"/>
      <c r="P521" s="115"/>
    </row>
    <row r="522" spans="10:16" ht="12.5" x14ac:dyDescent="0.25">
      <c r="J522" s="115"/>
      <c r="K522" s="115"/>
      <c r="L522" s="115"/>
      <c r="M522" s="115"/>
      <c r="N522" s="115"/>
      <c r="O522" s="115"/>
      <c r="P522" s="115"/>
    </row>
    <row r="523" spans="10:16" ht="12.5" x14ac:dyDescent="0.25">
      <c r="J523" s="115"/>
      <c r="K523" s="115"/>
      <c r="L523" s="115"/>
      <c r="M523" s="115"/>
      <c r="N523" s="115"/>
      <c r="O523" s="115"/>
      <c r="P523" s="115"/>
    </row>
    <row r="524" spans="10:16" ht="12.5" x14ac:dyDescent="0.25">
      <c r="J524" s="115"/>
      <c r="K524" s="115"/>
      <c r="L524" s="115"/>
      <c r="M524" s="115"/>
      <c r="N524" s="115"/>
      <c r="O524" s="115"/>
      <c r="P524" s="115"/>
    </row>
    <row r="525" spans="10:16" ht="12.5" x14ac:dyDescent="0.25">
      <c r="J525" s="115"/>
      <c r="K525" s="115"/>
      <c r="L525" s="115"/>
      <c r="M525" s="115"/>
      <c r="N525" s="115"/>
      <c r="O525" s="115"/>
      <c r="P525" s="115"/>
    </row>
    <row r="526" spans="10:16" ht="12.5" x14ac:dyDescent="0.25">
      <c r="J526" s="115"/>
      <c r="K526" s="115"/>
      <c r="L526" s="115"/>
      <c r="M526" s="115"/>
      <c r="N526" s="115"/>
      <c r="O526" s="115"/>
      <c r="P526" s="115"/>
    </row>
    <row r="527" spans="10:16" ht="12.5" x14ac:dyDescent="0.25">
      <c r="J527" s="115"/>
      <c r="K527" s="115"/>
      <c r="L527" s="115"/>
      <c r="M527" s="115"/>
      <c r="N527" s="115"/>
      <c r="O527" s="115"/>
      <c r="P527" s="115"/>
    </row>
    <row r="528" spans="10:16" ht="12.5" x14ac:dyDescent="0.25">
      <c r="J528" s="115"/>
      <c r="K528" s="115"/>
      <c r="L528" s="115"/>
      <c r="M528" s="115"/>
      <c r="N528" s="115"/>
      <c r="O528" s="115"/>
      <c r="P528" s="115"/>
    </row>
    <row r="529" spans="10:16" ht="12.5" x14ac:dyDescent="0.25">
      <c r="J529" s="115"/>
      <c r="K529" s="115"/>
      <c r="L529" s="115"/>
      <c r="M529" s="115"/>
      <c r="N529" s="115"/>
      <c r="O529" s="115"/>
      <c r="P529" s="115"/>
    </row>
    <row r="530" spans="10:16" ht="12.5" x14ac:dyDescent="0.25">
      <c r="J530" s="115"/>
      <c r="K530" s="115"/>
      <c r="L530" s="115"/>
      <c r="M530" s="115"/>
      <c r="N530" s="115"/>
      <c r="O530" s="115"/>
      <c r="P530" s="115"/>
    </row>
    <row r="531" spans="10:16" ht="12.5" x14ac:dyDescent="0.25">
      <c r="J531" s="115"/>
      <c r="K531" s="115"/>
      <c r="L531" s="115"/>
      <c r="M531" s="115"/>
      <c r="N531" s="115"/>
      <c r="O531" s="115"/>
      <c r="P531" s="115"/>
    </row>
    <row r="532" spans="10:16" ht="12.5" x14ac:dyDescent="0.25">
      <c r="J532" s="115"/>
      <c r="K532" s="115"/>
      <c r="L532" s="115"/>
      <c r="M532" s="115"/>
      <c r="N532" s="115"/>
      <c r="O532" s="115"/>
      <c r="P532" s="115"/>
    </row>
    <row r="533" spans="10:16" ht="12.5" x14ac:dyDescent="0.25">
      <c r="J533" s="115"/>
      <c r="K533" s="115"/>
      <c r="L533" s="115"/>
      <c r="M533" s="115"/>
      <c r="N533" s="115"/>
      <c r="O533" s="115"/>
      <c r="P533" s="115"/>
    </row>
    <row r="534" spans="10:16" ht="12.5" x14ac:dyDescent="0.25">
      <c r="J534" s="115"/>
      <c r="K534" s="115"/>
      <c r="L534" s="115"/>
      <c r="M534" s="115"/>
      <c r="N534" s="115"/>
      <c r="O534" s="115"/>
      <c r="P534" s="115"/>
    </row>
    <row r="535" spans="10:16" ht="12.5" x14ac:dyDescent="0.25">
      <c r="J535" s="115"/>
      <c r="K535" s="115"/>
      <c r="L535" s="115"/>
      <c r="M535" s="115"/>
      <c r="N535" s="115"/>
      <c r="O535" s="115"/>
      <c r="P535" s="115"/>
    </row>
    <row r="536" spans="10:16" ht="12.5" x14ac:dyDescent="0.25">
      <c r="J536" s="115"/>
      <c r="K536" s="115"/>
      <c r="L536" s="115"/>
      <c r="M536" s="115"/>
      <c r="N536" s="115"/>
      <c r="O536" s="115"/>
      <c r="P536" s="115"/>
    </row>
    <row r="537" spans="10:16" ht="12.5" x14ac:dyDescent="0.25">
      <c r="J537" s="115"/>
      <c r="K537" s="115"/>
      <c r="L537" s="115"/>
      <c r="M537" s="115"/>
      <c r="N537" s="115"/>
      <c r="O537" s="115"/>
      <c r="P537" s="115"/>
    </row>
    <row r="538" spans="10:16" ht="12.5" x14ac:dyDescent="0.25">
      <c r="J538" s="115"/>
      <c r="K538" s="115"/>
      <c r="L538" s="115"/>
      <c r="M538" s="115"/>
      <c r="N538" s="115"/>
      <c r="O538" s="115"/>
      <c r="P538" s="115"/>
    </row>
    <row r="539" spans="10:16" ht="12.5" x14ac:dyDescent="0.25">
      <c r="J539" s="115"/>
      <c r="K539" s="115"/>
      <c r="L539" s="115"/>
      <c r="M539" s="115"/>
      <c r="N539" s="115"/>
      <c r="O539" s="115"/>
      <c r="P539" s="115"/>
    </row>
    <row r="540" spans="10:16" ht="12.5" x14ac:dyDescent="0.25">
      <c r="J540" s="115"/>
      <c r="K540" s="115"/>
      <c r="L540" s="115"/>
      <c r="M540" s="115"/>
      <c r="N540" s="115"/>
      <c r="O540" s="115"/>
      <c r="P540" s="115"/>
    </row>
    <row r="541" spans="10:16" ht="12.5" x14ac:dyDescent="0.25">
      <c r="J541" s="115"/>
      <c r="K541" s="115"/>
      <c r="L541" s="115"/>
      <c r="M541" s="115"/>
      <c r="N541" s="115"/>
      <c r="O541" s="115"/>
      <c r="P541" s="115"/>
    </row>
    <row r="542" spans="10:16" ht="12.5" x14ac:dyDescent="0.25">
      <c r="J542" s="115"/>
      <c r="K542" s="115"/>
      <c r="L542" s="115"/>
      <c r="M542" s="115"/>
      <c r="N542" s="115"/>
      <c r="O542" s="115"/>
      <c r="P542" s="115"/>
    </row>
    <row r="543" spans="10:16" ht="12.5" x14ac:dyDescent="0.25">
      <c r="J543" s="115"/>
      <c r="K543" s="115"/>
      <c r="L543" s="115"/>
      <c r="M543" s="115"/>
      <c r="N543" s="115"/>
      <c r="O543" s="115"/>
      <c r="P543" s="115"/>
    </row>
    <row r="544" spans="10:16" ht="12.5" x14ac:dyDescent="0.25">
      <c r="J544" s="115"/>
      <c r="K544" s="115"/>
      <c r="L544" s="115"/>
      <c r="M544" s="115"/>
      <c r="N544" s="115"/>
      <c r="O544" s="115"/>
      <c r="P544" s="115"/>
    </row>
    <row r="545" spans="10:16" ht="12.5" x14ac:dyDescent="0.25">
      <c r="J545" s="115"/>
      <c r="K545" s="115"/>
      <c r="L545" s="115"/>
      <c r="M545" s="115"/>
      <c r="N545" s="115"/>
      <c r="O545" s="115"/>
      <c r="P545" s="115"/>
    </row>
    <row r="546" spans="10:16" ht="12.5" x14ac:dyDescent="0.25">
      <c r="J546" s="115"/>
      <c r="K546" s="115"/>
      <c r="L546" s="115"/>
      <c r="M546" s="115"/>
      <c r="N546" s="115"/>
      <c r="O546" s="115"/>
      <c r="P546" s="115"/>
    </row>
    <row r="547" spans="10:16" ht="12.5" x14ac:dyDescent="0.25">
      <c r="J547" s="115"/>
      <c r="K547" s="115"/>
      <c r="L547" s="115"/>
      <c r="M547" s="115"/>
      <c r="N547" s="115"/>
      <c r="O547" s="115"/>
      <c r="P547" s="115"/>
    </row>
    <row r="548" spans="10:16" ht="12.5" x14ac:dyDescent="0.25">
      <c r="J548" s="115"/>
      <c r="K548" s="115"/>
      <c r="L548" s="115"/>
      <c r="M548" s="115"/>
      <c r="N548" s="115"/>
      <c r="O548" s="115"/>
      <c r="P548" s="115"/>
    </row>
    <row r="549" spans="10:16" ht="12.5" x14ac:dyDescent="0.25">
      <c r="J549" s="115"/>
      <c r="K549" s="115"/>
      <c r="L549" s="115"/>
      <c r="M549" s="115"/>
      <c r="N549" s="115"/>
      <c r="O549" s="115"/>
      <c r="P549" s="115"/>
    </row>
    <row r="550" spans="10:16" ht="12.5" x14ac:dyDescent="0.25">
      <c r="J550" s="115"/>
      <c r="K550" s="115"/>
      <c r="L550" s="115"/>
      <c r="M550" s="115"/>
      <c r="N550" s="115"/>
      <c r="O550" s="115"/>
      <c r="P550" s="115"/>
    </row>
    <row r="551" spans="10:16" ht="12.5" x14ac:dyDescent="0.25">
      <c r="J551" s="115"/>
      <c r="K551" s="115"/>
      <c r="L551" s="115"/>
      <c r="M551" s="115"/>
      <c r="N551" s="115"/>
      <c r="O551" s="115"/>
      <c r="P551" s="115"/>
    </row>
    <row r="552" spans="10:16" ht="12.5" x14ac:dyDescent="0.25">
      <c r="J552" s="115"/>
      <c r="K552" s="115"/>
      <c r="L552" s="115"/>
      <c r="M552" s="115"/>
      <c r="N552" s="115"/>
      <c r="O552" s="115"/>
      <c r="P552" s="115"/>
    </row>
    <row r="553" spans="10:16" ht="12.5" x14ac:dyDescent="0.25">
      <c r="J553" s="115"/>
      <c r="K553" s="115"/>
      <c r="L553" s="115"/>
      <c r="M553" s="115"/>
      <c r="N553" s="115"/>
      <c r="O553" s="115"/>
      <c r="P553" s="115"/>
    </row>
    <row r="554" spans="10:16" ht="12.5" x14ac:dyDescent="0.25">
      <c r="J554" s="115"/>
      <c r="K554" s="115"/>
      <c r="L554" s="115"/>
      <c r="M554" s="115"/>
      <c r="N554" s="115"/>
      <c r="O554" s="115"/>
      <c r="P554" s="115"/>
    </row>
    <row r="555" spans="10:16" ht="12.5" x14ac:dyDescent="0.25">
      <c r="J555" s="115"/>
      <c r="K555" s="115"/>
      <c r="L555" s="115"/>
      <c r="M555" s="115"/>
      <c r="N555" s="115"/>
      <c r="O555" s="115"/>
      <c r="P555" s="115"/>
    </row>
    <row r="556" spans="10:16" ht="12.5" x14ac:dyDescent="0.25">
      <c r="J556" s="115"/>
      <c r="K556" s="115"/>
      <c r="L556" s="115"/>
      <c r="M556" s="115"/>
      <c r="N556" s="115"/>
      <c r="O556" s="115"/>
      <c r="P556" s="115"/>
    </row>
    <row r="557" spans="10:16" ht="12.5" x14ac:dyDescent="0.25">
      <c r="J557" s="115"/>
      <c r="K557" s="115"/>
      <c r="L557" s="115"/>
      <c r="M557" s="115"/>
      <c r="N557" s="115"/>
      <c r="O557" s="115"/>
      <c r="P557" s="115"/>
    </row>
    <row r="558" spans="10:16" ht="12.5" x14ac:dyDescent="0.25">
      <c r="J558" s="115"/>
      <c r="K558" s="115"/>
      <c r="L558" s="115"/>
      <c r="M558" s="115"/>
      <c r="N558" s="115"/>
      <c r="O558" s="115"/>
      <c r="P558" s="115"/>
    </row>
    <row r="559" spans="10:16" ht="12.5" x14ac:dyDescent="0.25">
      <c r="J559" s="115"/>
      <c r="K559" s="115"/>
      <c r="L559" s="115"/>
      <c r="M559" s="115"/>
      <c r="N559" s="115"/>
      <c r="O559" s="115"/>
      <c r="P559" s="115"/>
    </row>
    <row r="560" spans="10:16" ht="12.5" x14ac:dyDescent="0.25">
      <c r="J560" s="115"/>
      <c r="K560" s="115"/>
      <c r="L560" s="115"/>
      <c r="M560" s="115"/>
      <c r="N560" s="115"/>
      <c r="O560" s="115"/>
      <c r="P560" s="115"/>
    </row>
    <row r="561" spans="10:16" ht="12.5" x14ac:dyDescent="0.25">
      <c r="J561" s="115"/>
      <c r="K561" s="115"/>
      <c r="L561" s="115"/>
      <c r="M561" s="115"/>
      <c r="N561" s="115"/>
      <c r="O561" s="115"/>
      <c r="P561" s="115"/>
    </row>
    <row r="562" spans="10:16" ht="12.5" x14ac:dyDescent="0.25">
      <c r="J562" s="115"/>
      <c r="K562" s="115"/>
      <c r="L562" s="115"/>
      <c r="M562" s="115"/>
      <c r="N562" s="115"/>
      <c r="O562" s="115"/>
      <c r="P562" s="115"/>
    </row>
    <row r="563" spans="10:16" ht="12.5" x14ac:dyDescent="0.25">
      <c r="J563" s="115"/>
      <c r="K563" s="115"/>
      <c r="L563" s="115"/>
      <c r="M563" s="115"/>
      <c r="N563" s="115"/>
      <c r="O563" s="115"/>
      <c r="P563" s="115"/>
    </row>
    <row r="564" spans="10:16" ht="12.5" x14ac:dyDescent="0.25">
      <c r="J564" s="115"/>
      <c r="K564" s="115"/>
      <c r="L564" s="115"/>
      <c r="M564" s="115"/>
      <c r="N564" s="115"/>
      <c r="O564" s="115"/>
      <c r="P564" s="115"/>
    </row>
    <row r="565" spans="10:16" ht="12.5" x14ac:dyDescent="0.25">
      <c r="J565" s="115"/>
      <c r="K565" s="115"/>
      <c r="L565" s="115"/>
      <c r="M565" s="115"/>
      <c r="N565" s="115"/>
      <c r="O565" s="115"/>
      <c r="P565" s="115"/>
    </row>
    <row r="566" spans="10:16" ht="12.5" x14ac:dyDescent="0.25">
      <c r="J566" s="115"/>
      <c r="K566" s="115"/>
      <c r="L566" s="115"/>
      <c r="M566" s="115"/>
      <c r="N566" s="115"/>
      <c r="O566" s="115"/>
      <c r="P566" s="115"/>
    </row>
    <row r="567" spans="10:16" ht="12.5" x14ac:dyDescent="0.25">
      <c r="J567" s="115"/>
      <c r="K567" s="115"/>
      <c r="L567" s="115"/>
      <c r="M567" s="115"/>
      <c r="N567" s="115"/>
      <c r="O567" s="115"/>
      <c r="P567" s="115"/>
    </row>
    <row r="568" spans="10:16" ht="12.5" x14ac:dyDescent="0.25">
      <c r="J568" s="115"/>
      <c r="K568" s="115"/>
      <c r="L568" s="115"/>
      <c r="M568" s="115"/>
      <c r="N568" s="115"/>
      <c r="O568" s="115"/>
      <c r="P568" s="115"/>
    </row>
    <row r="569" spans="10:16" ht="12.5" x14ac:dyDescent="0.25">
      <c r="J569" s="115"/>
      <c r="K569" s="115"/>
      <c r="L569" s="115"/>
      <c r="M569" s="115"/>
      <c r="N569" s="115"/>
      <c r="O569" s="115"/>
      <c r="P569" s="115"/>
    </row>
    <row r="570" spans="10:16" ht="12.5" x14ac:dyDescent="0.25">
      <c r="J570" s="115"/>
      <c r="K570" s="115"/>
      <c r="L570" s="115"/>
      <c r="M570" s="115"/>
      <c r="N570" s="115"/>
      <c r="O570" s="115"/>
      <c r="P570" s="115"/>
    </row>
    <row r="571" spans="10:16" ht="12.5" x14ac:dyDescent="0.25">
      <c r="J571" s="115"/>
      <c r="K571" s="115"/>
      <c r="L571" s="115"/>
      <c r="M571" s="115"/>
      <c r="N571" s="115"/>
      <c r="O571" s="115"/>
      <c r="P571" s="115"/>
    </row>
    <row r="572" spans="10:16" ht="12.5" x14ac:dyDescent="0.25">
      <c r="J572" s="115"/>
      <c r="K572" s="115"/>
      <c r="L572" s="115"/>
      <c r="M572" s="115"/>
      <c r="N572" s="115"/>
      <c r="O572" s="115"/>
      <c r="P572" s="115"/>
    </row>
    <row r="573" spans="10:16" ht="12.5" x14ac:dyDescent="0.25">
      <c r="J573" s="115"/>
      <c r="K573" s="115"/>
      <c r="L573" s="115"/>
      <c r="M573" s="115"/>
      <c r="N573" s="115"/>
      <c r="O573" s="115"/>
      <c r="P573" s="115"/>
    </row>
    <row r="574" spans="10:16" ht="12.5" x14ac:dyDescent="0.25">
      <c r="J574" s="115"/>
      <c r="K574" s="115"/>
      <c r="L574" s="115"/>
      <c r="M574" s="115"/>
      <c r="N574" s="115"/>
      <c r="O574" s="115"/>
      <c r="P574" s="115"/>
    </row>
    <row r="575" spans="10:16" ht="12.5" x14ac:dyDescent="0.25">
      <c r="J575" s="115"/>
      <c r="K575" s="115"/>
      <c r="L575" s="115"/>
      <c r="M575" s="115"/>
      <c r="N575" s="115"/>
      <c r="O575" s="115"/>
      <c r="P575" s="115"/>
    </row>
    <row r="576" spans="10:16" ht="12.5" x14ac:dyDescent="0.25">
      <c r="J576" s="115"/>
      <c r="K576" s="115"/>
      <c r="L576" s="115"/>
      <c r="M576" s="115"/>
      <c r="N576" s="115"/>
      <c r="O576" s="115"/>
      <c r="P576" s="115"/>
    </row>
    <row r="577" spans="10:16" ht="12.5" x14ac:dyDescent="0.25">
      <c r="J577" s="115"/>
      <c r="K577" s="115"/>
      <c r="L577" s="115"/>
      <c r="M577" s="115"/>
      <c r="N577" s="115"/>
      <c r="O577" s="115"/>
      <c r="P577" s="115"/>
    </row>
    <row r="578" spans="10:16" ht="12.5" x14ac:dyDescent="0.25">
      <c r="J578" s="115"/>
      <c r="K578" s="115"/>
      <c r="L578" s="115"/>
      <c r="M578" s="115"/>
      <c r="N578" s="115"/>
      <c r="O578" s="115"/>
      <c r="P578" s="115"/>
    </row>
    <row r="579" spans="10:16" ht="12.5" x14ac:dyDescent="0.25">
      <c r="J579" s="115"/>
      <c r="K579" s="115"/>
      <c r="L579" s="115"/>
      <c r="M579" s="115"/>
      <c r="N579" s="115"/>
      <c r="O579" s="115"/>
      <c r="P579" s="115"/>
    </row>
    <row r="580" spans="10:16" ht="12.5" x14ac:dyDescent="0.25">
      <c r="J580" s="115"/>
      <c r="K580" s="115"/>
      <c r="L580" s="115"/>
      <c r="M580" s="115"/>
      <c r="N580" s="115"/>
      <c r="O580" s="115"/>
      <c r="P580" s="115"/>
    </row>
    <row r="581" spans="10:16" ht="12.5" x14ac:dyDescent="0.25">
      <c r="J581" s="115"/>
      <c r="K581" s="115"/>
      <c r="L581" s="115"/>
      <c r="M581" s="115"/>
      <c r="N581" s="115"/>
      <c r="O581" s="115"/>
      <c r="P581" s="115"/>
    </row>
    <row r="582" spans="10:16" ht="12.5" x14ac:dyDescent="0.25">
      <c r="J582" s="115"/>
      <c r="K582" s="115"/>
      <c r="L582" s="115"/>
      <c r="M582" s="115"/>
      <c r="N582" s="115"/>
      <c r="O582" s="115"/>
      <c r="P582" s="115"/>
    </row>
    <row r="583" spans="10:16" ht="12.5" x14ac:dyDescent="0.25">
      <c r="J583" s="115"/>
      <c r="K583" s="115"/>
      <c r="L583" s="115"/>
      <c r="M583" s="115"/>
      <c r="N583" s="115"/>
      <c r="O583" s="115"/>
      <c r="P583" s="115"/>
    </row>
    <row r="584" spans="10:16" ht="12.5" x14ac:dyDescent="0.25">
      <c r="J584" s="115"/>
      <c r="K584" s="115"/>
      <c r="L584" s="115"/>
      <c r="M584" s="115"/>
      <c r="N584" s="115"/>
      <c r="O584" s="115"/>
      <c r="P584" s="115"/>
    </row>
    <row r="585" spans="10:16" ht="12.5" x14ac:dyDescent="0.25">
      <c r="J585" s="115"/>
      <c r="K585" s="115"/>
      <c r="L585" s="115"/>
      <c r="M585" s="115"/>
      <c r="N585" s="115"/>
      <c r="O585" s="115"/>
      <c r="P585" s="115"/>
    </row>
    <row r="586" spans="10:16" ht="12.5" x14ac:dyDescent="0.25">
      <c r="J586" s="115"/>
      <c r="K586" s="115"/>
      <c r="L586" s="115"/>
      <c r="M586" s="115"/>
      <c r="N586" s="115"/>
      <c r="O586" s="115"/>
      <c r="P586" s="115"/>
    </row>
    <row r="587" spans="10:16" ht="12.5" x14ac:dyDescent="0.25">
      <c r="J587" s="115"/>
      <c r="K587" s="115"/>
      <c r="L587" s="115"/>
      <c r="M587" s="115"/>
      <c r="N587" s="115"/>
      <c r="O587" s="115"/>
      <c r="P587" s="115"/>
    </row>
    <row r="588" spans="10:16" ht="12.5" x14ac:dyDescent="0.25">
      <c r="J588" s="115"/>
      <c r="K588" s="115"/>
      <c r="L588" s="115"/>
      <c r="M588" s="115"/>
      <c r="N588" s="115"/>
      <c r="O588" s="115"/>
      <c r="P588" s="115"/>
    </row>
    <row r="589" spans="10:16" ht="12.5" x14ac:dyDescent="0.25">
      <c r="J589" s="115"/>
      <c r="K589" s="115"/>
      <c r="L589" s="115"/>
      <c r="M589" s="115"/>
      <c r="N589" s="115"/>
      <c r="O589" s="115"/>
      <c r="P589" s="115"/>
    </row>
    <row r="590" spans="10:16" ht="12.5" x14ac:dyDescent="0.25">
      <c r="J590" s="115"/>
      <c r="K590" s="115"/>
      <c r="L590" s="115"/>
      <c r="M590" s="115"/>
      <c r="N590" s="115"/>
      <c r="O590" s="115"/>
      <c r="P590" s="115"/>
    </row>
    <row r="591" spans="10:16" ht="12.5" x14ac:dyDescent="0.25">
      <c r="J591" s="115"/>
      <c r="K591" s="115"/>
      <c r="L591" s="115"/>
      <c r="M591" s="115"/>
      <c r="N591" s="115"/>
      <c r="O591" s="115"/>
      <c r="P591" s="115"/>
    </row>
    <row r="592" spans="10:16" ht="12.5" x14ac:dyDescent="0.25">
      <c r="J592" s="115"/>
      <c r="K592" s="115"/>
      <c r="L592" s="115"/>
      <c r="M592" s="115"/>
      <c r="N592" s="115"/>
      <c r="O592" s="115"/>
      <c r="P592" s="115"/>
    </row>
    <row r="593" spans="10:16" ht="12.5" x14ac:dyDescent="0.25">
      <c r="J593" s="115"/>
      <c r="K593" s="115"/>
      <c r="L593" s="115"/>
      <c r="M593" s="115"/>
      <c r="N593" s="115"/>
      <c r="O593" s="115"/>
      <c r="P593" s="115"/>
    </row>
    <row r="594" spans="10:16" ht="12.5" x14ac:dyDescent="0.25">
      <c r="J594" s="115"/>
      <c r="K594" s="115"/>
      <c r="L594" s="115"/>
      <c r="M594" s="115"/>
      <c r="N594" s="115"/>
      <c r="O594" s="115"/>
      <c r="P594" s="115"/>
    </row>
    <row r="595" spans="10:16" ht="12.5" x14ac:dyDescent="0.25">
      <c r="J595" s="115"/>
      <c r="K595" s="115"/>
      <c r="L595" s="115"/>
      <c r="M595" s="115"/>
      <c r="N595" s="115"/>
      <c r="O595" s="115"/>
      <c r="P595" s="115"/>
    </row>
    <row r="596" spans="10:16" ht="12.5" x14ac:dyDescent="0.25">
      <c r="J596" s="115"/>
      <c r="K596" s="115"/>
      <c r="L596" s="115"/>
      <c r="M596" s="115"/>
      <c r="N596" s="115"/>
      <c r="O596" s="115"/>
      <c r="P596" s="115"/>
    </row>
    <row r="597" spans="10:16" ht="12.5" x14ac:dyDescent="0.25">
      <c r="J597" s="115"/>
      <c r="K597" s="115"/>
      <c r="L597" s="115"/>
      <c r="M597" s="115"/>
      <c r="N597" s="115"/>
      <c r="O597" s="115"/>
      <c r="P597" s="115"/>
    </row>
    <row r="598" spans="10:16" ht="12.5" x14ac:dyDescent="0.25">
      <c r="J598" s="115"/>
      <c r="K598" s="115"/>
      <c r="L598" s="115"/>
      <c r="M598" s="115"/>
      <c r="N598" s="115"/>
      <c r="O598" s="115"/>
      <c r="P598" s="115"/>
    </row>
    <row r="599" spans="10:16" ht="12.5" x14ac:dyDescent="0.25">
      <c r="J599" s="115"/>
      <c r="K599" s="115"/>
      <c r="L599" s="115"/>
      <c r="M599" s="115"/>
      <c r="N599" s="115"/>
      <c r="O599" s="115"/>
      <c r="P599" s="115"/>
    </row>
    <row r="600" spans="10:16" ht="12.5" x14ac:dyDescent="0.25">
      <c r="J600" s="115"/>
      <c r="K600" s="115"/>
      <c r="L600" s="115"/>
      <c r="M600" s="115"/>
      <c r="N600" s="115"/>
      <c r="O600" s="115"/>
      <c r="P600" s="115"/>
    </row>
    <row r="601" spans="10:16" ht="12.5" x14ac:dyDescent="0.25">
      <c r="J601" s="115"/>
      <c r="K601" s="115"/>
      <c r="L601" s="115"/>
      <c r="M601" s="115"/>
      <c r="N601" s="115"/>
      <c r="O601" s="115"/>
      <c r="P601" s="115"/>
    </row>
    <row r="602" spans="10:16" ht="12.5" x14ac:dyDescent="0.25">
      <c r="J602" s="115"/>
      <c r="K602" s="115"/>
      <c r="L602" s="115"/>
      <c r="M602" s="115"/>
      <c r="N602" s="115"/>
      <c r="O602" s="115"/>
      <c r="P602" s="115"/>
    </row>
    <row r="603" spans="10:16" ht="12.5" x14ac:dyDescent="0.25">
      <c r="J603" s="115"/>
      <c r="K603" s="115"/>
      <c r="L603" s="115"/>
      <c r="M603" s="115"/>
      <c r="N603" s="115"/>
      <c r="O603" s="115"/>
      <c r="P603" s="115"/>
    </row>
    <row r="604" spans="10:16" ht="12.5" x14ac:dyDescent="0.25">
      <c r="J604" s="115"/>
      <c r="K604" s="115"/>
      <c r="L604" s="115"/>
      <c r="M604" s="115"/>
      <c r="N604" s="115"/>
      <c r="O604" s="115"/>
      <c r="P604" s="115"/>
    </row>
    <row r="605" spans="10:16" ht="12.5" x14ac:dyDescent="0.25">
      <c r="J605" s="115"/>
      <c r="K605" s="115"/>
      <c r="L605" s="115"/>
      <c r="M605" s="115"/>
      <c r="N605" s="115"/>
      <c r="O605" s="115"/>
      <c r="P605" s="115"/>
    </row>
    <row r="606" spans="10:16" ht="12.5" x14ac:dyDescent="0.25">
      <c r="J606" s="115"/>
      <c r="K606" s="115"/>
      <c r="L606" s="115"/>
      <c r="M606" s="115"/>
      <c r="N606" s="115"/>
      <c r="O606" s="115"/>
      <c r="P606" s="115"/>
    </row>
    <row r="607" spans="10:16" ht="12.5" x14ac:dyDescent="0.25">
      <c r="J607" s="115"/>
      <c r="K607" s="115"/>
      <c r="L607" s="115"/>
      <c r="M607" s="115"/>
      <c r="N607" s="115"/>
      <c r="O607" s="115"/>
      <c r="P607" s="115"/>
    </row>
    <row r="608" spans="10:16" ht="12.5" x14ac:dyDescent="0.25">
      <c r="J608" s="115"/>
      <c r="K608" s="115"/>
      <c r="L608" s="115"/>
      <c r="M608" s="115"/>
      <c r="N608" s="115"/>
      <c r="O608" s="115"/>
      <c r="P608" s="115"/>
    </row>
    <row r="609" spans="10:16" ht="12.5" x14ac:dyDescent="0.25">
      <c r="J609" s="115"/>
      <c r="K609" s="115"/>
      <c r="L609" s="115"/>
      <c r="M609" s="115"/>
      <c r="N609" s="115"/>
      <c r="O609" s="115"/>
      <c r="P609" s="115"/>
    </row>
    <row r="610" spans="10:16" ht="12.5" x14ac:dyDescent="0.25">
      <c r="J610" s="115"/>
      <c r="K610" s="115"/>
      <c r="L610" s="115"/>
      <c r="M610" s="115"/>
      <c r="N610" s="115"/>
      <c r="O610" s="115"/>
      <c r="P610" s="115"/>
    </row>
    <row r="611" spans="10:16" ht="12.5" x14ac:dyDescent="0.25">
      <c r="J611" s="115"/>
      <c r="K611" s="115"/>
      <c r="L611" s="115"/>
      <c r="M611" s="115"/>
      <c r="N611" s="115"/>
      <c r="O611" s="115"/>
      <c r="P611" s="115"/>
    </row>
    <row r="612" spans="10:16" ht="12.5" x14ac:dyDescent="0.25">
      <c r="J612" s="115"/>
      <c r="K612" s="115"/>
      <c r="L612" s="115"/>
      <c r="M612" s="115"/>
      <c r="N612" s="115"/>
      <c r="O612" s="115"/>
      <c r="P612" s="115"/>
    </row>
    <row r="613" spans="10:16" ht="12.5" x14ac:dyDescent="0.25">
      <c r="J613" s="115"/>
      <c r="K613" s="115"/>
      <c r="L613" s="115"/>
      <c r="M613" s="115"/>
      <c r="N613" s="115"/>
      <c r="O613" s="115"/>
      <c r="P613" s="115"/>
    </row>
    <row r="614" spans="10:16" ht="12.5" x14ac:dyDescent="0.25">
      <c r="J614" s="115"/>
      <c r="K614" s="115"/>
      <c r="L614" s="115"/>
      <c r="M614" s="115"/>
      <c r="N614" s="115"/>
      <c r="O614" s="115"/>
      <c r="P614" s="115"/>
    </row>
    <row r="615" spans="10:16" ht="12.5" x14ac:dyDescent="0.25">
      <c r="J615" s="115"/>
      <c r="K615" s="115"/>
      <c r="L615" s="115"/>
      <c r="M615" s="115"/>
      <c r="N615" s="115"/>
      <c r="O615" s="115"/>
      <c r="P615" s="115"/>
    </row>
    <row r="616" spans="10:16" ht="12.5" x14ac:dyDescent="0.25">
      <c r="J616" s="115"/>
      <c r="K616" s="115"/>
      <c r="L616" s="115"/>
      <c r="M616" s="115"/>
      <c r="N616" s="115"/>
      <c r="O616" s="115"/>
      <c r="P616" s="115"/>
    </row>
    <row r="617" spans="10:16" ht="12.5" x14ac:dyDescent="0.25">
      <c r="J617" s="115"/>
      <c r="K617" s="115"/>
      <c r="L617" s="115"/>
      <c r="M617" s="115"/>
      <c r="N617" s="115"/>
      <c r="O617" s="115"/>
      <c r="P617" s="115"/>
    </row>
    <row r="618" spans="10:16" ht="12.5" x14ac:dyDescent="0.25">
      <c r="J618" s="115"/>
      <c r="K618" s="115"/>
      <c r="L618" s="115"/>
      <c r="M618" s="115"/>
      <c r="N618" s="115"/>
      <c r="O618" s="115"/>
      <c r="P618" s="115"/>
    </row>
    <row r="619" spans="10:16" ht="12.5" x14ac:dyDescent="0.25">
      <c r="J619" s="115"/>
      <c r="K619" s="115"/>
      <c r="L619" s="115"/>
      <c r="M619" s="115"/>
      <c r="N619" s="115"/>
      <c r="O619" s="115"/>
      <c r="P619" s="115"/>
    </row>
    <row r="620" spans="10:16" ht="12.5" x14ac:dyDescent="0.25">
      <c r="J620" s="115"/>
      <c r="K620" s="115"/>
      <c r="L620" s="115"/>
      <c r="M620" s="115"/>
      <c r="N620" s="115"/>
      <c r="O620" s="115"/>
      <c r="P620" s="115"/>
    </row>
    <row r="621" spans="10:16" ht="12.5" x14ac:dyDescent="0.25">
      <c r="J621" s="115"/>
      <c r="K621" s="115"/>
      <c r="L621" s="115"/>
      <c r="M621" s="115"/>
      <c r="N621" s="115"/>
      <c r="O621" s="115"/>
      <c r="P621" s="115"/>
    </row>
    <row r="622" spans="10:16" ht="12.5" x14ac:dyDescent="0.25">
      <c r="J622" s="115"/>
      <c r="K622" s="115"/>
      <c r="L622" s="115"/>
      <c r="M622" s="115"/>
      <c r="N622" s="115"/>
      <c r="O622" s="115"/>
      <c r="P622" s="115"/>
    </row>
    <row r="623" spans="10:16" ht="12.5" x14ac:dyDescent="0.25">
      <c r="J623" s="115"/>
      <c r="K623" s="115"/>
      <c r="L623" s="115"/>
      <c r="M623" s="115"/>
      <c r="N623" s="115"/>
      <c r="O623" s="115"/>
      <c r="P623" s="115"/>
    </row>
    <row r="624" spans="10:16" ht="12.5" x14ac:dyDescent="0.25">
      <c r="J624" s="115"/>
      <c r="K624" s="115"/>
      <c r="L624" s="115"/>
      <c r="M624" s="115"/>
      <c r="N624" s="115"/>
      <c r="O624" s="115"/>
      <c r="P624" s="115"/>
    </row>
    <row r="625" spans="10:16" ht="12.5" x14ac:dyDescent="0.25">
      <c r="J625" s="115"/>
      <c r="K625" s="115"/>
      <c r="L625" s="115"/>
      <c r="M625" s="115"/>
      <c r="N625" s="115"/>
      <c r="O625" s="115"/>
      <c r="P625" s="115"/>
    </row>
    <row r="626" spans="10:16" ht="12.5" x14ac:dyDescent="0.25">
      <c r="J626" s="115"/>
      <c r="K626" s="115"/>
      <c r="L626" s="115"/>
      <c r="M626" s="115"/>
      <c r="N626" s="115"/>
      <c r="O626" s="115"/>
      <c r="P626" s="115"/>
    </row>
    <row r="627" spans="10:16" ht="12.5" x14ac:dyDescent="0.25">
      <c r="J627" s="115"/>
      <c r="K627" s="115"/>
      <c r="L627" s="115"/>
      <c r="M627" s="115"/>
      <c r="N627" s="115"/>
      <c r="O627" s="115"/>
      <c r="P627" s="115"/>
    </row>
    <row r="628" spans="10:16" ht="12.5" x14ac:dyDescent="0.25">
      <c r="J628" s="115"/>
      <c r="K628" s="115"/>
      <c r="L628" s="115"/>
      <c r="M628" s="115"/>
      <c r="N628" s="115"/>
      <c r="O628" s="115"/>
      <c r="P628" s="115"/>
    </row>
    <row r="629" spans="10:16" ht="12.5" x14ac:dyDescent="0.25">
      <c r="J629" s="115"/>
      <c r="K629" s="115"/>
      <c r="L629" s="115"/>
      <c r="M629" s="115"/>
      <c r="N629" s="115"/>
      <c r="O629" s="115"/>
      <c r="P629" s="115"/>
    </row>
    <row r="630" spans="10:16" ht="12.5" x14ac:dyDescent="0.25">
      <c r="J630" s="115"/>
      <c r="K630" s="115"/>
      <c r="L630" s="115"/>
      <c r="M630" s="115"/>
      <c r="N630" s="115"/>
      <c r="O630" s="115"/>
      <c r="P630" s="115"/>
    </row>
    <row r="631" spans="10:16" ht="12.5" x14ac:dyDescent="0.25">
      <c r="J631" s="115"/>
      <c r="K631" s="115"/>
      <c r="L631" s="115"/>
      <c r="M631" s="115"/>
      <c r="N631" s="115"/>
      <c r="O631" s="115"/>
      <c r="P631" s="115"/>
    </row>
    <row r="632" spans="10:16" ht="12.5" x14ac:dyDescent="0.25">
      <c r="J632" s="115"/>
      <c r="K632" s="115"/>
      <c r="L632" s="115"/>
      <c r="M632" s="115"/>
      <c r="N632" s="115"/>
      <c r="O632" s="115"/>
      <c r="P632" s="115"/>
    </row>
    <row r="633" spans="10:16" ht="12.5" x14ac:dyDescent="0.25">
      <c r="J633" s="115"/>
      <c r="K633" s="115"/>
      <c r="L633" s="115"/>
      <c r="M633" s="115"/>
      <c r="N633" s="115"/>
      <c r="O633" s="115"/>
      <c r="P633" s="115"/>
    </row>
    <row r="634" spans="10:16" ht="12.5" x14ac:dyDescent="0.25">
      <c r="J634" s="115"/>
      <c r="K634" s="115"/>
      <c r="L634" s="115"/>
      <c r="M634" s="115"/>
      <c r="N634" s="115"/>
      <c r="O634" s="115"/>
      <c r="P634" s="115"/>
    </row>
    <row r="635" spans="10:16" ht="12.5" x14ac:dyDescent="0.25">
      <c r="J635" s="115"/>
      <c r="K635" s="115"/>
      <c r="L635" s="115"/>
      <c r="M635" s="115"/>
      <c r="N635" s="115"/>
      <c r="O635" s="115"/>
      <c r="P635" s="115"/>
    </row>
    <row r="636" spans="10:16" ht="12.5" x14ac:dyDescent="0.25">
      <c r="J636" s="115"/>
      <c r="K636" s="115"/>
      <c r="L636" s="115"/>
      <c r="M636" s="115"/>
      <c r="N636" s="115"/>
      <c r="O636" s="115"/>
      <c r="P636" s="115"/>
    </row>
    <row r="637" spans="10:16" ht="12.5" x14ac:dyDescent="0.25">
      <c r="J637" s="115"/>
      <c r="K637" s="115"/>
      <c r="L637" s="115"/>
      <c r="M637" s="115"/>
      <c r="N637" s="115"/>
      <c r="O637" s="115"/>
      <c r="P637" s="115"/>
    </row>
    <row r="638" spans="10:16" ht="12.5" x14ac:dyDescent="0.25">
      <c r="J638" s="115"/>
      <c r="K638" s="115"/>
      <c r="L638" s="115"/>
      <c r="M638" s="115"/>
      <c r="N638" s="115"/>
      <c r="O638" s="115"/>
      <c r="P638" s="115"/>
    </row>
    <row r="639" spans="10:16" ht="12.5" x14ac:dyDescent="0.25">
      <c r="J639" s="115"/>
      <c r="K639" s="115"/>
      <c r="L639" s="115"/>
      <c r="M639" s="115"/>
      <c r="N639" s="115"/>
      <c r="O639" s="115"/>
      <c r="P639" s="115"/>
    </row>
    <row r="640" spans="10:16" ht="12.5" x14ac:dyDescent="0.25">
      <c r="J640" s="115"/>
      <c r="K640" s="115"/>
      <c r="L640" s="115"/>
      <c r="M640" s="115"/>
      <c r="N640" s="115"/>
      <c r="O640" s="115"/>
      <c r="P640" s="115"/>
    </row>
    <row r="641" spans="10:16" ht="12.5" x14ac:dyDescent="0.25">
      <c r="J641" s="115"/>
      <c r="K641" s="115"/>
      <c r="L641" s="115"/>
      <c r="M641" s="115"/>
      <c r="N641" s="115"/>
      <c r="O641" s="115"/>
      <c r="P641" s="115"/>
    </row>
    <row r="642" spans="10:16" ht="12.5" x14ac:dyDescent="0.25">
      <c r="J642" s="115"/>
      <c r="K642" s="115"/>
      <c r="L642" s="115"/>
      <c r="M642" s="115"/>
      <c r="N642" s="115"/>
      <c r="O642" s="115"/>
      <c r="P642" s="115"/>
    </row>
    <row r="643" spans="10:16" ht="12.5" x14ac:dyDescent="0.25">
      <c r="J643" s="115"/>
      <c r="K643" s="115"/>
      <c r="L643" s="115"/>
      <c r="M643" s="115"/>
      <c r="N643" s="115"/>
      <c r="O643" s="115"/>
      <c r="P643" s="115"/>
    </row>
    <row r="644" spans="10:16" ht="12.5" x14ac:dyDescent="0.25">
      <c r="J644" s="115"/>
      <c r="K644" s="115"/>
      <c r="L644" s="115"/>
      <c r="M644" s="115"/>
      <c r="N644" s="115"/>
      <c r="O644" s="115"/>
      <c r="P644" s="115"/>
    </row>
    <row r="645" spans="10:16" ht="12.5" x14ac:dyDescent="0.25">
      <c r="J645" s="115"/>
      <c r="K645" s="115"/>
      <c r="L645" s="115"/>
      <c r="M645" s="115"/>
      <c r="N645" s="115"/>
      <c r="O645" s="115"/>
      <c r="P645" s="115"/>
    </row>
    <row r="646" spans="10:16" ht="12.5" x14ac:dyDescent="0.25">
      <c r="J646" s="115"/>
      <c r="K646" s="115"/>
      <c r="L646" s="115"/>
      <c r="M646" s="115"/>
      <c r="N646" s="115"/>
      <c r="O646" s="115"/>
      <c r="P646" s="115"/>
    </row>
    <row r="647" spans="10:16" ht="12.5" x14ac:dyDescent="0.25">
      <c r="J647" s="115"/>
      <c r="K647" s="115"/>
      <c r="L647" s="115"/>
      <c r="M647" s="115"/>
      <c r="N647" s="115"/>
      <c r="O647" s="115"/>
      <c r="P647" s="115"/>
    </row>
    <row r="648" spans="10:16" ht="12.5" x14ac:dyDescent="0.25">
      <c r="J648" s="115"/>
      <c r="K648" s="115"/>
      <c r="L648" s="115"/>
      <c r="M648" s="115"/>
      <c r="N648" s="115"/>
      <c r="O648" s="115"/>
      <c r="P648" s="115"/>
    </row>
    <row r="649" spans="10:16" ht="12.5" x14ac:dyDescent="0.25">
      <c r="J649" s="115"/>
      <c r="K649" s="115"/>
      <c r="L649" s="115"/>
      <c r="M649" s="115"/>
      <c r="N649" s="115"/>
      <c r="O649" s="115"/>
      <c r="P649" s="115"/>
    </row>
    <row r="650" spans="10:16" ht="12.5" x14ac:dyDescent="0.25">
      <c r="J650" s="115"/>
      <c r="K650" s="115"/>
      <c r="L650" s="115"/>
      <c r="M650" s="115"/>
      <c r="N650" s="115"/>
      <c r="O650" s="115"/>
      <c r="P650" s="115"/>
    </row>
    <row r="651" spans="10:16" ht="12.5" x14ac:dyDescent="0.25">
      <c r="J651" s="115"/>
      <c r="K651" s="115"/>
      <c r="L651" s="115"/>
      <c r="M651" s="115"/>
      <c r="N651" s="115"/>
      <c r="O651" s="115"/>
      <c r="P651" s="115"/>
    </row>
    <row r="652" spans="10:16" ht="12.5" x14ac:dyDescent="0.25">
      <c r="J652" s="115"/>
      <c r="K652" s="115"/>
      <c r="L652" s="115"/>
      <c r="M652" s="115"/>
      <c r="N652" s="115"/>
      <c r="O652" s="115"/>
      <c r="P652" s="115"/>
    </row>
    <row r="653" spans="10:16" ht="12.5" x14ac:dyDescent="0.25">
      <c r="J653" s="115"/>
      <c r="K653" s="115"/>
      <c r="L653" s="115"/>
      <c r="M653" s="115"/>
      <c r="N653" s="115"/>
      <c r="O653" s="115"/>
      <c r="P653" s="115"/>
    </row>
    <row r="654" spans="10:16" ht="12.5" x14ac:dyDescent="0.25">
      <c r="J654" s="115"/>
      <c r="K654" s="115"/>
      <c r="L654" s="115"/>
      <c r="M654" s="115"/>
      <c r="N654" s="115"/>
      <c r="O654" s="115"/>
      <c r="P654" s="115"/>
    </row>
    <row r="655" spans="10:16" ht="12.5" x14ac:dyDescent="0.25">
      <c r="J655" s="115"/>
      <c r="K655" s="115"/>
      <c r="L655" s="115"/>
      <c r="M655" s="115"/>
      <c r="N655" s="115"/>
      <c r="O655" s="115"/>
      <c r="P655" s="115"/>
    </row>
    <row r="656" spans="10:16" ht="12.5" x14ac:dyDescent="0.25">
      <c r="J656" s="115"/>
      <c r="K656" s="115"/>
      <c r="L656" s="115"/>
      <c r="M656" s="115"/>
      <c r="N656" s="115"/>
      <c r="O656" s="115"/>
      <c r="P656" s="115"/>
    </row>
    <row r="657" spans="10:16" ht="12.5" x14ac:dyDescent="0.25">
      <c r="J657" s="115"/>
      <c r="K657" s="115"/>
      <c r="L657" s="115"/>
      <c r="M657" s="115"/>
      <c r="N657" s="115"/>
      <c r="O657" s="115"/>
      <c r="P657" s="115"/>
    </row>
    <row r="658" spans="10:16" ht="12.5" x14ac:dyDescent="0.25">
      <c r="J658" s="115"/>
      <c r="K658" s="115"/>
      <c r="L658" s="115"/>
      <c r="M658" s="115"/>
      <c r="N658" s="115"/>
      <c r="O658" s="115"/>
      <c r="P658" s="115"/>
    </row>
    <row r="659" spans="10:16" ht="12.5" x14ac:dyDescent="0.25">
      <c r="J659" s="115"/>
      <c r="K659" s="115"/>
      <c r="L659" s="115"/>
      <c r="M659" s="115"/>
      <c r="N659" s="115"/>
      <c r="O659" s="115"/>
      <c r="P659" s="115"/>
    </row>
    <row r="660" spans="10:16" ht="12.5" x14ac:dyDescent="0.25">
      <c r="J660" s="115"/>
      <c r="K660" s="115"/>
      <c r="L660" s="115"/>
      <c r="M660" s="115"/>
      <c r="N660" s="115"/>
      <c r="O660" s="115"/>
      <c r="P660" s="115"/>
    </row>
    <row r="661" spans="10:16" ht="12.5" x14ac:dyDescent="0.25">
      <c r="J661" s="115"/>
      <c r="K661" s="115"/>
      <c r="L661" s="115"/>
      <c r="M661" s="115"/>
      <c r="N661" s="115"/>
      <c r="O661" s="115"/>
      <c r="P661" s="115"/>
    </row>
    <row r="662" spans="10:16" ht="12.5" x14ac:dyDescent="0.25">
      <c r="J662" s="115"/>
      <c r="K662" s="115"/>
      <c r="L662" s="115"/>
      <c r="M662" s="115"/>
      <c r="N662" s="115"/>
      <c r="O662" s="115"/>
      <c r="P662" s="115"/>
    </row>
    <row r="663" spans="10:16" ht="12.5" x14ac:dyDescent="0.25">
      <c r="J663" s="115"/>
      <c r="K663" s="115"/>
      <c r="L663" s="115"/>
      <c r="M663" s="115"/>
      <c r="N663" s="115"/>
      <c r="O663" s="115"/>
      <c r="P663" s="115"/>
    </row>
    <row r="664" spans="10:16" ht="12.5" x14ac:dyDescent="0.25">
      <c r="J664" s="115"/>
      <c r="K664" s="115"/>
      <c r="L664" s="115"/>
      <c r="M664" s="115"/>
      <c r="N664" s="115"/>
      <c r="O664" s="115"/>
      <c r="P664" s="115"/>
    </row>
    <row r="665" spans="10:16" ht="12.5" x14ac:dyDescent="0.25">
      <c r="J665" s="115"/>
      <c r="K665" s="115"/>
      <c r="L665" s="115"/>
      <c r="M665" s="115"/>
      <c r="N665" s="115"/>
      <c r="O665" s="115"/>
      <c r="P665" s="115"/>
    </row>
    <row r="666" spans="10:16" ht="12.5" x14ac:dyDescent="0.25">
      <c r="J666" s="115"/>
      <c r="K666" s="115"/>
      <c r="L666" s="115"/>
      <c r="M666" s="115"/>
      <c r="N666" s="115"/>
      <c r="O666" s="115"/>
      <c r="P666" s="115"/>
    </row>
    <row r="667" spans="10:16" ht="12.5" x14ac:dyDescent="0.25">
      <c r="J667" s="115"/>
      <c r="K667" s="115"/>
      <c r="L667" s="115"/>
      <c r="M667" s="115"/>
      <c r="N667" s="115"/>
      <c r="O667" s="115"/>
      <c r="P667" s="115"/>
    </row>
    <row r="668" spans="10:16" ht="12.5" x14ac:dyDescent="0.25">
      <c r="J668" s="115"/>
      <c r="K668" s="115"/>
      <c r="L668" s="115"/>
      <c r="M668" s="115"/>
      <c r="N668" s="115"/>
      <c r="O668" s="115"/>
      <c r="P668" s="115"/>
    </row>
    <row r="669" spans="10:16" ht="12.5" x14ac:dyDescent="0.25">
      <c r="J669" s="115"/>
      <c r="K669" s="115"/>
      <c r="L669" s="115"/>
      <c r="M669" s="115"/>
      <c r="N669" s="115"/>
      <c r="O669" s="115"/>
      <c r="P669" s="115"/>
    </row>
    <row r="670" spans="10:16" ht="12.5" x14ac:dyDescent="0.25">
      <c r="J670" s="115"/>
      <c r="K670" s="115"/>
      <c r="L670" s="115"/>
      <c r="M670" s="115"/>
      <c r="N670" s="115"/>
      <c r="O670" s="115"/>
      <c r="P670" s="115"/>
    </row>
    <row r="671" spans="10:16" ht="12.5" x14ac:dyDescent="0.25">
      <c r="J671" s="115"/>
      <c r="K671" s="115"/>
      <c r="L671" s="115"/>
      <c r="M671" s="115"/>
      <c r="N671" s="115"/>
      <c r="O671" s="115"/>
      <c r="P671" s="115"/>
    </row>
    <row r="672" spans="10:16" ht="12.5" x14ac:dyDescent="0.25">
      <c r="J672" s="115"/>
      <c r="K672" s="115"/>
      <c r="L672" s="115"/>
      <c r="M672" s="115"/>
      <c r="N672" s="115"/>
      <c r="O672" s="115"/>
      <c r="P672" s="115"/>
    </row>
    <row r="673" spans="10:16" ht="12.5" x14ac:dyDescent="0.25">
      <c r="J673" s="115"/>
      <c r="K673" s="115"/>
      <c r="L673" s="115"/>
      <c r="M673" s="115"/>
      <c r="N673" s="115"/>
      <c r="O673" s="115"/>
      <c r="P673" s="115"/>
    </row>
    <row r="674" spans="10:16" ht="12.5" x14ac:dyDescent="0.25">
      <c r="J674" s="115"/>
      <c r="K674" s="115"/>
      <c r="L674" s="115"/>
      <c r="M674" s="115"/>
      <c r="N674" s="115"/>
      <c r="O674" s="115"/>
      <c r="P674" s="115"/>
    </row>
    <row r="675" spans="10:16" ht="12.5" x14ac:dyDescent="0.25">
      <c r="J675" s="115"/>
      <c r="K675" s="115"/>
      <c r="L675" s="115"/>
      <c r="M675" s="115"/>
      <c r="N675" s="115"/>
      <c r="O675" s="115"/>
      <c r="P675" s="115"/>
    </row>
    <row r="676" spans="10:16" ht="12.5" x14ac:dyDescent="0.25">
      <c r="J676" s="115"/>
      <c r="K676" s="115"/>
      <c r="L676" s="115"/>
      <c r="M676" s="115"/>
      <c r="N676" s="115"/>
      <c r="O676" s="115"/>
      <c r="P676" s="115"/>
    </row>
    <row r="677" spans="10:16" ht="12.5" x14ac:dyDescent="0.25">
      <c r="J677" s="115"/>
      <c r="K677" s="115"/>
      <c r="L677" s="115"/>
      <c r="M677" s="115"/>
      <c r="N677" s="115"/>
      <c r="O677" s="115"/>
      <c r="P677" s="115"/>
    </row>
    <row r="678" spans="10:16" ht="12.5" x14ac:dyDescent="0.25">
      <c r="J678" s="115"/>
      <c r="K678" s="115"/>
      <c r="L678" s="115"/>
      <c r="M678" s="115"/>
      <c r="N678" s="115"/>
      <c r="O678" s="115"/>
      <c r="P678" s="115"/>
    </row>
    <row r="679" spans="10:16" ht="12.5" x14ac:dyDescent="0.25">
      <c r="J679" s="115"/>
      <c r="K679" s="115"/>
      <c r="L679" s="115"/>
      <c r="M679" s="115"/>
      <c r="N679" s="115"/>
      <c r="O679" s="115"/>
      <c r="P679" s="115"/>
    </row>
    <row r="680" spans="10:16" ht="12.5" x14ac:dyDescent="0.25">
      <c r="J680" s="115"/>
      <c r="K680" s="115"/>
      <c r="L680" s="115"/>
      <c r="M680" s="115"/>
      <c r="N680" s="115"/>
      <c r="O680" s="115"/>
      <c r="P680" s="115"/>
    </row>
    <row r="681" spans="10:16" ht="12.5" x14ac:dyDescent="0.25">
      <c r="J681" s="115"/>
      <c r="K681" s="115"/>
      <c r="L681" s="115"/>
      <c r="M681" s="115"/>
      <c r="N681" s="115"/>
      <c r="O681" s="115"/>
      <c r="P681" s="115"/>
    </row>
    <row r="682" spans="10:16" ht="12.5" x14ac:dyDescent="0.25">
      <c r="J682" s="115"/>
      <c r="K682" s="115"/>
      <c r="L682" s="115"/>
      <c r="M682" s="115"/>
      <c r="N682" s="115"/>
      <c r="O682" s="115"/>
      <c r="P682" s="115"/>
    </row>
    <row r="683" spans="10:16" ht="12.5" x14ac:dyDescent="0.25">
      <c r="J683" s="115"/>
      <c r="K683" s="115"/>
      <c r="L683" s="115"/>
      <c r="M683" s="115"/>
      <c r="N683" s="115"/>
      <c r="O683" s="115"/>
      <c r="P683" s="115"/>
    </row>
    <row r="684" spans="10:16" ht="12.5" x14ac:dyDescent="0.25">
      <c r="J684" s="115"/>
      <c r="K684" s="115"/>
      <c r="L684" s="115"/>
      <c r="M684" s="115"/>
      <c r="N684" s="115"/>
      <c r="O684" s="115"/>
      <c r="P684" s="115"/>
    </row>
    <row r="685" spans="10:16" ht="12.5" x14ac:dyDescent="0.25">
      <c r="J685" s="115"/>
      <c r="K685" s="115"/>
      <c r="L685" s="115"/>
      <c r="M685" s="115"/>
      <c r="N685" s="115"/>
      <c r="O685" s="115"/>
      <c r="P685" s="115"/>
    </row>
    <row r="686" spans="10:16" ht="12.5" x14ac:dyDescent="0.25">
      <c r="J686" s="115"/>
      <c r="K686" s="115"/>
      <c r="L686" s="115"/>
      <c r="M686" s="115"/>
      <c r="N686" s="115"/>
      <c r="O686" s="115"/>
      <c r="P686" s="115"/>
    </row>
    <row r="687" spans="10:16" ht="12.5" x14ac:dyDescent="0.25">
      <c r="J687" s="115"/>
      <c r="K687" s="115"/>
      <c r="L687" s="115"/>
      <c r="M687" s="115"/>
      <c r="N687" s="115"/>
      <c r="O687" s="115"/>
      <c r="P687" s="115"/>
    </row>
    <row r="688" spans="10:16" ht="12.5" x14ac:dyDescent="0.25">
      <c r="J688" s="115"/>
      <c r="K688" s="115"/>
      <c r="L688" s="115"/>
      <c r="M688" s="115"/>
      <c r="N688" s="115"/>
      <c r="O688" s="115"/>
      <c r="P688" s="115"/>
    </row>
    <row r="689" spans="10:16" ht="12.5" x14ac:dyDescent="0.25">
      <c r="J689" s="115"/>
      <c r="K689" s="115"/>
      <c r="L689" s="115"/>
      <c r="M689" s="115"/>
      <c r="N689" s="115"/>
      <c r="O689" s="115"/>
      <c r="P689" s="115"/>
    </row>
    <row r="690" spans="10:16" ht="12.5" x14ac:dyDescent="0.25">
      <c r="J690" s="115"/>
      <c r="K690" s="115"/>
      <c r="L690" s="115"/>
      <c r="M690" s="115"/>
      <c r="N690" s="115"/>
      <c r="O690" s="115"/>
      <c r="P690" s="115"/>
    </row>
    <row r="691" spans="10:16" ht="12.5" x14ac:dyDescent="0.25">
      <c r="J691" s="115"/>
      <c r="K691" s="115"/>
      <c r="L691" s="115"/>
      <c r="M691" s="115"/>
      <c r="N691" s="115"/>
      <c r="O691" s="115"/>
      <c r="P691" s="115"/>
    </row>
    <row r="692" spans="10:16" ht="12.5" x14ac:dyDescent="0.25">
      <c r="J692" s="115"/>
      <c r="K692" s="115"/>
      <c r="L692" s="115"/>
      <c r="M692" s="115"/>
      <c r="N692" s="115"/>
      <c r="O692" s="115"/>
      <c r="P692" s="115"/>
    </row>
    <row r="693" spans="10:16" ht="12.5" x14ac:dyDescent="0.25">
      <c r="J693" s="115"/>
      <c r="K693" s="115"/>
      <c r="L693" s="115"/>
      <c r="M693" s="115"/>
      <c r="N693" s="115"/>
      <c r="O693" s="115"/>
      <c r="P693" s="115"/>
    </row>
    <row r="694" spans="10:16" ht="12.5" x14ac:dyDescent="0.25">
      <c r="J694" s="115"/>
      <c r="K694" s="115"/>
      <c r="L694" s="115"/>
      <c r="M694" s="115"/>
      <c r="N694" s="115"/>
      <c r="O694" s="115"/>
      <c r="P694" s="115"/>
    </row>
    <row r="695" spans="10:16" ht="12.5" x14ac:dyDescent="0.25">
      <c r="J695" s="115"/>
      <c r="K695" s="115"/>
      <c r="L695" s="115"/>
      <c r="M695" s="115"/>
      <c r="N695" s="115"/>
      <c r="O695" s="115"/>
      <c r="P695" s="115"/>
    </row>
    <row r="696" spans="10:16" ht="12.5" x14ac:dyDescent="0.25">
      <c r="J696" s="115"/>
      <c r="K696" s="115"/>
      <c r="L696" s="115"/>
      <c r="M696" s="115"/>
      <c r="N696" s="115"/>
      <c r="O696" s="115"/>
      <c r="P696" s="115"/>
    </row>
    <row r="697" spans="10:16" ht="12.5" x14ac:dyDescent="0.25">
      <c r="J697" s="115"/>
      <c r="K697" s="115"/>
      <c r="L697" s="115"/>
      <c r="M697" s="115"/>
      <c r="N697" s="115"/>
      <c r="O697" s="115"/>
      <c r="P697" s="115"/>
    </row>
    <row r="698" spans="10:16" ht="12.5" x14ac:dyDescent="0.25">
      <c r="J698" s="115"/>
      <c r="K698" s="115"/>
      <c r="L698" s="115"/>
      <c r="M698" s="115"/>
      <c r="N698" s="115"/>
      <c r="O698" s="115"/>
      <c r="P698" s="115"/>
    </row>
    <row r="699" spans="10:16" ht="12.5" x14ac:dyDescent="0.25">
      <c r="J699" s="115"/>
      <c r="K699" s="115"/>
      <c r="L699" s="115"/>
      <c r="M699" s="115"/>
      <c r="N699" s="115"/>
      <c r="O699" s="115"/>
      <c r="P699" s="115"/>
    </row>
    <row r="700" spans="10:16" ht="12.5" x14ac:dyDescent="0.25">
      <c r="J700" s="115"/>
      <c r="K700" s="115"/>
      <c r="L700" s="115"/>
      <c r="M700" s="115"/>
      <c r="N700" s="115"/>
      <c r="O700" s="115"/>
      <c r="P700" s="115"/>
    </row>
    <row r="701" spans="10:16" ht="12.5" x14ac:dyDescent="0.25">
      <c r="J701" s="115"/>
      <c r="K701" s="115"/>
      <c r="L701" s="115"/>
      <c r="M701" s="115"/>
      <c r="N701" s="115"/>
      <c r="O701" s="115"/>
      <c r="P701" s="115"/>
    </row>
    <row r="702" spans="10:16" ht="12.5" x14ac:dyDescent="0.25">
      <c r="J702" s="115"/>
      <c r="K702" s="115"/>
      <c r="L702" s="115"/>
      <c r="M702" s="115"/>
      <c r="N702" s="115"/>
      <c r="O702" s="115"/>
      <c r="P702" s="115"/>
    </row>
    <row r="703" spans="10:16" ht="12.5" x14ac:dyDescent="0.25">
      <c r="J703" s="115"/>
      <c r="K703" s="115"/>
      <c r="L703" s="115"/>
      <c r="M703" s="115"/>
      <c r="N703" s="115"/>
      <c r="O703" s="115"/>
      <c r="P703" s="115"/>
    </row>
    <row r="704" spans="10:16" ht="12.5" x14ac:dyDescent="0.25">
      <c r="J704" s="115"/>
      <c r="K704" s="115"/>
      <c r="L704" s="115"/>
      <c r="M704" s="115"/>
      <c r="N704" s="115"/>
      <c r="O704" s="115"/>
      <c r="P704" s="115"/>
    </row>
    <row r="705" spans="10:16" ht="12.5" x14ac:dyDescent="0.25">
      <c r="J705" s="115"/>
      <c r="K705" s="115"/>
      <c r="L705" s="115"/>
      <c r="M705" s="115"/>
      <c r="N705" s="115"/>
      <c r="O705" s="115"/>
      <c r="P705" s="115"/>
    </row>
    <row r="706" spans="10:16" ht="12.5" x14ac:dyDescent="0.25">
      <c r="J706" s="115"/>
      <c r="K706" s="115"/>
      <c r="L706" s="115"/>
      <c r="M706" s="115"/>
      <c r="N706" s="115"/>
      <c r="O706" s="115"/>
      <c r="P706" s="115"/>
    </row>
    <row r="707" spans="10:16" ht="12.5" x14ac:dyDescent="0.25">
      <c r="J707" s="115"/>
      <c r="K707" s="115"/>
      <c r="L707" s="115"/>
      <c r="M707" s="115"/>
      <c r="N707" s="115"/>
      <c r="O707" s="115"/>
      <c r="P707" s="115"/>
    </row>
    <row r="708" spans="10:16" ht="12.5" x14ac:dyDescent="0.25">
      <c r="J708" s="115"/>
      <c r="K708" s="115"/>
      <c r="L708" s="115"/>
      <c r="M708" s="115"/>
      <c r="N708" s="115"/>
      <c r="O708" s="115"/>
      <c r="P708" s="115"/>
    </row>
    <row r="709" spans="10:16" ht="12.5" x14ac:dyDescent="0.25">
      <c r="J709" s="115"/>
      <c r="K709" s="115"/>
      <c r="L709" s="115"/>
      <c r="M709" s="115"/>
      <c r="N709" s="115"/>
      <c r="O709" s="115"/>
      <c r="P709" s="115"/>
    </row>
    <row r="710" spans="10:16" ht="12.5" x14ac:dyDescent="0.25">
      <c r="J710" s="115"/>
      <c r="K710" s="115"/>
      <c r="L710" s="115"/>
      <c r="M710" s="115"/>
      <c r="N710" s="115"/>
      <c r="O710" s="115"/>
      <c r="P710" s="115"/>
    </row>
    <row r="711" spans="10:16" ht="12.5" x14ac:dyDescent="0.25">
      <c r="J711" s="115"/>
      <c r="K711" s="115"/>
      <c r="L711" s="115"/>
      <c r="M711" s="115"/>
      <c r="N711" s="115"/>
      <c r="O711" s="115"/>
      <c r="P711" s="115"/>
    </row>
    <row r="712" spans="10:16" ht="12.5" x14ac:dyDescent="0.25">
      <c r="J712" s="115"/>
      <c r="K712" s="115"/>
      <c r="L712" s="115"/>
      <c r="M712" s="115"/>
      <c r="N712" s="115"/>
      <c r="O712" s="115"/>
      <c r="P712" s="115"/>
    </row>
    <row r="713" spans="10:16" ht="12.5" x14ac:dyDescent="0.25">
      <c r="J713" s="115"/>
      <c r="K713" s="115"/>
      <c r="L713" s="115"/>
      <c r="M713" s="115"/>
      <c r="N713" s="115"/>
      <c r="O713" s="115"/>
      <c r="P713" s="115"/>
    </row>
    <row r="714" spans="10:16" ht="12.5" x14ac:dyDescent="0.25">
      <c r="J714" s="115"/>
      <c r="K714" s="115"/>
      <c r="L714" s="115"/>
      <c r="M714" s="115"/>
      <c r="N714" s="115"/>
      <c r="O714" s="115"/>
      <c r="P714" s="115"/>
    </row>
    <row r="715" spans="10:16" ht="12.5" x14ac:dyDescent="0.25">
      <c r="J715" s="115"/>
      <c r="K715" s="115"/>
      <c r="L715" s="115"/>
      <c r="M715" s="115"/>
      <c r="N715" s="115"/>
      <c r="O715" s="115"/>
      <c r="P715" s="115"/>
    </row>
    <row r="716" spans="10:16" ht="12.5" x14ac:dyDescent="0.25">
      <c r="J716" s="115"/>
      <c r="K716" s="115"/>
      <c r="L716" s="115"/>
      <c r="M716" s="115"/>
      <c r="N716" s="115"/>
      <c r="O716" s="115"/>
      <c r="P716" s="115"/>
    </row>
    <row r="717" spans="10:16" ht="12.5" x14ac:dyDescent="0.25">
      <c r="J717" s="115"/>
      <c r="K717" s="115"/>
      <c r="L717" s="115"/>
      <c r="M717" s="115"/>
      <c r="N717" s="115"/>
      <c r="O717" s="115"/>
      <c r="P717" s="115"/>
    </row>
    <row r="718" spans="10:16" ht="12.5" x14ac:dyDescent="0.25">
      <c r="J718" s="115"/>
      <c r="K718" s="115"/>
      <c r="L718" s="115"/>
      <c r="M718" s="115"/>
      <c r="N718" s="115"/>
      <c r="O718" s="115"/>
      <c r="P718" s="115"/>
    </row>
    <row r="719" spans="10:16" ht="12.5" x14ac:dyDescent="0.25">
      <c r="J719" s="115"/>
      <c r="K719" s="115"/>
      <c r="L719" s="115"/>
      <c r="M719" s="115"/>
      <c r="N719" s="115"/>
      <c r="O719" s="115"/>
      <c r="P719" s="115"/>
    </row>
    <row r="720" spans="10:16" ht="12.5" x14ac:dyDescent="0.25">
      <c r="J720" s="115"/>
      <c r="K720" s="115"/>
      <c r="L720" s="115"/>
      <c r="M720" s="115"/>
      <c r="N720" s="115"/>
      <c r="O720" s="115"/>
      <c r="P720" s="115"/>
    </row>
    <row r="721" spans="10:16" ht="12.5" x14ac:dyDescent="0.25">
      <c r="J721" s="115"/>
      <c r="K721" s="115"/>
      <c r="L721" s="115"/>
      <c r="M721" s="115"/>
      <c r="N721" s="115"/>
      <c r="O721" s="115"/>
      <c r="P721" s="115"/>
    </row>
    <row r="722" spans="10:16" ht="12.5" x14ac:dyDescent="0.25">
      <c r="J722" s="115"/>
      <c r="K722" s="115"/>
      <c r="L722" s="115"/>
      <c r="M722" s="115"/>
      <c r="N722" s="115"/>
      <c r="O722" s="115"/>
      <c r="P722" s="115"/>
    </row>
    <row r="723" spans="10:16" ht="12.5" x14ac:dyDescent="0.25">
      <c r="J723" s="115"/>
      <c r="K723" s="115"/>
      <c r="L723" s="115"/>
      <c r="M723" s="115"/>
      <c r="N723" s="115"/>
      <c r="O723" s="115"/>
      <c r="P723" s="115"/>
    </row>
    <row r="724" spans="10:16" ht="12.5" x14ac:dyDescent="0.25">
      <c r="J724" s="115"/>
      <c r="K724" s="115"/>
      <c r="L724" s="115"/>
      <c r="M724" s="115"/>
      <c r="N724" s="115"/>
      <c r="O724" s="115"/>
      <c r="P724" s="115"/>
    </row>
    <row r="725" spans="10:16" ht="12.5" x14ac:dyDescent="0.25">
      <c r="J725" s="115"/>
      <c r="K725" s="115"/>
      <c r="L725" s="115"/>
      <c r="M725" s="115"/>
      <c r="N725" s="115"/>
      <c r="O725" s="115"/>
      <c r="P725" s="115"/>
    </row>
    <row r="726" spans="10:16" ht="12.5" x14ac:dyDescent="0.25">
      <c r="J726" s="115"/>
      <c r="K726" s="115"/>
      <c r="L726" s="115"/>
      <c r="M726" s="115"/>
      <c r="N726" s="115"/>
      <c r="O726" s="115"/>
      <c r="P726" s="115"/>
    </row>
    <row r="727" spans="10:16" ht="12.5" x14ac:dyDescent="0.25">
      <c r="J727" s="115"/>
      <c r="K727" s="115"/>
      <c r="L727" s="115"/>
      <c r="M727" s="115"/>
      <c r="N727" s="115"/>
      <c r="O727" s="115"/>
      <c r="P727" s="115"/>
    </row>
    <row r="728" spans="10:16" ht="12.5" x14ac:dyDescent="0.25">
      <c r="J728" s="115"/>
      <c r="K728" s="115"/>
      <c r="L728" s="115"/>
      <c r="M728" s="115"/>
      <c r="N728" s="115"/>
      <c r="O728" s="115"/>
      <c r="P728" s="115"/>
    </row>
    <row r="729" spans="10:16" ht="12.5" x14ac:dyDescent="0.25">
      <c r="J729" s="115"/>
      <c r="K729" s="115"/>
      <c r="L729" s="115"/>
      <c r="M729" s="115"/>
      <c r="N729" s="115"/>
      <c r="O729" s="115"/>
      <c r="P729" s="115"/>
    </row>
    <row r="730" spans="10:16" ht="12.5" x14ac:dyDescent="0.25">
      <c r="J730" s="115"/>
      <c r="K730" s="115"/>
      <c r="L730" s="115"/>
      <c r="M730" s="115"/>
      <c r="N730" s="115"/>
      <c r="O730" s="115"/>
      <c r="P730" s="115"/>
    </row>
    <row r="731" spans="10:16" ht="12.5" x14ac:dyDescent="0.25">
      <c r="J731" s="115"/>
      <c r="K731" s="115"/>
      <c r="L731" s="115"/>
      <c r="M731" s="115"/>
      <c r="N731" s="115"/>
      <c r="O731" s="115"/>
      <c r="P731" s="115"/>
    </row>
    <row r="732" spans="10:16" ht="12.5" x14ac:dyDescent="0.25">
      <c r="J732" s="115"/>
      <c r="K732" s="115"/>
      <c r="L732" s="115"/>
      <c r="M732" s="115"/>
      <c r="N732" s="115"/>
      <c r="O732" s="115"/>
      <c r="P732" s="115"/>
    </row>
    <row r="733" spans="10:16" ht="12.5" x14ac:dyDescent="0.25">
      <c r="J733" s="115"/>
      <c r="K733" s="115"/>
      <c r="L733" s="115"/>
      <c r="M733" s="115"/>
      <c r="N733" s="115"/>
      <c r="O733" s="115"/>
      <c r="P733" s="115"/>
    </row>
    <row r="734" spans="10:16" ht="12.5" x14ac:dyDescent="0.25">
      <c r="J734" s="115"/>
      <c r="K734" s="115"/>
      <c r="L734" s="115"/>
      <c r="M734" s="115"/>
      <c r="N734" s="115"/>
      <c r="O734" s="115"/>
      <c r="P734" s="115"/>
    </row>
    <row r="735" spans="10:16" ht="12.5" x14ac:dyDescent="0.25">
      <c r="J735" s="115"/>
      <c r="K735" s="115"/>
      <c r="L735" s="115"/>
      <c r="M735" s="115"/>
      <c r="N735" s="115"/>
      <c r="O735" s="115"/>
      <c r="P735" s="115"/>
    </row>
    <row r="736" spans="10:16" ht="12.5" x14ac:dyDescent="0.25">
      <c r="J736" s="115"/>
      <c r="K736" s="115"/>
      <c r="L736" s="115"/>
      <c r="M736" s="115"/>
      <c r="N736" s="115"/>
      <c r="O736" s="115"/>
      <c r="P736" s="115"/>
    </row>
    <row r="737" spans="10:16" ht="12.5" x14ac:dyDescent="0.25">
      <c r="J737" s="115"/>
      <c r="K737" s="115"/>
      <c r="L737" s="115"/>
      <c r="M737" s="115"/>
      <c r="N737" s="115"/>
      <c r="O737" s="115"/>
      <c r="P737" s="115"/>
    </row>
    <row r="738" spans="10:16" ht="12.5" x14ac:dyDescent="0.25">
      <c r="J738" s="115"/>
      <c r="K738" s="115"/>
      <c r="L738" s="115"/>
      <c r="M738" s="115"/>
      <c r="N738" s="115"/>
      <c r="O738" s="115"/>
      <c r="P738" s="115"/>
    </row>
    <row r="739" spans="10:16" ht="12.5" x14ac:dyDescent="0.25">
      <c r="J739" s="115"/>
      <c r="K739" s="115"/>
      <c r="L739" s="115"/>
      <c r="M739" s="115"/>
      <c r="N739" s="115"/>
      <c r="O739" s="115"/>
      <c r="P739" s="115"/>
    </row>
    <row r="740" spans="10:16" ht="12.5" x14ac:dyDescent="0.25">
      <c r="J740" s="115"/>
      <c r="K740" s="115"/>
      <c r="L740" s="115"/>
      <c r="M740" s="115"/>
      <c r="N740" s="115"/>
      <c r="O740" s="115"/>
      <c r="P740" s="115"/>
    </row>
    <row r="741" spans="10:16" ht="12.5" x14ac:dyDescent="0.25">
      <c r="J741" s="115"/>
      <c r="K741" s="115"/>
      <c r="L741" s="115"/>
      <c r="M741" s="115"/>
      <c r="N741" s="115"/>
      <c r="O741" s="115"/>
      <c r="P741" s="115"/>
    </row>
    <row r="742" spans="10:16" ht="12.5" x14ac:dyDescent="0.25">
      <c r="J742" s="115"/>
      <c r="K742" s="115"/>
      <c r="L742" s="115"/>
      <c r="M742" s="115"/>
      <c r="N742" s="115"/>
      <c r="O742" s="115"/>
      <c r="P742" s="115"/>
    </row>
    <row r="743" spans="10:16" ht="12.5" x14ac:dyDescent="0.25">
      <c r="J743" s="115"/>
      <c r="K743" s="115"/>
      <c r="L743" s="115"/>
      <c r="M743" s="115"/>
      <c r="N743" s="115"/>
      <c r="O743" s="115"/>
      <c r="P743" s="115"/>
    </row>
    <row r="744" spans="10:16" ht="12.5" x14ac:dyDescent="0.25">
      <c r="J744" s="115"/>
      <c r="K744" s="115"/>
      <c r="L744" s="115"/>
      <c r="M744" s="115"/>
      <c r="N744" s="115"/>
      <c r="O744" s="115"/>
      <c r="P744" s="115"/>
    </row>
    <row r="745" spans="10:16" ht="12.5" x14ac:dyDescent="0.25">
      <c r="J745" s="115"/>
      <c r="K745" s="115"/>
      <c r="L745" s="115"/>
      <c r="M745" s="115"/>
      <c r="N745" s="115"/>
      <c r="O745" s="115"/>
      <c r="P745" s="115"/>
    </row>
    <row r="746" spans="10:16" ht="12.5" x14ac:dyDescent="0.25">
      <c r="J746" s="115"/>
      <c r="K746" s="115"/>
      <c r="L746" s="115"/>
      <c r="M746" s="115"/>
      <c r="N746" s="115"/>
      <c r="O746" s="115"/>
      <c r="P746" s="115"/>
    </row>
    <row r="747" spans="10:16" ht="12.5" x14ac:dyDescent="0.25">
      <c r="J747" s="115"/>
      <c r="K747" s="115"/>
      <c r="L747" s="115"/>
      <c r="M747" s="115"/>
      <c r="N747" s="115"/>
      <c r="O747" s="115"/>
      <c r="P747" s="115"/>
    </row>
    <row r="748" spans="10:16" ht="12.5" x14ac:dyDescent="0.25">
      <c r="J748" s="115"/>
      <c r="K748" s="115"/>
      <c r="L748" s="115"/>
      <c r="M748" s="115"/>
      <c r="N748" s="115"/>
      <c r="O748" s="115"/>
      <c r="P748" s="115"/>
    </row>
    <row r="749" spans="10:16" ht="12.5" x14ac:dyDescent="0.25">
      <c r="J749" s="115"/>
      <c r="K749" s="115"/>
      <c r="L749" s="115"/>
      <c r="M749" s="115"/>
      <c r="N749" s="115"/>
      <c r="O749" s="115"/>
      <c r="P749" s="115"/>
    </row>
    <row r="750" spans="10:16" ht="12.5" x14ac:dyDescent="0.25">
      <c r="J750" s="115"/>
      <c r="K750" s="115"/>
      <c r="L750" s="115"/>
      <c r="M750" s="115"/>
      <c r="N750" s="115"/>
      <c r="O750" s="115"/>
      <c r="P750" s="115"/>
    </row>
    <row r="751" spans="10:16" ht="12.5" x14ac:dyDescent="0.25">
      <c r="J751" s="115"/>
      <c r="K751" s="115"/>
      <c r="L751" s="115"/>
      <c r="M751" s="115"/>
      <c r="N751" s="115"/>
      <c r="O751" s="115"/>
      <c r="P751" s="115"/>
    </row>
    <row r="752" spans="10:16" ht="12.5" x14ac:dyDescent="0.25">
      <c r="J752" s="115"/>
      <c r="K752" s="115"/>
      <c r="L752" s="115"/>
      <c r="M752" s="115"/>
      <c r="N752" s="115"/>
      <c r="O752" s="115"/>
      <c r="P752" s="115"/>
    </row>
    <row r="753" spans="10:16" ht="12.5" x14ac:dyDescent="0.25">
      <c r="J753" s="115"/>
      <c r="K753" s="115"/>
      <c r="L753" s="115"/>
      <c r="M753" s="115"/>
      <c r="N753" s="115"/>
      <c r="O753" s="115"/>
      <c r="P753" s="115"/>
    </row>
    <row r="754" spans="10:16" ht="12.5" x14ac:dyDescent="0.25">
      <c r="J754" s="115"/>
      <c r="K754" s="115"/>
      <c r="L754" s="115"/>
      <c r="M754" s="115"/>
      <c r="N754" s="115"/>
      <c r="O754" s="115"/>
      <c r="P754" s="115"/>
    </row>
    <row r="755" spans="10:16" ht="12.5" x14ac:dyDescent="0.25">
      <c r="J755" s="115"/>
      <c r="K755" s="115"/>
      <c r="L755" s="115"/>
      <c r="M755" s="115"/>
      <c r="N755" s="115"/>
      <c r="O755" s="115"/>
      <c r="P755" s="115"/>
    </row>
    <row r="756" spans="10:16" ht="12.5" x14ac:dyDescent="0.25">
      <c r="J756" s="115"/>
      <c r="K756" s="115"/>
      <c r="L756" s="115"/>
      <c r="M756" s="115"/>
      <c r="N756" s="115"/>
      <c r="O756" s="115"/>
      <c r="P756" s="115"/>
    </row>
    <row r="757" spans="10:16" ht="12.5" x14ac:dyDescent="0.25">
      <c r="J757" s="115"/>
      <c r="K757" s="115"/>
      <c r="L757" s="115"/>
      <c r="M757" s="115"/>
      <c r="N757" s="115"/>
      <c r="O757" s="115"/>
      <c r="P757" s="115"/>
    </row>
    <row r="758" spans="10:16" ht="12.5" x14ac:dyDescent="0.25">
      <c r="J758" s="115"/>
      <c r="K758" s="115"/>
      <c r="L758" s="115"/>
      <c r="M758" s="115"/>
      <c r="N758" s="115"/>
      <c r="O758" s="115"/>
      <c r="P758" s="115"/>
    </row>
    <row r="759" spans="10:16" ht="12.5" x14ac:dyDescent="0.25">
      <c r="J759" s="115"/>
      <c r="K759" s="115"/>
      <c r="L759" s="115"/>
      <c r="M759" s="115"/>
      <c r="N759" s="115"/>
      <c r="O759" s="115"/>
      <c r="P759" s="115"/>
    </row>
    <row r="760" spans="10:16" ht="12.5" x14ac:dyDescent="0.25">
      <c r="J760" s="115"/>
      <c r="K760" s="115"/>
      <c r="L760" s="115"/>
      <c r="M760" s="115"/>
      <c r="N760" s="115"/>
      <c r="O760" s="115"/>
      <c r="P760" s="115"/>
    </row>
    <row r="761" spans="10:16" ht="12.5" x14ac:dyDescent="0.25">
      <c r="J761" s="115"/>
      <c r="K761" s="115"/>
      <c r="L761" s="115"/>
      <c r="M761" s="115"/>
      <c r="N761" s="115"/>
      <c r="O761" s="115"/>
      <c r="P761" s="115"/>
    </row>
    <row r="762" spans="10:16" ht="12.5" x14ac:dyDescent="0.25">
      <c r="J762" s="115"/>
      <c r="K762" s="115"/>
      <c r="L762" s="115"/>
      <c r="M762" s="115"/>
      <c r="N762" s="115"/>
      <c r="O762" s="115"/>
      <c r="P762" s="115"/>
    </row>
    <row r="763" spans="10:16" ht="12.5" x14ac:dyDescent="0.25">
      <c r="J763" s="115"/>
      <c r="K763" s="115"/>
      <c r="L763" s="115"/>
      <c r="M763" s="115"/>
      <c r="N763" s="115"/>
      <c r="O763" s="115"/>
      <c r="P763" s="115"/>
    </row>
    <row r="764" spans="10:16" ht="12.5" x14ac:dyDescent="0.25">
      <c r="J764" s="115"/>
      <c r="K764" s="115"/>
      <c r="L764" s="115"/>
      <c r="M764" s="115"/>
      <c r="N764" s="115"/>
      <c r="O764" s="115"/>
      <c r="P764" s="115"/>
    </row>
    <row r="765" spans="10:16" ht="12.5" x14ac:dyDescent="0.25">
      <c r="J765" s="115"/>
      <c r="K765" s="115"/>
      <c r="L765" s="115"/>
      <c r="M765" s="115"/>
      <c r="N765" s="115"/>
      <c r="O765" s="115"/>
      <c r="P765" s="115"/>
    </row>
    <row r="766" spans="10:16" ht="12.5" x14ac:dyDescent="0.25">
      <c r="J766" s="115"/>
      <c r="K766" s="115"/>
      <c r="L766" s="115"/>
      <c r="M766" s="115"/>
      <c r="N766" s="115"/>
      <c r="O766" s="115"/>
      <c r="P766" s="115"/>
    </row>
    <row r="767" spans="10:16" ht="12.5" x14ac:dyDescent="0.25">
      <c r="J767" s="115"/>
      <c r="K767" s="115"/>
      <c r="L767" s="115"/>
      <c r="M767" s="115"/>
      <c r="N767" s="115"/>
      <c r="O767" s="115"/>
      <c r="P767" s="115"/>
    </row>
    <row r="768" spans="10:16" ht="12.5" x14ac:dyDescent="0.25">
      <c r="J768" s="115"/>
      <c r="K768" s="115"/>
      <c r="L768" s="115"/>
      <c r="M768" s="115"/>
      <c r="N768" s="115"/>
      <c r="O768" s="115"/>
      <c r="P768" s="115"/>
    </row>
    <row r="769" spans="10:16" ht="12.5" x14ac:dyDescent="0.25">
      <c r="J769" s="115"/>
      <c r="K769" s="115"/>
      <c r="L769" s="115"/>
      <c r="M769" s="115"/>
      <c r="N769" s="115"/>
      <c r="O769" s="115"/>
      <c r="P769" s="115"/>
    </row>
    <row r="770" spans="10:16" ht="12.5" x14ac:dyDescent="0.25">
      <c r="J770" s="115"/>
      <c r="K770" s="115"/>
      <c r="L770" s="115"/>
      <c r="M770" s="115"/>
      <c r="N770" s="115"/>
      <c r="O770" s="115"/>
      <c r="P770" s="115"/>
    </row>
    <row r="771" spans="10:16" ht="12.5" x14ac:dyDescent="0.25">
      <c r="J771" s="115"/>
      <c r="K771" s="115"/>
      <c r="L771" s="115"/>
      <c r="M771" s="115"/>
      <c r="N771" s="115"/>
      <c r="O771" s="115"/>
      <c r="P771" s="115"/>
    </row>
    <row r="772" spans="10:16" ht="12.5" x14ac:dyDescent="0.25">
      <c r="J772" s="115"/>
      <c r="K772" s="115"/>
      <c r="L772" s="115"/>
      <c r="M772" s="115"/>
      <c r="N772" s="115"/>
      <c r="O772" s="115"/>
      <c r="P772" s="115"/>
    </row>
    <row r="773" spans="10:16" ht="12.5" x14ac:dyDescent="0.25">
      <c r="J773" s="115"/>
      <c r="K773" s="115"/>
      <c r="L773" s="115"/>
      <c r="M773" s="115"/>
      <c r="N773" s="115"/>
      <c r="O773" s="115"/>
      <c r="P773" s="115"/>
    </row>
    <row r="774" spans="10:16" ht="12.5" x14ac:dyDescent="0.25">
      <c r="J774" s="115"/>
      <c r="K774" s="115"/>
      <c r="L774" s="115"/>
      <c r="M774" s="115"/>
      <c r="N774" s="115"/>
      <c r="O774" s="115"/>
      <c r="P774" s="115"/>
    </row>
    <row r="775" spans="10:16" ht="12.5" x14ac:dyDescent="0.25">
      <c r="J775" s="115"/>
      <c r="K775" s="115"/>
      <c r="L775" s="115"/>
      <c r="M775" s="115"/>
      <c r="N775" s="115"/>
      <c r="O775" s="115"/>
      <c r="P775" s="115"/>
    </row>
    <row r="776" spans="10:16" ht="12.5" x14ac:dyDescent="0.25">
      <c r="J776" s="115"/>
      <c r="K776" s="115"/>
      <c r="L776" s="115"/>
      <c r="M776" s="115"/>
      <c r="N776" s="115"/>
      <c r="O776" s="115"/>
      <c r="P776" s="115"/>
    </row>
    <row r="777" spans="10:16" ht="12.5" x14ac:dyDescent="0.25">
      <c r="J777" s="115"/>
      <c r="K777" s="115"/>
      <c r="L777" s="115"/>
      <c r="M777" s="115"/>
      <c r="N777" s="115"/>
      <c r="O777" s="115"/>
      <c r="P777" s="115"/>
    </row>
    <row r="778" spans="10:16" ht="12.5" x14ac:dyDescent="0.25">
      <c r="J778" s="115"/>
      <c r="K778" s="115"/>
      <c r="L778" s="115"/>
      <c r="M778" s="115"/>
      <c r="N778" s="115"/>
      <c r="O778" s="115"/>
      <c r="P778" s="115"/>
    </row>
    <row r="779" spans="10:16" ht="12.5" x14ac:dyDescent="0.25">
      <c r="J779" s="115"/>
      <c r="K779" s="115"/>
      <c r="L779" s="115"/>
      <c r="M779" s="115"/>
      <c r="N779" s="115"/>
      <c r="O779" s="115"/>
      <c r="P779" s="115"/>
    </row>
    <row r="780" spans="10:16" ht="12.5" x14ac:dyDescent="0.25">
      <c r="J780" s="115"/>
      <c r="K780" s="115"/>
      <c r="L780" s="115"/>
      <c r="M780" s="115"/>
      <c r="N780" s="115"/>
      <c r="O780" s="115"/>
      <c r="P780" s="115"/>
    </row>
    <row r="781" spans="10:16" ht="12.5" x14ac:dyDescent="0.25">
      <c r="J781" s="115"/>
      <c r="K781" s="115"/>
      <c r="L781" s="115"/>
      <c r="M781" s="115"/>
      <c r="N781" s="115"/>
      <c r="O781" s="115"/>
      <c r="P781" s="115"/>
    </row>
    <row r="782" spans="10:16" ht="12.5" x14ac:dyDescent="0.25">
      <c r="J782" s="115"/>
      <c r="K782" s="115"/>
      <c r="L782" s="115"/>
      <c r="M782" s="115"/>
      <c r="N782" s="115"/>
      <c r="O782" s="115"/>
      <c r="P782" s="115"/>
    </row>
    <row r="783" spans="10:16" ht="12.5" x14ac:dyDescent="0.25">
      <c r="J783" s="115"/>
      <c r="K783" s="115"/>
      <c r="L783" s="115"/>
      <c r="M783" s="115"/>
      <c r="N783" s="115"/>
      <c r="O783" s="115"/>
      <c r="P783" s="115"/>
    </row>
    <row r="784" spans="10:16" ht="12.5" x14ac:dyDescent="0.25">
      <c r="J784" s="115"/>
      <c r="K784" s="115"/>
      <c r="L784" s="115"/>
      <c r="M784" s="115"/>
      <c r="N784" s="115"/>
      <c r="O784" s="115"/>
      <c r="P784" s="115"/>
    </row>
    <row r="785" spans="10:16" ht="12.5" x14ac:dyDescent="0.25">
      <c r="J785" s="115"/>
      <c r="K785" s="115"/>
      <c r="L785" s="115"/>
      <c r="M785" s="115"/>
      <c r="N785" s="115"/>
      <c r="O785" s="115"/>
      <c r="P785" s="115"/>
    </row>
    <row r="786" spans="10:16" ht="12.5" x14ac:dyDescent="0.25">
      <c r="J786" s="115"/>
      <c r="K786" s="115"/>
      <c r="L786" s="115"/>
      <c r="M786" s="115"/>
      <c r="N786" s="115"/>
      <c r="O786" s="115"/>
      <c r="P786" s="115"/>
    </row>
    <row r="787" spans="10:16" ht="12.5" x14ac:dyDescent="0.25">
      <c r="J787" s="115"/>
      <c r="K787" s="115"/>
      <c r="L787" s="115"/>
      <c r="M787" s="115"/>
      <c r="N787" s="115"/>
      <c r="O787" s="115"/>
      <c r="P787" s="115"/>
    </row>
    <row r="788" spans="10:16" ht="12.5" x14ac:dyDescent="0.25">
      <c r="J788" s="115"/>
      <c r="K788" s="115"/>
      <c r="L788" s="115"/>
      <c r="M788" s="115"/>
      <c r="N788" s="115"/>
      <c r="O788" s="115"/>
      <c r="P788" s="115"/>
    </row>
    <row r="789" spans="10:16" ht="12.5" x14ac:dyDescent="0.25">
      <c r="J789" s="115"/>
      <c r="K789" s="115"/>
      <c r="L789" s="115"/>
      <c r="M789" s="115"/>
      <c r="N789" s="115"/>
      <c r="O789" s="115"/>
      <c r="P789" s="115"/>
    </row>
    <row r="790" spans="10:16" ht="12.5" x14ac:dyDescent="0.25">
      <c r="J790" s="115"/>
      <c r="K790" s="115"/>
      <c r="L790" s="115"/>
      <c r="M790" s="115"/>
      <c r="N790" s="115"/>
      <c r="O790" s="115"/>
      <c r="P790" s="115"/>
    </row>
    <row r="791" spans="10:16" ht="12.5" x14ac:dyDescent="0.25">
      <c r="J791" s="115"/>
      <c r="K791" s="115"/>
      <c r="L791" s="115"/>
      <c r="M791" s="115"/>
      <c r="N791" s="115"/>
      <c r="O791" s="115"/>
      <c r="P791" s="115"/>
    </row>
    <row r="792" spans="10:16" ht="12.5" x14ac:dyDescent="0.25">
      <c r="J792" s="115"/>
      <c r="K792" s="115"/>
      <c r="L792" s="115"/>
      <c r="M792" s="115"/>
      <c r="N792" s="115"/>
      <c r="O792" s="115"/>
      <c r="P792" s="115"/>
    </row>
    <row r="793" spans="10:16" ht="12.5" x14ac:dyDescent="0.25">
      <c r="J793" s="115"/>
      <c r="K793" s="115"/>
      <c r="L793" s="115"/>
      <c r="M793" s="115"/>
      <c r="N793" s="115"/>
      <c r="O793" s="115"/>
      <c r="P793" s="115"/>
    </row>
    <row r="794" spans="10:16" ht="12.5" x14ac:dyDescent="0.25">
      <c r="J794" s="115"/>
      <c r="K794" s="115"/>
      <c r="L794" s="115"/>
      <c r="M794" s="115"/>
      <c r="N794" s="115"/>
      <c r="O794" s="115"/>
      <c r="P794" s="115"/>
    </row>
    <row r="795" spans="10:16" ht="12.5" x14ac:dyDescent="0.25">
      <c r="J795" s="115"/>
      <c r="K795" s="115"/>
      <c r="L795" s="115"/>
      <c r="M795" s="115"/>
      <c r="N795" s="115"/>
      <c r="O795" s="115"/>
      <c r="P795" s="115"/>
    </row>
    <row r="796" spans="10:16" ht="12.5" x14ac:dyDescent="0.25">
      <c r="J796" s="115"/>
      <c r="K796" s="115"/>
      <c r="L796" s="115"/>
      <c r="M796" s="115"/>
      <c r="N796" s="115"/>
      <c r="O796" s="115"/>
      <c r="P796" s="115"/>
    </row>
    <row r="797" spans="10:16" ht="12.5" x14ac:dyDescent="0.25">
      <c r="J797" s="115"/>
      <c r="K797" s="115"/>
      <c r="L797" s="115"/>
      <c r="M797" s="115"/>
      <c r="N797" s="115"/>
      <c r="O797" s="115"/>
      <c r="P797" s="115"/>
    </row>
    <row r="798" spans="10:16" ht="12.5" x14ac:dyDescent="0.25">
      <c r="J798" s="115"/>
      <c r="K798" s="115"/>
      <c r="L798" s="115"/>
      <c r="M798" s="115"/>
      <c r="N798" s="115"/>
      <c r="O798" s="115"/>
      <c r="P798" s="115"/>
    </row>
    <row r="799" spans="10:16" ht="12.5" x14ac:dyDescent="0.25">
      <c r="J799" s="115"/>
      <c r="K799" s="115"/>
      <c r="L799" s="115"/>
      <c r="M799" s="115"/>
      <c r="N799" s="115"/>
      <c r="O799" s="115"/>
      <c r="P799" s="115"/>
    </row>
    <row r="800" spans="10:16" ht="12.5" x14ac:dyDescent="0.25">
      <c r="J800" s="115"/>
      <c r="K800" s="115"/>
      <c r="L800" s="115"/>
      <c r="M800" s="115"/>
      <c r="N800" s="115"/>
      <c r="O800" s="115"/>
      <c r="P800" s="115"/>
    </row>
    <row r="801" spans="10:16" ht="12.5" x14ac:dyDescent="0.25">
      <c r="J801" s="115"/>
      <c r="K801" s="115"/>
      <c r="L801" s="115"/>
      <c r="M801" s="115"/>
      <c r="N801" s="115"/>
      <c r="O801" s="115"/>
      <c r="P801" s="115"/>
    </row>
    <row r="802" spans="10:16" ht="12.5" x14ac:dyDescent="0.25">
      <c r="J802" s="115"/>
      <c r="K802" s="115"/>
      <c r="L802" s="115"/>
      <c r="M802" s="115"/>
      <c r="N802" s="115"/>
      <c r="O802" s="115"/>
      <c r="P802" s="115"/>
    </row>
    <row r="803" spans="10:16" ht="12.5" x14ac:dyDescent="0.25">
      <c r="J803" s="115"/>
      <c r="K803" s="115"/>
      <c r="L803" s="115"/>
      <c r="M803" s="115"/>
      <c r="N803" s="115"/>
      <c r="O803" s="115"/>
      <c r="P803" s="115"/>
    </row>
    <row r="804" spans="10:16" ht="12.5" x14ac:dyDescent="0.25">
      <c r="J804" s="115"/>
      <c r="K804" s="115"/>
      <c r="L804" s="115"/>
      <c r="M804" s="115"/>
      <c r="N804" s="115"/>
      <c r="O804" s="115"/>
      <c r="P804" s="115"/>
    </row>
    <row r="805" spans="10:16" ht="12.5" x14ac:dyDescent="0.25">
      <c r="J805" s="115"/>
      <c r="K805" s="115"/>
      <c r="L805" s="115"/>
      <c r="M805" s="115"/>
      <c r="N805" s="115"/>
      <c r="O805" s="115"/>
      <c r="P805" s="115"/>
    </row>
    <row r="806" spans="10:16" ht="12.5" x14ac:dyDescent="0.25">
      <c r="J806" s="115"/>
      <c r="K806" s="115"/>
      <c r="L806" s="115"/>
      <c r="M806" s="115"/>
      <c r="N806" s="115"/>
      <c r="O806" s="115"/>
      <c r="P806" s="115"/>
    </row>
    <row r="807" spans="10:16" ht="12.5" x14ac:dyDescent="0.25">
      <c r="J807" s="115"/>
      <c r="K807" s="115"/>
      <c r="L807" s="115"/>
      <c r="M807" s="115"/>
      <c r="N807" s="115"/>
      <c r="O807" s="115"/>
      <c r="P807" s="115"/>
    </row>
    <row r="808" spans="10:16" ht="12.5" x14ac:dyDescent="0.25">
      <c r="J808" s="115"/>
      <c r="K808" s="115"/>
      <c r="L808" s="115"/>
      <c r="M808" s="115"/>
      <c r="N808" s="115"/>
      <c r="O808" s="115"/>
      <c r="P808" s="115"/>
    </row>
    <row r="809" spans="10:16" ht="12.5" x14ac:dyDescent="0.25">
      <c r="J809" s="115"/>
      <c r="K809" s="115"/>
      <c r="L809" s="115"/>
      <c r="M809" s="115"/>
      <c r="N809" s="115"/>
      <c r="O809" s="115"/>
      <c r="P809" s="115"/>
    </row>
    <row r="810" spans="10:16" ht="12.5" x14ac:dyDescent="0.25">
      <c r="J810" s="115"/>
      <c r="K810" s="115"/>
      <c r="L810" s="115"/>
      <c r="M810" s="115"/>
      <c r="N810" s="115"/>
      <c r="O810" s="115"/>
      <c r="P810" s="115"/>
    </row>
    <row r="811" spans="10:16" ht="12.5" x14ac:dyDescent="0.25">
      <c r="J811" s="115"/>
      <c r="K811" s="115"/>
      <c r="L811" s="115"/>
      <c r="M811" s="115"/>
      <c r="N811" s="115"/>
      <c r="O811" s="115"/>
      <c r="P811" s="115"/>
    </row>
    <row r="812" spans="10:16" ht="12.5" x14ac:dyDescent="0.25">
      <c r="J812" s="115"/>
      <c r="K812" s="115"/>
      <c r="L812" s="115"/>
      <c r="M812" s="115"/>
      <c r="N812" s="115"/>
      <c r="O812" s="115"/>
      <c r="P812" s="115"/>
    </row>
    <row r="813" spans="10:16" ht="12.5" x14ac:dyDescent="0.25">
      <c r="J813" s="115"/>
      <c r="K813" s="115"/>
      <c r="L813" s="115"/>
      <c r="M813" s="115"/>
      <c r="N813" s="115"/>
      <c r="O813" s="115"/>
      <c r="P813" s="115"/>
    </row>
    <row r="814" spans="10:16" ht="12.5" x14ac:dyDescent="0.25">
      <c r="J814" s="115"/>
      <c r="K814" s="115"/>
      <c r="L814" s="115"/>
      <c r="M814" s="115"/>
      <c r="N814" s="115"/>
      <c r="O814" s="115"/>
      <c r="P814" s="115"/>
    </row>
    <row r="815" spans="10:16" ht="12.5" x14ac:dyDescent="0.25">
      <c r="J815" s="115"/>
      <c r="K815" s="115"/>
      <c r="L815" s="115"/>
      <c r="M815" s="115"/>
      <c r="N815" s="115"/>
      <c r="O815" s="115"/>
      <c r="P815" s="115"/>
    </row>
    <row r="816" spans="10:16" ht="12.5" x14ac:dyDescent="0.25">
      <c r="J816" s="115"/>
      <c r="K816" s="115"/>
      <c r="L816" s="115"/>
      <c r="M816" s="115"/>
      <c r="N816" s="115"/>
      <c r="O816" s="115"/>
      <c r="P816" s="115"/>
    </row>
    <row r="817" spans="10:16" ht="12.5" x14ac:dyDescent="0.25">
      <c r="J817" s="115"/>
      <c r="K817" s="115"/>
      <c r="L817" s="115"/>
      <c r="M817" s="115"/>
      <c r="N817" s="115"/>
      <c r="O817" s="115"/>
      <c r="P817" s="115"/>
    </row>
    <row r="818" spans="10:16" ht="12.5" x14ac:dyDescent="0.25">
      <c r="J818" s="115"/>
      <c r="K818" s="115"/>
      <c r="L818" s="115"/>
      <c r="M818" s="115"/>
      <c r="N818" s="115"/>
      <c r="O818" s="115"/>
      <c r="P818" s="115"/>
    </row>
    <row r="819" spans="10:16" ht="12.5" x14ac:dyDescent="0.25">
      <c r="J819" s="115"/>
      <c r="K819" s="115"/>
      <c r="L819" s="115"/>
      <c r="M819" s="115"/>
      <c r="N819" s="115"/>
      <c r="O819" s="115"/>
      <c r="P819" s="115"/>
    </row>
    <row r="820" spans="10:16" ht="12.5" x14ac:dyDescent="0.25">
      <c r="J820" s="115"/>
      <c r="K820" s="115"/>
      <c r="L820" s="115"/>
      <c r="M820" s="115"/>
      <c r="N820" s="115"/>
      <c r="O820" s="115"/>
      <c r="P820" s="115"/>
    </row>
    <row r="821" spans="10:16" ht="12.5" x14ac:dyDescent="0.25">
      <c r="J821" s="115"/>
      <c r="K821" s="115"/>
      <c r="L821" s="115"/>
      <c r="M821" s="115"/>
      <c r="N821" s="115"/>
      <c r="O821" s="115"/>
      <c r="P821" s="115"/>
    </row>
    <row r="822" spans="10:16" ht="12.5" x14ac:dyDescent="0.25">
      <c r="J822" s="115"/>
      <c r="K822" s="115"/>
      <c r="L822" s="115"/>
      <c r="M822" s="115"/>
      <c r="N822" s="115"/>
      <c r="O822" s="115"/>
      <c r="P822" s="115"/>
    </row>
    <row r="823" spans="10:16" ht="12.5" x14ac:dyDescent="0.25">
      <c r="J823" s="115"/>
      <c r="K823" s="115"/>
      <c r="L823" s="115"/>
      <c r="M823" s="115"/>
      <c r="N823" s="115"/>
      <c r="O823" s="115"/>
      <c r="P823" s="115"/>
    </row>
    <row r="824" spans="10:16" ht="12.5" x14ac:dyDescent="0.25">
      <c r="J824" s="115"/>
      <c r="K824" s="115"/>
      <c r="L824" s="115"/>
      <c r="M824" s="115"/>
      <c r="N824" s="115"/>
      <c r="O824" s="115"/>
      <c r="P824" s="115"/>
    </row>
    <row r="825" spans="10:16" ht="12.5" x14ac:dyDescent="0.25">
      <c r="J825" s="115"/>
      <c r="K825" s="115"/>
      <c r="L825" s="115"/>
      <c r="M825" s="115"/>
      <c r="N825" s="115"/>
      <c r="O825" s="115"/>
      <c r="P825" s="115"/>
    </row>
    <row r="826" spans="10:16" ht="12.5" x14ac:dyDescent="0.25">
      <c r="J826" s="115"/>
      <c r="K826" s="115"/>
      <c r="L826" s="115"/>
      <c r="M826" s="115"/>
      <c r="N826" s="115"/>
      <c r="O826" s="115"/>
      <c r="P826" s="115"/>
    </row>
    <row r="827" spans="10:16" ht="12.5" x14ac:dyDescent="0.25">
      <c r="J827" s="115"/>
      <c r="K827" s="115"/>
      <c r="L827" s="115"/>
      <c r="M827" s="115"/>
      <c r="N827" s="115"/>
      <c r="O827" s="115"/>
      <c r="P827" s="115"/>
    </row>
    <row r="828" spans="10:16" ht="12.5" x14ac:dyDescent="0.25">
      <c r="J828" s="115"/>
      <c r="K828" s="115"/>
      <c r="L828" s="115"/>
      <c r="M828" s="115"/>
      <c r="N828" s="115"/>
      <c r="O828" s="115"/>
      <c r="P828" s="115"/>
    </row>
    <row r="829" spans="10:16" ht="12.5" x14ac:dyDescent="0.25">
      <c r="J829" s="115"/>
      <c r="K829" s="115"/>
      <c r="L829" s="115"/>
      <c r="M829" s="115"/>
      <c r="N829" s="115"/>
      <c r="O829" s="115"/>
      <c r="P829" s="115"/>
    </row>
    <row r="830" spans="10:16" ht="12.5" x14ac:dyDescent="0.25">
      <c r="J830" s="115"/>
      <c r="K830" s="115"/>
      <c r="L830" s="115"/>
      <c r="M830" s="115"/>
      <c r="N830" s="115"/>
      <c r="O830" s="115"/>
      <c r="P830" s="115"/>
    </row>
    <row r="831" spans="10:16" ht="12.5" x14ac:dyDescent="0.25">
      <c r="J831" s="115"/>
      <c r="K831" s="115"/>
      <c r="L831" s="115"/>
      <c r="M831" s="115"/>
      <c r="N831" s="115"/>
      <c r="O831" s="115"/>
      <c r="P831" s="115"/>
    </row>
    <row r="832" spans="10:16" ht="12.5" x14ac:dyDescent="0.25">
      <c r="J832" s="115"/>
      <c r="K832" s="115"/>
      <c r="L832" s="115"/>
      <c r="M832" s="115"/>
      <c r="N832" s="115"/>
      <c r="O832" s="115"/>
      <c r="P832" s="115"/>
    </row>
    <row r="833" spans="10:16" ht="12.5" x14ac:dyDescent="0.25">
      <c r="J833" s="115"/>
      <c r="K833" s="115"/>
      <c r="L833" s="115"/>
      <c r="M833" s="115"/>
      <c r="N833" s="115"/>
      <c r="O833" s="115"/>
      <c r="P833" s="115"/>
    </row>
    <row r="834" spans="10:16" ht="12.5" x14ac:dyDescent="0.25">
      <c r="J834" s="115"/>
      <c r="K834" s="115"/>
      <c r="L834" s="115"/>
      <c r="M834" s="115"/>
      <c r="N834" s="115"/>
      <c r="O834" s="115"/>
      <c r="P834" s="115"/>
    </row>
    <row r="835" spans="10:16" ht="12.5" x14ac:dyDescent="0.25">
      <c r="J835" s="115"/>
      <c r="K835" s="115"/>
      <c r="L835" s="115"/>
      <c r="M835" s="115"/>
      <c r="N835" s="115"/>
      <c r="O835" s="115"/>
      <c r="P835" s="115"/>
    </row>
    <row r="836" spans="10:16" ht="12.5" x14ac:dyDescent="0.25">
      <c r="J836" s="115"/>
      <c r="K836" s="115"/>
      <c r="L836" s="115"/>
      <c r="M836" s="115"/>
      <c r="N836" s="115"/>
      <c r="O836" s="115"/>
      <c r="P836" s="115"/>
    </row>
    <row r="837" spans="10:16" ht="12.5" x14ac:dyDescent="0.25">
      <c r="J837" s="115"/>
      <c r="K837" s="115"/>
      <c r="L837" s="115"/>
      <c r="M837" s="115"/>
      <c r="N837" s="115"/>
      <c r="O837" s="115"/>
      <c r="P837" s="115"/>
    </row>
    <row r="838" spans="10:16" ht="12.5" x14ac:dyDescent="0.25">
      <c r="J838" s="115"/>
      <c r="K838" s="115"/>
      <c r="L838" s="115"/>
      <c r="M838" s="115"/>
      <c r="N838" s="115"/>
      <c r="O838" s="115"/>
      <c r="P838" s="115"/>
    </row>
    <row r="839" spans="10:16" ht="12.5" x14ac:dyDescent="0.25">
      <c r="J839" s="115"/>
      <c r="K839" s="115"/>
      <c r="L839" s="115"/>
      <c r="M839" s="115"/>
      <c r="N839" s="115"/>
      <c r="O839" s="115"/>
      <c r="P839" s="115"/>
    </row>
    <row r="840" spans="10:16" ht="12.5" x14ac:dyDescent="0.25">
      <c r="J840" s="115"/>
      <c r="K840" s="115"/>
      <c r="L840" s="115"/>
      <c r="M840" s="115"/>
      <c r="N840" s="115"/>
      <c r="O840" s="115"/>
      <c r="P840" s="115"/>
    </row>
    <row r="841" spans="10:16" ht="12.5" x14ac:dyDescent="0.25">
      <c r="J841" s="115"/>
      <c r="K841" s="115"/>
      <c r="L841" s="115"/>
      <c r="M841" s="115"/>
      <c r="N841" s="115"/>
      <c r="O841" s="115"/>
      <c r="P841" s="115"/>
    </row>
    <row r="842" spans="10:16" ht="12.5" x14ac:dyDescent="0.25">
      <c r="J842" s="115"/>
      <c r="K842" s="115"/>
      <c r="L842" s="115"/>
      <c r="M842" s="115"/>
      <c r="N842" s="115"/>
      <c r="O842" s="115"/>
      <c r="P842" s="115"/>
    </row>
    <row r="843" spans="10:16" ht="12.5" x14ac:dyDescent="0.25">
      <c r="J843" s="115"/>
      <c r="K843" s="115"/>
      <c r="L843" s="115"/>
      <c r="M843" s="115"/>
      <c r="N843" s="115"/>
      <c r="O843" s="115"/>
      <c r="P843" s="115"/>
    </row>
    <row r="844" spans="10:16" ht="12.5" x14ac:dyDescent="0.25">
      <c r="J844" s="115"/>
      <c r="K844" s="115"/>
      <c r="L844" s="115"/>
      <c r="M844" s="115"/>
      <c r="N844" s="115"/>
      <c r="O844" s="115"/>
      <c r="P844" s="115"/>
    </row>
    <row r="845" spans="10:16" ht="12.5" x14ac:dyDescent="0.25">
      <c r="J845" s="115"/>
      <c r="K845" s="115"/>
      <c r="L845" s="115"/>
      <c r="M845" s="115"/>
      <c r="N845" s="115"/>
      <c r="O845" s="115"/>
      <c r="P845" s="115"/>
    </row>
    <row r="846" spans="10:16" ht="12.5" x14ac:dyDescent="0.25">
      <c r="J846" s="115"/>
      <c r="K846" s="115"/>
      <c r="L846" s="115"/>
      <c r="M846" s="115"/>
      <c r="N846" s="115"/>
      <c r="O846" s="115"/>
      <c r="P846" s="115"/>
    </row>
    <row r="847" spans="10:16" ht="12.5" x14ac:dyDescent="0.25">
      <c r="J847" s="115"/>
      <c r="K847" s="115"/>
      <c r="L847" s="115"/>
      <c r="M847" s="115"/>
      <c r="N847" s="115"/>
      <c r="O847" s="115"/>
      <c r="P847" s="115"/>
    </row>
    <row r="848" spans="10:16" ht="12.5" x14ac:dyDescent="0.25">
      <c r="J848" s="115"/>
      <c r="K848" s="115"/>
      <c r="L848" s="115"/>
      <c r="M848" s="115"/>
      <c r="N848" s="115"/>
      <c r="O848" s="115"/>
      <c r="P848" s="115"/>
    </row>
    <row r="849" spans="10:16" ht="12.5" x14ac:dyDescent="0.25">
      <c r="J849" s="115"/>
      <c r="K849" s="115"/>
      <c r="L849" s="115"/>
      <c r="M849" s="115"/>
      <c r="N849" s="115"/>
      <c r="O849" s="115"/>
      <c r="P849" s="115"/>
    </row>
    <row r="850" spans="10:16" ht="12.5" x14ac:dyDescent="0.25">
      <c r="J850" s="115"/>
      <c r="K850" s="115"/>
      <c r="L850" s="115"/>
      <c r="M850" s="115"/>
      <c r="N850" s="115"/>
      <c r="O850" s="115"/>
      <c r="P850" s="115"/>
    </row>
    <row r="851" spans="10:16" ht="12.5" x14ac:dyDescent="0.25">
      <c r="J851" s="115"/>
      <c r="K851" s="115"/>
      <c r="L851" s="115"/>
      <c r="M851" s="115"/>
      <c r="N851" s="115"/>
      <c r="O851" s="115"/>
      <c r="P851" s="115"/>
    </row>
    <row r="852" spans="10:16" ht="12.5" x14ac:dyDescent="0.25">
      <c r="J852" s="115"/>
      <c r="K852" s="115"/>
      <c r="L852" s="115"/>
      <c r="M852" s="115"/>
      <c r="N852" s="115"/>
      <c r="O852" s="115"/>
      <c r="P852" s="115"/>
    </row>
    <row r="853" spans="10:16" ht="12.5" x14ac:dyDescent="0.25">
      <c r="J853" s="115"/>
      <c r="K853" s="115"/>
      <c r="L853" s="115"/>
      <c r="M853" s="115"/>
      <c r="N853" s="115"/>
      <c r="O853" s="115"/>
      <c r="P853" s="115"/>
    </row>
    <row r="854" spans="10:16" ht="12.5" x14ac:dyDescent="0.25">
      <c r="J854" s="115"/>
      <c r="K854" s="115"/>
      <c r="L854" s="115"/>
      <c r="M854" s="115"/>
      <c r="N854" s="115"/>
      <c r="O854" s="115"/>
      <c r="P854" s="115"/>
    </row>
    <row r="855" spans="10:16" ht="12.5" x14ac:dyDescent="0.25">
      <c r="J855" s="115"/>
      <c r="K855" s="115"/>
      <c r="L855" s="115"/>
      <c r="M855" s="115"/>
      <c r="N855" s="115"/>
      <c r="O855" s="115"/>
      <c r="P855" s="115"/>
    </row>
    <row r="856" spans="10:16" ht="12.5" x14ac:dyDescent="0.25">
      <c r="J856" s="115"/>
      <c r="K856" s="115"/>
      <c r="L856" s="115"/>
      <c r="M856" s="115"/>
      <c r="N856" s="115"/>
      <c r="O856" s="115"/>
      <c r="P856" s="115"/>
    </row>
    <row r="857" spans="10:16" ht="12.5" x14ac:dyDescent="0.25">
      <c r="J857" s="115"/>
      <c r="K857" s="115"/>
      <c r="L857" s="115"/>
      <c r="M857" s="115"/>
      <c r="N857" s="115"/>
      <c r="O857" s="115"/>
      <c r="P857" s="115"/>
    </row>
    <row r="858" spans="10:16" ht="12.5" x14ac:dyDescent="0.25">
      <c r="J858" s="115"/>
      <c r="K858" s="115"/>
      <c r="L858" s="115"/>
      <c r="M858" s="115"/>
      <c r="N858" s="115"/>
      <c r="O858" s="115"/>
      <c r="P858" s="115"/>
    </row>
    <row r="859" spans="10:16" ht="12.5" x14ac:dyDescent="0.25">
      <c r="J859" s="115"/>
      <c r="K859" s="115"/>
      <c r="L859" s="115"/>
      <c r="M859" s="115"/>
      <c r="N859" s="115"/>
      <c r="O859" s="115"/>
      <c r="P859" s="115"/>
    </row>
    <row r="860" spans="10:16" ht="12.5" x14ac:dyDescent="0.25">
      <c r="J860" s="115"/>
      <c r="K860" s="115"/>
      <c r="L860" s="115"/>
      <c r="M860" s="115"/>
      <c r="N860" s="115"/>
      <c r="O860" s="115"/>
      <c r="P860" s="115"/>
    </row>
    <row r="861" spans="10:16" ht="12.5" x14ac:dyDescent="0.25">
      <c r="J861" s="115"/>
      <c r="K861" s="115"/>
      <c r="L861" s="115"/>
      <c r="M861" s="115"/>
      <c r="N861" s="115"/>
      <c r="O861" s="115"/>
      <c r="P861" s="115"/>
    </row>
    <row r="862" spans="10:16" ht="12.5" x14ac:dyDescent="0.25">
      <c r="J862" s="115"/>
      <c r="K862" s="115"/>
      <c r="L862" s="115"/>
      <c r="M862" s="115"/>
      <c r="N862" s="115"/>
      <c r="O862" s="115"/>
      <c r="P862" s="115"/>
    </row>
    <row r="863" spans="10:16" ht="12.5" x14ac:dyDescent="0.25">
      <c r="J863" s="115"/>
      <c r="K863" s="115"/>
      <c r="L863" s="115"/>
      <c r="M863" s="115"/>
      <c r="N863" s="115"/>
      <c r="O863" s="115"/>
      <c r="P863" s="115"/>
    </row>
    <row r="864" spans="10:16" ht="12.5" x14ac:dyDescent="0.25">
      <c r="J864" s="115"/>
      <c r="K864" s="115"/>
      <c r="L864" s="115"/>
      <c r="M864" s="115"/>
      <c r="N864" s="115"/>
      <c r="O864" s="115"/>
      <c r="P864" s="115"/>
    </row>
    <row r="865" spans="10:16" ht="12.5" x14ac:dyDescent="0.25">
      <c r="J865" s="115"/>
      <c r="K865" s="115"/>
      <c r="L865" s="115"/>
      <c r="M865" s="115"/>
      <c r="N865" s="115"/>
      <c r="O865" s="115"/>
      <c r="P865" s="115"/>
    </row>
    <row r="866" spans="10:16" ht="12.5" x14ac:dyDescent="0.25">
      <c r="J866" s="115"/>
      <c r="K866" s="115"/>
      <c r="L866" s="115"/>
      <c r="M866" s="115"/>
      <c r="N866" s="115"/>
      <c r="O866" s="115"/>
      <c r="P866" s="115"/>
    </row>
    <row r="867" spans="10:16" ht="12.5" x14ac:dyDescent="0.25">
      <c r="J867" s="115"/>
      <c r="K867" s="115"/>
      <c r="L867" s="115"/>
      <c r="M867" s="115"/>
      <c r="N867" s="115"/>
      <c r="O867" s="115"/>
      <c r="P867" s="115"/>
    </row>
    <row r="868" spans="10:16" ht="12.5" x14ac:dyDescent="0.25">
      <c r="J868" s="115"/>
      <c r="K868" s="115"/>
      <c r="L868" s="115"/>
      <c r="M868" s="115"/>
      <c r="N868" s="115"/>
      <c r="O868" s="115"/>
      <c r="P868" s="115"/>
    </row>
    <row r="869" spans="10:16" ht="12.5" x14ac:dyDescent="0.25">
      <c r="J869" s="115"/>
      <c r="K869" s="115"/>
      <c r="L869" s="115"/>
      <c r="M869" s="115"/>
      <c r="N869" s="115"/>
      <c r="O869" s="115"/>
      <c r="P869" s="115"/>
    </row>
    <row r="870" spans="10:16" ht="12.5" x14ac:dyDescent="0.25">
      <c r="J870" s="115"/>
      <c r="K870" s="115"/>
      <c r="L870" s="115"/>
      <c r="M870" s="115"/>
      <c r="N870" s="115"/>
      <c r="O870" s="115"/>
      <c r="P870" s="115"/>
    </row>
    <row r="871" spans="10:16" ht="12.5" x14ac:dyDescent="0.25">
      <c r="J871" s="115"/>
      <c r="K871" s="115"/>
      <c r="L871" s="115"/>
      <c r="M871" s="115"/>
      <c r="N871" s="115"/>
      <c r="O871" s="115"/>
      <c r="P871" s="115"/>
    </row>
    <row r="872" spans="10:16" ht="12.5" x14ac:dyDescent="0.25">
      <c r="J872" s="115"/>
      <c r="K872" s="115"/>
      <c r="L872" s="115"/>
      <c r="M872" s="115"/>
      <c r="N872" s="115"/>
      <c r="O872" s="115"/>
      <c r="P872" s="115"/>
    </row>
    <row r="873" spans="10:16" ht="12.5" x14ac:dyDescent="0.25">
      <c r="J873" s="115"/>
      <c r="K873" s="115"/>
      <c r="L873" s="115"/>
      <c r="M873" s="115"/>
      <c r="N873" s="115"/>
      <c r="O873" s="115"/>
      <c r="P873" s="115"/>
    </row>
    <row r="874" spans="10:16" ht="12.5" x14ac:dyDescent="0.25">
      <c r="J874" s="115"/>
      <c r="K874" s="115"/>
      <c r="L874" s="115"/>
      <c r="M874" s="115"/>
      <c r="N874" s="115"/>
      <c r="O874" s="115"/>
      <c r="P874" s="115"/>
    </row>
    <row r="875" spans="10:16" ht="12.5" x14ac:dyDescent="0.25">
      <c r="J875" s="115"/>
      <c r="K875" s="115"/>
      <c r="L875" s="115"/>
      <c r="M875" s="115"/>
      <c r="N875" s="115"/>
      <c r="O875" s="115"/>
      <c r="P875" s="115"/>
    </row>
    <row r="876" spans="10:16" ht="12.5" x14ac:dyDescent="0.25">
      <c r="J876" s="115"/>
      <c r="K876" s="115"/>
      <c r="L876" s="115"/>
      <c r="M876" s="115"/>
      <c r="N876" s="115"/>
      <c r="O876" s="115"/>
      <c r="P876" s="115"/>
    </row>
    <row r="877" spans="10:16" ht="12.5" x14ac:dyDescent="0.25">
      <c r="J877" s="115"/>
      <c r="K877" s="115"/>
      <c r="L877" s="115"/>
      <c r="M877" s="115"/>
      <c r="N877" s="115"/>
      <c r="O877" s="115"/>
      <c r="P877" s="115"/>
    </row>
    <row r="878" spans="10:16" ht="12.5" x14ac:dyDescent="0.25">
      <c r="J878" s="115"/>
      <c r="K878" s="115"/>
      <c r="L878" s="115"/>
      <c r="M878" s="115"/>
      <c r="N878" s="115"/>
      <c r="O878" s="115"/>
      <c r="P878" s="115"/>
    </row>
    <row r="879" spans="10:16" ht="12.5" x14ac:dyDescent="0.25">
      <c r="J879" s="115"/>
      <c r="K879" s="115"/>
      <c r="L879" s="115"/>
      <c r="M879" s="115"/>
      <c r="N879" s="115"/>
      <c r="O879" s="115"/>
      <c r="P879" s="115"/>
    </row>
    <row r="880" spans="10:16" ht="12.5" x14ac:dyDescent="0.25">
      <c r="J880" s="115"/>
      <c r="K880" s="115"/>
      <c r="L880" s="115"/>
      <c r="M880" s="115"/>
      <c r="N880" s="115"/>
      <c r="O880" s="115"/>
      <c r="P880" s="115"/>
    </row>
    <row r="881" spans="10:16" ht="12.5" x14ac:dyDescent="0.25">
      <c r="J881" s="115"/>
      <c r="K881" s="115"/>
      <c r="L881" s="115"/>
      <c r="M881" s="115"/>
      <c r="N881" s="115"/>
      <c r="O881" s="115"/>
      <c r="P881" s="115"/>
    </row>
    <row r="882" spans="10:16" ht="12.5" x14ac:dyDescent="0.25">
      <c r="J882" s="115"/>
      <c r="K882" s="115"/>
      <c r="L882" s="115"/>
      <c r="M882" s="115"/>
      <c r="N882" s="115"/>
      <c r="O882" s="115"/>
      <c r="P882" s="115"/>
    </row>
    <row r="883" spans="10:16" ht="12.5" x14ac:dyDescent="0.25">
      <c r="J883" s="115"/>
      <c r="K883" s="115"/>
      <c r="L883" s="115"/>
      <c r="M883" s="115"/>
      <c r="N883" s="115"/>
      <c r="O883" s="115"/>
      <c r="P883" s="115"/>
    </row>
    <row r="884" spans="10:16" ht="12.5" x14ac:dyDescent="0.25">
      <c r="J884" s="115"/>
      <c r="K884" s="115"/>
      <c r="L884" s="115"/>
      <c r="M884" s="115"/>
      <c r="N884" s="115"/>
      <c r="O884" s="115"/>
      <c r="P884" s="115"/>
    </row>
    <row r="885" spans="10:16" ht="12.5" x14ac:dyDescent="0.25">
      <c r="J885" s="115"/>
      <c r="K885" s="115"/>
      <c r="L885" s="115"/>
      <c r="M885" s="115"/>
      <c r="N885" s="115"/>
      <c r="O885" s="115"/>
      <c r="P885" s="115"/>
    </row>
    <row r="886" spans="10:16" ht="12.5" x14ac:dyDescent="0.25">
      <c r="J886" s="115"/>
      <c r="K886" s="115"/>
      <c r="L886" s="115"/>
      <c r="M886" s="115"/>
      <c r="N886" s="115"/>
      <c r="O886" s="115"/>
      <c r="P886" s="115"/>
    </row>
    <row r="887" spans="10:16" ht="12.5" x14ac:dyDescent="0.25">
      <c r="J887" s="115"/>
      <c r="K887" s="115"/>
      <c r="L887" s="115"/>
      <c r="M887" s="115"/>
      <c r="N887" s="115"/>
      <c r="O887" s="115"/>
      <c r="P887" s="115"/>
    </row>
    <row r="888" spans="10:16" ht="12.5" x14ac:dyDescent="0.25">
      <c r="J888" s="115"/>
      <c r="K888" s="115"/>
      <c r="L888" s="115"/>
      <c r="M888" s="115"/>
      <c r="N888" s="115"/>
      <c r="O888" s="115"/>
      <c r="P888" s="115"/>
    </row>
    <row r="889" spans="10:16" ht="12.5" x14ac:dyDescent="0.25">
      <c r="J889" s="115"/>
      <c r="K889" s="115"/>
      <c r="L889" s="115"/>
      <c r="M889" s="115"/>
      <c r="N889" s="115"/>
      <c r="O889" s="115"/>
      <c r="P889" s="115"/>
    </row>
    <row r="890" spans="10:16" ht="12.5" x14ac:dyDescent="0.25">
      <c r="J890" s="115"/>
      <c r="K890" s="115"/>
      <c r="L890" s="115"/>
      <c r="M890" s="115"/>
      <c r="N890" s="115"/>
      <c r="O890" s="115"/>
      <c r="P890" s="115"/>
    </row>
    <row r="891" spans="10:16" ht="12.5" x14ac:dyDescent="0.25">
      <c r="J891" s="115"/>
      <c r="K891" s="115"/>
      <c r="L891" s="115"/>
      <c r="M891" s="115"/>
      <c r="N891" s="115"/>
      <c r="O891" s="115"/>
      <c r="P891" s="115"/>
    </row>
    <row r="892" spans="10:16" ht="12.5" x14ac:dyDescent="0.25">
      <c r="J892" s="115"/>
      <c r="K892" s="115"/>
      <c r="L892" s="115"/>
      <c r="M892" s="115"/>
      <c r="N892" s="115"/>
      <c r="O892" s="115"/>
      <c r="P892" s="115"/>
    </row>
    <row r="893" spans="10:16" ht="12.5" x14ac:dyDescent="0.25">
      <c r="J893" s="115"/>
      <c r="K893" s="115"/>
      <c r="L893" s="115"/>
      <c r="M893" s="115"/>
      <c r="N893" s="115"/>
      <c r="O893" s="115"/>
      <c r="P893" s="115"/>
    </row>
    <row r="894" spans="10:16" ht="12.5" x14ac:dyDescent="0.25">
      <c r="J894" s="115"/>
      <c r="K894" s="115"/>
      <c r="L894" s="115"/>
      <c r="M894" s="115"/>
      <c r="N894" s="115"/>
      <c r="O894" s="115"/>
      <c r="P894" s="115"/>
    </row>
    <row r="895" spans="10:16" ht="12.5" x14ac:dyDescent="0.25">
      <c r="J895" s="115"/>
      <c r="K895" s="115"/>
      <c r="L895" s="115"/>
      <c r="M895" s="115"/>
      <c r="N895" s="115"/>
      <c r="O895" s="115"/>
      <c r="P895" s="115"/>
    </row>
    <row r="896" spans="10:16" ht="12.5" x14ac:dyDescent="0.25">
      <c r="J896" s="115"/>
      <c r="K896" s="115"/>
      <c r="L896" s="115"/>
      <c r="M896" s="115"/>
      <c r="N896" s="115"/>
      <c r="O896" s="115"/>
      <c r="P896" s="115"/>
    </row>
    <row r="897" spans="10:16" ht="12.5" x14ac:dyDescent="0.25">
      <c r="J897" s="115"/>
      <c r="K897" s="115"/>
      <c r="L897" s="115"/>
      <c r="M897" s="115"/>
      <c r="N897" s="115"/>
      <c r="O897" s="115"/>
      <c r="P897" s="115"/>
    </row>
    <row r="898" spans="10:16" ht="12.5" x14ac:dyDescent="0.25">
      <c r="J898" s="115"/>
      <c r="K898" s="115"/>
      <c r="L898" s="115"/>
      <c r="M898" s="115"/>
      <c r="N898" s="115"/>
      <c r="O898" s="115"/>
      <c r="P898" s="115"/>
    </row>
    <row r="899" spans="10:16" ht="12.5" x14ac:dyDescent="0.25">
      <c r="J899" s="115"/>
      <c r="K899" s="115"/>
      <c r="L899" s="115"/>
      <c r="M899" s="115"/>
      <c r="N899" s="115"/>
      <c r="O899" s="115"/>
      <c r="P899" s="115"/>
    </row>
    <row r="900" spans="10:16" ht="12.5" x14ac:dyDescent="0.25">
      <c r="J900" s="115"/>
      <c r="K900" s="115"/>
      <c r="L900" s="115"/>
      <c r="M900" s="115"/>
      <c r="N900" s="115"/>
      <c r="O900" s="115"/>
      <c r="P900" s="115"/>
    </row>
    <row r="901" spans="10:16" ht="12.5" x14ac:dyDescent="0.25">
      <c r="J901" s="115"/>
      <c r="K901" s="115"/>
      <c r="L901" s="115"/>
      <c r="M901" s="115"/>
      <c r="N901" s="115"/>
      <c r="O901" s="115"/>
      <c r="P901" s="115"/>
    </row>
    <row r="902" spans="10:16" ht="12.5" x14ac:dyDescent="0.25">
      <c r="J902" s="115"/>
      <c r="K902" s="115"/>
      <c r="L902" s="115"/>
      <c r="M902" s="115"/>
      <c r="N902" s="115"/>
      <c r="O902" s="115"/>
      <c r="P902" s="115"/>
    </row>
    <row r="903" spans="10:16" ht="12.5" x14ac:dyDescent="0.25">
      <c r="J903" s="115"/>
      <c r="K903" s="115"/>
      <c r="L903" s="115"/>
      <c r="M903" s="115"/>
      <c r="N903" s="115"/>
      <c r="O903" s="115"/>
      <c r="P903" s="115"/>
    </row>
    <row r="904" spans="10:16" ht="12.5" x14ac:dyDescent="0.25">
      <c r="J904" s="115"/>
      <c r="K904" s="115"/>
      <c r="L904" s="115"/>
      <c r="M904" s="115"/>
      <c r="N904" s="115"/>
      <c r="O904" s="115"/>
      <c r="P904" s="115"/>
    </row>
    <row r="905" spans="10:16" ht="12.5" x14ac:dyDescent="0.25">
      <c r="J905" s="115"/>
      <c r="K905" s="115"/>
      <c r="L905" s="115"/>
      <c r="M905" s="115"/>
      <c r="N905" s="115"/>
      <c r="O905" s="115"/>
      <c r="P905" s="115"/>
    </row>
    <row r="906" spans="10:16" ht="12.5" x14ac:dyDescent="0.25">
      <c r="J906" s="115"/>
      <c r="K906" s="115"/>
      <c r="L906" s="115"/>
      <c r="M906" s="115"/>
      <c r="N906" s="115"/>
      <c r="O906" s="115"/>
      <c r="P906" s="115"/>
    </row>
    <row r="907" spans="10:16" ht="12.5" x14ac:dyDescent="0.25">
      <c r="J907" s="115"/>
      <c r="K907" s="115"/>
      <c r="L907" s="115"/>
      <c r="M907" s="115"/>
      <c r="N907" s="115"/>
      <c r="O907" s="115"/>
      <c r="P907" s="115"/>
    </row>
    <row r="908" spans="10:16" ht="12.5" x14ac:dyDescent="0.25">
      <c r="J908" s="115"/>
      <c r="K908" s="115"/>
      <c r="L908" s="115"/>
      <c r="M908" s="115"/>
      <c r="N908" s="115"/>
      <c r="O908" s="115"/>
      <c r="P908" s="115"/>
    </row>
    <row r="909" spans="10:16" ht="12.5" x14ac:dyDescent="0.25">
      <c r="J909" s="115"/>
      <c r="K909" s="115"/>
      <c r="L909" s="115"/>
      <c r="M909" s="115"/>
      <c r="N909" s="115"/>
      <c r="O909" s="115"/>
      <c r="P909" s="115"/>
    </row>
    <row r="910" spans="10:16" ht="12.5" x14ac:dyDescent="0.25">
      <c r="J910" s="115"/>
      <c r="K910" s="115"/>
      <c r="L910" s="115"/>
      <c r="M910" s="115"/>
      <c r="N910" s="115"/>
      <c r="O910" s="115"/>
      <c r="P910" s="115"/>
    </row>
    <row r="911" spans="10:16" ht="12.5" x14ac:dyDescent="0.25">
      <c r="J911" s="115"/>
      <c r="K911" s="115"/>
      <c r="L911" s="115"/>
      <c r="M911" s="115"/>
      <c r="N911" s="115"/>
      <c r="O911" s="115"/>
      <c r="P911" s="115"/>
    </row>
    <row r="912" spans="10:16" ht="12.5" x14ac:dyDescent="0.25">
      <c r="J912" s="115"/>
      <c r="K912" s="115"/>
      <c r="L912" s="115"/>
      <c r="M912" s="115"/>
      <c r="N912" s="115"/>
      <c r="O912" s="115"/>
      <c r="P912" s="115"/>
    </row>
    <row r="913" spans="10:16" ht="12.5" x14ac:dyDescent="0.25">
      <c r="J913" s="115"/>
      <c r="K913" s="115"/>
      <c r="L913" s="115"/>
      <c r="M913" s="115"/>
      <c r="N913" s="115"/>
      <c r="O913" s="115"/>
      <c r="P913" s="115"/>
    </row>
    <row r="914" spans="10:16" ht="12.5" x14ac:dyDescent="0.25">
      <c r="J914" s="115"/>
      <c r="K914" s="115"/>
      <c r="L914" s="115"/>
      <c r="M914" s="115"/>
      <c r="N914" s="115"/>
      <c r="O914" s="115"/>
      <c r="P914" s="115"/>
    </row>
    <row r="915" spans="10:16" ht="12.5" x14ac:dyDescent="0.25">
      <c r="J915" s="115"/>
      <c r="K915" s="115"/>
      <c r="L915" s="115"/>
      <c r="M915" s="115"/>
      <c r="N915" s="115"/>
      <c r="O915" s="115"/>
      <c r="P915" s="115"/>
    </row>
    <row r="916" spans="10:16" ht="12.5" x14ac:dyDescent="0.25">
      <c r="J916" s="115"/>
      <c r="K916" s="115"/>
      <c r="L916" s="115"/>
      <c r="M916" s="115"/>
      <c r="N916" s="115"/>
      <c r="O916" s="115"/>
      <c r="P916" s="115"/>
    </row>
    <row r="917" spans="10:16" ht="12.5" x14ac:dyDescent="0.25">
      <c r="J917" s="115"/>
      <c r="K917" s="115"/>
      <c r="L917" s="115"/>
      <c r="M917" s="115"/>
      <c r="N917" s="115"/>
      <c r="O917" s="115"/>
      <c r="P917" s="115"/>
    </row>
    <row r="918" spans="10:16" ht="12.5" x14ac:dyDescent="0.25">
      <c r="J918" s="115"/>
      <c r="K918" s="115"/>
      <c r="L918" s="115"/>
      <c r="M918" s="115"/>
      <c r="N918" s="115"/>
      <c r="O918" s="115"/>
      <c r="P918" s="115"/>
    </row>
    <row r="919" spans="10:16" ht="12.5" x14ac:dyDescent="0.25">
      <c r="J919" s="115"/>
      <c r="K919" s="115"/>
      <c r="L919" s="115"/>
      <c r="M919" s="115"/>
      <c r="N919" s="115"/>
      <c r="O919" s="115"/>
      <c r="P919" s="115"/>
    </row>
    <row r="920" spans="10:16" ht="12.5" x14ac:dyDescent="0.25">
      <c r="J920" s="115"/>
      <c r="K920" s="115"/>
      <c r="L920" s="115"/>
      <c r="M920" s="115"/>
      <c r="N920" s="115"/>
      <c r="O920" s="115"/>
      <c r="P920" s="115"/>
    </row>
    <row r="921" spans="10:16" ht="12.5" x14ac:dyDescent="0.25">
      <c r="J921" s="115"/>
      <c r="K921" s="115"/>
      <c r="L921" s="115"/>
      <c r="M921" s="115"/>
      <c r="N921" s="115"/>
      <c r="O921" s="115"/>
      <c r="P921" s="115"/>
    </row>
    <row r="922" spans="10:16" ht="12.5" x14ac:dyDescent="0.25">
      <c r="J922" s="115"/>
      <c r="K922" s="115"/>
      <c r="L922" s="115"/>
      <c r="M922" s="115"/>
      <c r="N922" s="115"/>
      <c r="O922" s="115"/>
      <c r="P922" s="115"/>
    </row>
    <row r="923" spans="10:16" ht="12.5" x14ac:dyDescent="0.25">
      <c r="J923" s="115"/>
      <c r="K923" s="115"/>
      <c r="L923" s="115"/>
      <c r="M923" s="115"/>
      <c r="N923" s="115"/>
      <c r="O923" s="115"/>
      <c r="P923" s="115"/>
    </row>
    <row r="924" spans="10:16" ht="12.5" x14ac:dyDescent="0.25">
      <c r="J924" s="115"/>
      <c r="K924" s="115"/>
      <c r="L924" s="115"/>
      <c r="M924" s="115"/>
      <c r="N924" s="115"/>
      <c r="O924" s="115"/>
      <c r="P924" s="115"/>
    </row>
    <row r="925" spans="10:16" ht="12.5" x14ac:dyDescent="0.25">
      <c r="J925" s="115"/>
      <c r="K925" s="115"/>
      <c r="L925" s="115"/>
      <c r="M925" s="115"/>
      <c r="N925" s="115"/>
      <c r="O925" s="115"/>
      <c r="P925" s="115"/>
    </row>
    <row r="926" spans="10:16" ht="12.5" x14ac:dyDescent="0.25">
      <c r="J926" s="115"/>
      <c r="K926" s="115"/>
      <c r="L926" s="115"/>
      <c r="M926" s="115"/>
      <c r="N926" s="115"/>
      <c r="O926" s="115"/>
      <c r="P926" s="115"/>
    </row>
    <row r="927" spans="10:16" ht="12.5" x14ac:dyDescent="0.25">
      <c r="J927" s="115"/>
      <c r="K927" s="115"/>
      <c r="L927" s="115"/>
      <c r="M927" s="115"/>
      <c r="N927" s="115"/>
      <c r="O927" s="115"/>
      <c r="P927" s="115"/>
    </row>
    <row r="928" spans="10:16" ht="12.5" x14ac:dyDescent="0.25">
      <c r="J928" s="115"/>
      <c r="K928" s="115"/>
      <c r="L928" s="115"/>
      <c r="M928" s="115"/>
      <c r="N928" s="115"/>
      <c r="O928" s="115"/>
      <c r="P928" s="115"/>
    </row>
    <row r="929" spans="10:16" ht="12.5" x14ac:dyDescent="0.25">
      <c r="J929" s="115"/>
      <c r="K929" s="115"/>
      <c r="L929" s="115"/>
      <c r="M929" s="115"/>
      <c r="N929" s="115"/>
      <c r="O929" s="115"/>
      <c r="P929" s="115"/>
    </row>
    <row r="930" spans="10:16" ht="12.5" x14ac:dyDescent="0.25">
      <c r="J930" s="115"/>
      <c r="K930" s="115"/>
      <c r="L930" s="115"/>
      <c r="M930" s="115"/>
      <c r="N930" s="115"/>
      <c r="O930" s="115"/>
      <c r="P930" s="115"/>
    </row>
    <row r="931" spans="10:16" ht="12.5" x14ac:dyDescent="0.25">
      <c r="J931" s="115"/>
      <c r="K931" s="115"/>
      <c r="L931" s="115"/>
      <c r="M931" s="115"/>
      <c r="N931" s="115"/>
      <c r="O931" s="115"/>
      <c r="P931" s="115"/>
    </row>
    <row r="932" spans="10:16" ht="12.5" x14ac:dyDescent="0.25">
      <c r="J932" s="115"/>
      <c r="K932" s="115"/>
      <c r="L932" s="115"/>
      <c r="M932" s="115"/>
      <c r="N932" s="115"/>
      <c r="O932" s="115"/>
      <c r="P932" s="115"/>
    </row>
    <row r="933" spans="10:16" ht="12.5" x14ac:dyDescent="0.25">
      <c r="J933" s="115"/>
      <c r="K933" s="115"/>
      <c r="L933" s="115"/>
      <c r="M933" s="115"/>
      <c r="N933" s="115"/>
      <c r="O933" s="115"/>
      <c r="P933" s="115"/>
    </row>
    <row r="934" spans="10:16" ht="12.5" x14ac:dyDescent="0.25">
      <c r="J934" s="115"/>
      <c r="K934" s="115"/>
      <c r="L934" s="115"/>
      <c r="M934" s="115"/>
      <c r="N934" s="115"/>
      <c r="O934" s="115"/>
      <c r="P934" s="115"/>
    </row>
    <row r="935" spans="10:16" ht="12.5" x14ac:dyDescent="0.25">
      <c r="J935" s="115"/>
      <c r="K935" s="115"/>
      <c r="L935" s="115"/>
      <c r="M935" s="115"/>
      <c r="N935" s="115"/>
      <c r="O935" s="115"/>
      <c r="P935" s="115"/>
    </row>
    <row r="936" spans="10:16" ht="12.5" x14ac:dyDescent="0.25">
      <c r="J936" s="115"/>
      <c r="K936" s="115"/>
      <c r="L936" s="115"/>
      <c r="M936" s="115"/>
      <c r="N936" s="115"/>
      <c r="O936" s="115"/>
      <c r="P936" s="115"/>
    </row>
    <row r="937" spans="10:16" ht="12.5" x14ac:dyDescent="0.25">
      <c r="J937" s="115"/>
      <c r="K937" s="115"/>
      <c r="L937" s="115"/>
      <c r="M937" s="115"/>
      <c r="N937" s="115"/>
      <c r="O937" s="115"/>
      <c r="P937" s="115"/>
    </row>
    <row r="938" spans="10:16" ht="12.5" x14ac:dyDescent="0.25">
      <c r="J938" s="115"/>
      <c r="K938" s="115"/>
      <c r="L938" s="115"/>
      <c r="M938" s="115"/>
      <c r="N938" s="115"/>
      <c r="O938" s="115"/>
      <c r="P938" s="115"/>
    </row>
    <row r="939" spans="10:16" ht="12.5" x14ac:dyDescent="0.25">
      <c r="J939" s="115"/>
      <c r="K939" s="115"/>
      <c r="L939" s="115"/>
      <c r="M939" s="115"/>
      <c r="N939" s="115"/>
      <c r="O939" s="115"/>
      <c r="P939" s="115"/>
    </row>
    <row r="940" spans="10:16" ht="12.5" x14ac:dyDescent="0.25">
      <c r="J940" s="115"/>
      <c r="K940" s="115"/>
      <c r="L940" s="115"/>
      <c r="M940" s="115"/>
      <c r="N940" s="115"/>
      <c r="O940" s="115"/>
      <c r="P940" s="115"/>
    </row>
    <row r="941" spans="10:16" ht="12.5" x14ac:dyDescent="0.25">
      <c r="J941" s="115"/>
      <c r="K941" s="115"/>
      <c r="L941" s="115"/>
      <c r="M941" s="115"/>
      <c r="N941" s="115"/>
      <c r="O941" s="115"/>
      <c r="P941" s="115"/>
    </row>
    <row r="942" spans="10:16" ht="12.5" x14ac:dyDescent="0.25">
      <c r="J942" s="115"/>
      <c r="K942" s="115"/>
      <c r="L942" s="115"/>
      <c r="M942" s="115"/>
      <c r="N942" s="115"/>
      <c r="O942" s="115"/>
      <c r="P942" s="115"/>
    </row>
    <row r="943" spans="10:16" ht="12.5" x14ac:dyDescent="0.25">
      <c r="J943" s="115"/>
      <c r="K943" s="115"/>
      <c r="L943" s="115"/>
      <c r="M943" s="115"/>
      <c r="N943" s="115"/>
      <c r="O943" s="115"/>
      <c r="P943" s="115"/>
    </row>
    <row r="944" spans="10:16" ht="12.5" x14ac:dyDescent="0.25">
      <c r="J944" s="115"/>
      <c r="K944" s="115"/>
      <c r="L944" s="115"/>
      <c r="M944" s="115"/>
      <c r="N944" s="115"/>
      <c r="O944" s="115"/>
      <c r="P944" s="115"/>
    </row>
    <row r="945" spans="10:16" ht="12.5" x14ac:dyDescent="0.25">
      <c r="J945" s="115"/>
      <c r="K945" s="115"/>
      <c r="L945" s="115"/>
      <c r="M945" s="115"/>
      <c r="N945" s="115"/>
      <c r="O945" s="115"/>
      <c r="P945" s="115"/>
    </row>
    <row r="946" spans="10:16" ht="12.5" x14ac:dyDescent="0.25">
      <c r="J946" s="115"/>
      <c r="K946" s="115"/>
      <c r="L946" s="115"/>
      <c r="M946" s="115"/>
      <c r="N946" s="115"/>
      <c r="O946" s="115"/>
      <c r="P946" s="115"/>
    </row>
    <row r="947" spans="10:16" ht="12.5" x14ac:dyDescent="0.25">
      <c r="J947" s="115"/>
      <c r="K947" s="115"/>
      <c r="L947" s="115"/>
      <c r="M947" s="115"/>
      <c r="N947" s="115"/>
      <c r="O947" s="115"/>
      <c r="P947" s="115"/>
    </row>
    <row r="948" spans="10:16" ht="12.5" x14ac:dyDescent="0.25">
      <c r="J948" s="115"/>
      <c r="K948" s="115"/>
      <c r="L948" s="115"/>
      <c r="M948" s="115"/>
      <c r="N948" s="115"/>
      <c r="O948" s="115"/>
      <c r="P948" s="115"/>
    </row>
    <row r="949" spans="10:16" ht="12.5" x14ac:dyDescent="0.25">
      <c r="J949" s="115"/>
      <c r="K949" s="115"/>
      <c r="L949" s="115"/>
      <c r="M949" s="115"/>
      <c r="N949" s="115"/>
      <c r="O949" s="115"/>
      <c r="P949" s="115"/>
    </row>
    <row r="950" spans="10:16" ht="12.5" x14ac:dyDescent="0.25">
      <c r="J950" s="115"/>
      <c r="K950" s="115"/>
      <c r="L950" s="115"/>
      <c r="M950" s="115"/>
      <c r="N950" s="115"/>
      <c r="O950" s="115"/>
      <c r="P950" s="115"/>
    </row>
    <row r="951" spans="10:16" ht="12.5" x14ac:dyDescent="0.25">
      <c r="J951" s="115"/>
      <c r="K951" s="115"/>
      <c r="L951" s="115"/>
      <c r="M951" s="115"/>
      <c r="N951" s="115"/>
      <c r="O951" s="115"/>
      <c r="P951" s="115"/>
    </row>
    <row r="952" spans="10:16" ht="12.5" x14ac:dyDescent="0.25">
      <c r="J952" s="115"/>
      <c r="K952" s="115"/>
      <c r="L952" s="115"/>
      <c r="M952" s="115"/>
      <c r="N952" s="115"/>
      <c r="O952" s="115"/>
      <c r="P952" s="115"/>
    </row>
    <row r="953" spans="10:16" ht="12.5" x14ac:dyDescent="0.25">
      <c r="J953" s="115"/>
      <c r="K953" s="115"/>
      <c r="L953" s="115"/>
      <c r="M953" s="115"/>
      <c r="N953" s="115"/>
      <c r="O953" s="115"/>
      <c r="P953" s="115"/>
    </row>
    <row r="954" spans="10:16" ht="12.5" x14ac:dyDescent="0.25">
      <c r="J954" s="115"/>
      <c r="K954" s="115"/>
      <c r="L954" s="115"/>
      <c r="M954" s="115"/>
      <c r="N954" s="115"/>
      <c r="O954" s="115"/>
      <c r="P954" s="115"/>
    </row>
    <row r="955" spans="10:16" ht="12.5" x14ac:dyDescent="0.25">
      <c r="J955" s="115"/>
      <c r="K955" s="115"/>
      <c r="L955" s="115"/>
      <c r="M955" s="115"/>
      <c r="N955" s="115"/>
      <c r="O955" s="115"/>
      <c r="P955" s="115"/>
    </row>
    <row r="956" spans="10:16" ht="12.5" x14ac:dyDescent="0.25">
      <c r="J956" s="115"/>
      <c r="K956" s="115"/>
      <c r="L956" s="115"/>
      <c r="M956" s="115"/>
      <c r="N956" s="115"/>
      <c r="O956" s="115"/>
      <c r="P956" s="115"/>
    </row>
    <row r="957" spans="10:16" ht="12.5" x14ac:dyDescent="0.25">
      <c r="J957" s="115"/>
      <c r="K957" s="115"/>
      <c r="L957" s="115"/>
      <c r="M957" s="115"/>
      <c r="N957" s="115"/>
      <c r="O957" s="115"/>
      <c r="P957" s="115"/>
    </row>
    <row r="958" spans="10:16" ht="12.5" x14ac:dyDescent="0.25">
      <c r="J958" s="115"/>
      <c r="K958" s="115"/>
      <c r="L958" s="115"/>
      <c r="M958" s="115"/>
      <c r="N958" s="115"/>
      <c r="O958" s="115"/>
      <c r="P958" s="115"/>
    </row>
    <row r="959" spans="10:16" ht="12.5" x14ac:dyDescent="0.25">
      <c r="J959" s="115"/>
      <c r="K959" s="115"/>
      <c r="L959" s="115"/>
      <c r="M959" s="115"/>
      <c r="N959" s="115"/>
      <c r="O959" s="115"/>
      <c r="P959" s="115"/>
    </row>
    <row r="960" spans="10:16" ht="12.5" x14ac:dyDescent="0.25">
      <c r="J960" s="115"/>
      <c r="K960" s="115"/>
      <c r="L960" s="115"/>
      <c r="M960" s="115"/>
      <c r="N960" s="115"/>
      <c r="O960" s="115"/>
      <c r="P960" s="115"/>
    </row>
    <row r="961" spans="10:16" ht="12.5" x14ac:dyDescent="0.25">
      <c r="J961" s="115"/>
      <c r="K961" s="115"/>
      <c r="L961" s="115"/>
      <c r="M961" s="115"/>
      <c r="N961" s="115"/>
      <c r="O961" s="115"/>
      <c r="P961" s="115"/>
    </row>
    <row r="962" spans="10:16" ht="12.5" x14ac:dyDescent="0.25">
      <c r="J962" s="115"/>
      <c r="K962" s="115"/>
      <c r="L962" s="115"/>
      <c r="M962" s="115"/>
      <c r="N962" s="115"/>
      <c r="O962" s="115"/>
      <c r="P962" s="115"/>
    </row>
    <row r="963" spans="10:16" ht="12.5" x14ac:dyDescent="0.25">
      <c r="J963" s="115"/>
      <c r="K963" s="115"/>
      <c r="L963" s="115"/>
      <c r="M963" s="115"/>
      <c r="N963" s="115"/>
      <c r="O963" s="115"/>
      <c r="P963" s="115"/>
    </row>
    <row r="964" spans="10:16" ht="12.5" x14ac:dyDescent="0.25">
      <c r="J964" s="115"/>
      <c r="K964" s="115"/>
      <c r="L964" s="115"/>
      <c r="M964" s="115"/>
      <c r="N964" s="115"/>
      <c r="O964" s="115"/>
      <c r="P964" s="115"/>
    </row>
    <row r="965" spans="10:16" ht="12.5" x14ac:dyDescent="0.25">
      <c r="J965" s="115"/>
      <c r="K965" s="115"/>
      <c r="L965" s="115"/>
      <c r="M965" s="115"/>
      <c r="N965" s="115"/>
      <c r="O965" s="115"/>
      <c r="P965" s="115"/>
    </row>
    <row r="966" spans="10:16" ht="12.5" x14ac:dyDescent="0.25">
      <c r="J966" s="115"/>
      <c r="K966" s="115"/>
      <c r="L966" s="115"/>
      <c r="M966" s="115"/>
      <c r="N966" s="115"/>
      <c r="O966" s="115"/>
      <c r="P966" s="115"/>
    </row>
    <row r="967" spans="10:16" ht="12.5" x14ac:dyDescent="0.25">
      <c r="J967" s="115"/>
      <c r="K967" s="115"/>
      <c r="L967" s="115"/>
      <c r="M967" s="115"/>
      <c r="N967" s="115"/>
      <c r="O967" s="115"/>
      <c r="P967" s="115"/>
    </row>
    <row r="968" spans="10:16" ht="12.5" x14ac:dyDescent="0.25">
      <c r="J968" s="115"/>
      <c r="K968" s="115"/>
      <c r="L968" s="115"/>
      <c r="M968" s="115"/>
      <c r="N968" s="115"/>
      <c r="O968" s="115"/>
      <c r="P968" s="115"/>
    </row>
    <row r="969" spans="10:16" ht="12.5" x14ac:dyDescent="0.25">
      <c r="J969" s="115"/>
      <c r="K969" s="115"/>
      <c r="L969" s="115"/>
      <c r="M969" s="115"/>
      <c r="N969" s="115"/>
      <c r="O969" s="115"/>
      <c r="P969" s="115"/>
    </row>
    <row r="970" spans="10:16" ht="12.5" x14ac:dyDescent="0.25">
      <c r="J970" s="115"/>
      <c r="K970" s="115"/>
      <c r="L970" s="115"/>
      <c r="M970" s="115"/>
      <c r="N970" s="115"/>
      <c r="O970" s="115"/>
      <c r="P970" s="115"/>
    </row>
    <row r="971" spans="10:16" ht="12.5" x14ac:dyDescent="0.25">
      <c r="J971" s="115"/>
      <c r="K971" s="115"/>
      <c r="L971" s="115"/>
      <c r="M971" s="115"/>
      <c r="N971" s="115"/>
      <c r="O971" s="115"/>
      <c r="P971" s="115"/>
    </row>
    <row r="972" spans="10:16" ht="12.5" x14ac:dyDescent="0.25">
      <c r="J972" s="115"/>
      <c r="K972" s="115"/>
      <c r="L972" s="115"/>
      <c r="M972" s="115"/>
      <c r="N972" s="115"/>
      <c r="O972" s="115"/>
      <c r="P972" s="115"/>
    </row>
    <row r="973" spans="10:16" ht="12.5" x14ac:dyDescent="0.25">
      <c r="J973" s="115"/>
      <c r="K973" s="115"/>
      <c r="L973" s="115"/>
      <c r="M973" s="115"/>
      <c r="N973" s="115"/>
      <c r="O973" s="115"/>
      <c r="P973" s="115"/>
    </row>
    <row r="974" spans="10:16" ht="12.5" x14ac:dyDescent="0.25">
      <c r="J974" s="115"/>
      <c r="K974" s="115"/>
      <c r="L974" s="115"/>
      <c r="M974" s="115"/>
      <c r="N974" s="115"/>
      <c r="O974" s="115"/>
      <c r="P974" s="115"/>
    </row>
    <row r="975" spans="10:16" ht="12.5" x14ac:dyDescent="0.25">
      <c r="J975" s="115"/>
      <c r="K975" s="115"/>
      <c r="L975" s="115"/>
      <c r="M975" s="115"/>
      <c r="N975" s="115"/>
      <c r="O975" s="115"/>
      <c r="P975" s="115"/>
    </row>
    <row r="976" spans="10:16" ht="12.5" x14ac:dyDescent="0.25">
      <c r="J976" s="115"/>
      <c r="K976" s="115"/>
      <c r="L976" s="115"/>
      <c r="M976" s="115"/>
      <c r="N976" s="115"/>
      <c r="O976" s="115"/>
      <c r="P976" s="115"/>
    </row>
    <row r="977" spans="10:16" ht="12.5" x14ac:dyDescent="0.25">
      <c r="J977" s="115"/>
      <c r="K977" s="115"/>
      <c r="L977" s="115"/>
      <c r="M977" s="115"/>
      <c r="N977" s="115"/>
      <c r="O977" s="115"/>
      <c r="P977" s="115"/>
    </row>
    <row r="978" spans="10:16" ht="12.5" x14ac:dyDescent="0.25">
      <c r="J978" s="115"/>
      <c r="K978" s="115"/>
      <c r="L978" s="115"/>
      <c r="M978" s="115"/>
      <c r="N978" s="115"/>
      <c r="O978" s="115"/>
      <c r="P978" s="115"/>
    </row>
    <row r="979" spans="10:16" ht="12.5" x14ac:dyDescent="0.25">
      <c r="J979" s="115"/>
      <c r="K979" s="115"/>
      <c r="L979" s="115"/>
      <c r="M979" s="115"/>
      <c r="N979" s="115"/>
      <c r="O979" s="115"/>
      <c r="P979" s="115"/>
    </row>
    <row r="980" spans="10:16" ht="12.5" x14ac:dyDescent="0.25">
      <c r="J980" s="115"/>
      <c r="K980" s="115"/>
      <c r="L980" s="115"/>
      <c r="M980" s="115"/>
      <c r="N980" s="115"/>
      <c r="O980" s="115"/>
      <c r="P980" s="115"/>
    </row>
    <row r="981" spans="10:16" ht="12.5" x14ac:dyDescent="0.25">
      <c r="J981" s="115"/>
      <c r="K981" s="115"/>
      <c r="L981" s="115"/>
      <c r="M981" s="115"/>
      <c r="N981" s="115"/>
      <c r="O981" s="115"/>
      <c r="P981" s="115"/>
    </row>
    <row r="982" spans="10:16" ht="12.5" x14ac:dyDescent="0.25">
      <c r="J982" s="115"/>
      <c r="K982" s="115"/>
      <c r="L982" s="115"/>
      <c r="M982" s="115"/>
      <c r="N982" s="115"/>
      <c r="O982" s="115"/>
      <c r="P982" s="115"/>
    </row>
    <row r="983" spans="10:16" ht="12.5" x14ac:dyDescent="0.25">
      <c r="J983" s="115"/>
      <c r="K983" s="115"/>
      <c r="L983" s="115"/>
      <c r="M983" s="115"/>
      <c r="N983" s="115"/>
      <c r="O983" s="115"/>
      <c r="P983" s="115"/>
    </row>
    <row r="984" spans="10:16" ht="12.5" x14ac:dyDescent="0.25">
      <c r="J984" s="115"/>
      <c r="K984" s="115"/>
      <c r="L984" s="115"/>
      <c r="M984" s="115"/>
      <c r="N984" s="115"/>
      <c r="O984" s="115"/>
      <c r="P984" s="115"/>
    </row>
    <row r="985" spans="10:16" ht="12.5" x14ac:dyDescent="0.25">
      <c r="J985" s="115"/>
      <c r="K985" s="115"/>
      <c r="L985" s="115"/>
      <c r="M985" s="115"/>
      <c r="N985" s="115"/>
      <c r="O985" s="115"/>
      <c r="P985" s="115"/>
    </row>
    <row r="986" spans="10:16" ht="12.5" x14ac:dyDescent="0.25">
      <c r="J986" s="115"/>
      <c r="K986" s="115"/>
      <c r="L986" s="115"/>
      <c r="M986" s="115"/>
      <c r="N986" s="115"/>
      <c r="O986" s="115"/>
      <c r="P986" s="115"/>
    </row>
    <row r="987" spans="10:16" ht="12.5" x14ac:dyDescent="0.25">
      <c r="J987" s="115"/>
      <c r="K987" s="115"/>
      <c r="L987" s="115"/>
      <c r="M987" s="115"/>
      <c r="N987" s="115"/>
      <c r="O987" s="115"/>
      <c r="P987" s="115"/>
    </row>
    <row r="988" spans="10:16" ht="12.5" x14ac:dyDescent="0.25">
      <c r="J988" s="115"/>
      <c r="K988" s="115"/>
      <c r="L988" s="115"/>
      <c r="M988" s="115"/>
      <c r="N988" s="115"/>
      <c r="O988" s="115"/>
      <c r="P988" s="115"/>
    </row>
    <row r="989" spans="10:16" ht="12.5" x14ac:dyDescent="0.25">
      <c r="J989" s="115"/>
      <c r="K989" s="115"/>
      <c r="L989" s="115"/>
      <c r="M989" s="115"/>
      <c r="N989" s="115"/>
      <c r="O989" s="115"/>
      <c r="P989" s="115"/>
    </row>
    <row r="990" spans="10:16" ht="12.5" x14ac:dyDescent="0.25">
      <c r="J990" s="115"/>
      <c r="K990" s="115"/>
      <c r="L990" s="115"/>
      <c r="M990" s="115"/>
      <c r="N990" s="115"/>
      <c r="O990" s="115"/>
      <c r="P990" s="115"/>
    </row>
    <row r="991" spans="10:16" ht="12.5" x14ac:dyDescent="0.25">
      <c r="J991" s="115"/>
      <c r="K991" s="115"/>
      <c r="L991" s="115"/>
      <c r="M991" s="115"/>
      <c r="N991" s="115"/>
      <c r="O991" s="115"/>
      <c r="P991" s="115"/>
    </row>
    <row r="992" spans="10:16" ht="12.5" x14ac:dyDescent="0.25">
      <c r="J992" s="115"/>
      <c r="K992" s="115"/>
      <c r="L992" s="115"/>
      <c r="M992" s="115"/>
      <c r="N992" s="115"/>
      <c r="O992" s="115"/>
      <c r="P992" s="115"/>
    </row>
    <row r="993" spans="10:16" ht="12.5" x14ac:dyDescent="0.25">
      <c r="J993" s="115"/>
      <c r="K993" s="115"/>
      <c r="L993" s="115"/>
      <c r="M993" s="115"/>
      <c r="N993" s="115"/>
      <c r="O993" s="115"/>
      <c r="P993" s="115"/>
    </row>
    <row r="994" spans="10:16" ht="12.5" x14ac:dyDescent="0.25">
      <c r="J994" s="115"/>
      <c r="K994" s="115"/>
      <c r="L994" s="115"/>
      <c r="M994" s="115"/>
      <c r="N994" s="115"/>
      <c r="O994" s="115"/>
      <c r="P994" s="115"/>
    </row>
    <row r="995" spans="10:16" ht="12.5" x14ac:dyDescent="0.25">
      <c r="J995" s="115"/>
      <c r="K995" s="115"/>
      <c r="L995" s="115"/>
      <c r="M995" s="115"/>
      <c r="N995" s="115"/>
      <c r="O995" s="115"/>
      <c r="P995" s="115"/>
    </row>
    <row r="996" spans="10:16" ht="12.5" x14ac:dyDescent="0.25">
      <c r="J996" s="115"/>
      <c r="K996" s="115"/>
      <c r="L996" s="115"/>
      <c r="M996" s="115"/>
      <c r="N996" s="115"/>
      <c r="O996" s="115"/>
      <c r="P996" s="115"/>
    </row>
    <row r="997" spans="10:16" ht="12.5" x14ac:dyDescent="0.25">
      <c r="J997" s="115"/>
      <c r="K997" s="115"/>
      <c r="L997" s="115"/>
      <c r="M997" s="115"/>
      <c r="N997" s="115"/>
      <c r="O997" s="115"/>
      <c r="P997" s="115"/>
    </row>
    <row r="998" spans="10:16" ht="12.5" x14ac:dyDescent="0.25">
      <c r="J998" s="115"/>
      <c r="K998" s="115"/>
      <c r="L998" s="115"/>
      <c r="M998" s="115"/>
      <c r="N998" s="115"/>
      <c r="O998" s="115"/>
      <c r="P998" s="115"/>
    </row>
    <row r="999" spans="10:16" ht="12.5" x14ac:dyDescent="0.25">
      <c r="J999" s="115"/>
      <c r="K999" s="115"/>
      <c r="L999" s="115"/>
      <c r="M999" s="115"/>
      <c r="N999" s="115"/>
      <c r="O999" s="115"/>
      <c r="P999" s="115"/>
    </row>
    <row r="1000" spans="10:16" ht="12.5" x14ac:dyDescent="0.25">
      <c r="J1000" s="115"/>
      <c r="K1000" s="115"/>
      <c r="L1000" s="115"/>
      <c r="M1000" s="115"/>
      <c r="N1000" s="115"/>
      <c r="O1000" s="115"/>
      <c r="P1000" s="115"/>
    </row>
    <row r="1001" spans="10:16" ht="12.5" x14ac:dyDescent="0.25">
      <c r="J1001" s="115"/>
      <c r="K1001" s="115"/>
      <c r="L1001" s="115"/>
      <c r="M1001" s="115"/>
      <c r="N1001" s="115"/>
      <c r="O1001" s="115"/>
      <c r="P1001" s="115"/>
    </row>
    <row r="1002" spans="10:16" ht="12.5" x14ac:dyDescent="0.25">
      <c r="J1002" s="115"/>
      <c r="K1002" s="115"/>
      <c r="L1002" s="115"/>
      <c r="M1002" s="115"/>
      <c r="N1002" s="115"/>
      <c r="O1002" s="115"/>
      <c r="P1002" s="115"/>
    </row>
    <row r="1003" spans="10:16" ht="12.5" x14ac:dyDescent="0.25">
      <c r="J1003" s="115"/>
      <c r="K1003" s="115"/>
      <c r="L1003" s="115"/>
      <c r="M1003" s="115"/>
      <c r="N1003" s="115"/>
      <c r="O1003" s="115"/>
      <c r="P1003" s="115"/>
    </row>
    <row r="1004" spans="10:16" ht="12.5" x14ac:dyDescent="0.25">
      <c r="J1004" s="115"/>
      <c r="K1004" s="115"/>
      <c r="L1004" s="115"/>
      <c r="M1004" s="115"/>
      <c r="N1004" s="115"/>
      <c r="O1004" s="115"/>
      <c r="P1004" s="115"/>
    </row>
    <row r="1005" spans="10:16" ht="12.5" x14ac:dyDescent="0.25">
      <c r="J1005" s="115"/>
      <c r="K1005" s="115"/>
      <c r="L1005" s="115"/>
      <c r="M1005" s="115"/>
      <c r="N1005" s="115"/>
      <c r="O1005" s="115"/>
      <c r="P1005" s="115"/>
    </row>
    <row r="1006" spans="10:16" ht="12.5" x14ac:dyDescent="0.25">
      <c r="J1006" s="115"/>
      <c r="K1006" s="115"/>
      <c r="L1006" s="115"/>
      <c r="M1006" s="115"/>
      <c r="N1006" s="115"/>
      <c r="O1006" s="115"/>
      <c r="P1006" s="115"/>
    </row>
    <row r="1007" spans="10:16" ht="12.5" x14ac:dyDescent="0.25">
      <c r="J1007" s="115"/>
      <c r="K1007" s="115"/>
      <c r="L1007" s="115"/>
      <c r="M1007" s="115"/>
      <c r="N1007" s="115"/>
      <c r="O1007" s="115"/>
      <c r="P1007" s="115"/>
    </row>
    <row r="1008" spans="10:16" ht="12.5" x14ac:dyDescent="0.25">
      <c r="J1008" s="115"/>
      <c r="K1008" s="115"/>
      <c r="L1008" s="115"/>
      <c r="M1008" s="115"/>
      <c r="N1008" s="115"/>
      <c r="O1008" s="115"/>
      <c r="P1008" s="115"/>
    </row>
    <row r="1009" spans="10:16" ht="12.5" x14ac:dyDescent="0.25">
      <c r="J1009" s="115"/>
      <c r="K1009" s="115"/>
      <c r="L1009" s="115"/>
      <c r="M1009" s="115"/>
      <c r="N1009" s="115"/>
      <c r="O1009" s="115"/>
      <c r="P1009" s="115"/>
    </row>
    <row r="1010" spans="10:16" ht="12.5" x14ac:dyDescent="0.25">
      <c r="J1010" s="115"/>
      <c r="K1010" s="115"/>
      <c r="L1010" s="115"/>
      <c r="M1010" s="115"/>
      <c r="N1010" s="115"/>
      <c r="O1010" s="115"/>
      <c r="P1010" s="115"/>
    </row>
    <row r="1011" spans="10:16" ht="12.5" x14ac:dyDescent="0.25">
      <c r="J1011" s="115"/>
      <c r="K1011" s="115"/>
      <c r="L1011" s="115"/>
      <c r="M1011" s="115"/>
      <c r="N1011" s="115"/>
      <c r="O1011" s="115"/>
      <c r="P1011" s="115"/>
    </row>
    <row r="1012" spans="10:16" ht="12.5" x14ac:dyDescent="0.25">
      <c r="J1012" s="115"/>
      <c r="K1012" s="115"/>
      <c r="L1012" s="115"/>
      <c r="M1012" s="115"/>
      <c r="N1012" s="115"/>
      <c r="O1012" s="115"/>
      <c r="P1012" s="115"/>
    </row>
    <row r="1013" spans="10:16" ht="12.5" x14ac:dyDescent="0.25">
      <c r="J1013" s="115"/>
      <c r="K1013" s="115"/>
      <c r="L1013" s="115"/>
      <c r="M1013" s="115"/>
      <c r="N1013" s="115"/>
      <c r="O1013" s="115"/>
      <c r="P1013" s="115"/>
    </row>
    <row r="1014" spans="10:16" ht="12.5" x14ac:dyDescent="0.25">
      <c r="J1014" s="115"/>
      <c r="K1014" s="115"/>
      <c r="L1014" s="115"/>
      <c r="M1014" s="115"/>
      <c r="N1014" s="115"/>
      <c r="O1014" s="115"/>
      <c r="P1014" s="115"/>
    </row>
    <row r="1015" spans="10:16" ht="12.5" x14ac:dyDescent="0.25">
      <c r="J1015" s="115"/>
      <c r="K1015" s="115"/>
      <c r="L1015" s="115"/>
      <c r="M1015" s="115"/>
      <c r="N1015" s="115"/>
      <c r="O1015" s="115"/>
      <c r="P1015" s="115"/>
    </row>
    <row r="1016" spans="10:16" ht="12.5" x14ac:dyDescent="0.25">
      <c r="J1016" s="115"/>
      <c r="K1016" s="115"/>
      <c r="L1016" s="115"/>
      <c r="M1016" s="115"/>
      <c r="N1016" s="115"/>
      <c r="O1016" s="115"/>
      <c r="P1016" s="115"/>
    </row>
    <row r="1017" spans="10:16" ht="12.5" x14ac:dyDescent="0.25">
      <c r="J1017" s="115"/>
      <c r="K1017" s="115"/>
      <c r="L1017" s="115"/>
      <c r="M1017" s="115"/>
      <c r="N1017" s="115"/>
      <c r="O1017" s="115"/>
      <c r="P1017" s="115"/>
    </row>
    <row r="1018" spans="10:16" ht="12.5" x14ac:dyDescent="0.25">
      <c r="J1018" s="115"/>
      <c r="K1018" s="115"/>
      <c r="L1018" s="115"/>
      <c r="M1018" s="115"/>
      <c r="N1018" s="115"/>
      <c r="O1018" s="115"/>
      <c r="P1018" s="115"/>
    </row>
    <row r="1019" spans="10:16" ht="12.5" x14ac:dyDescent="0.25">
      <c r="J1019" s="115"/>
      <c r="K1019" s="115"/>
      <c r="L1019" s="115"/>
      <c r="M1019" s="115"/>
      <c r="N1019" s="115"/>
      <c r="O1019" s="115"/>
      <c r="P1019" s="115"/>
    </row>
    <row r="1020" spans="10:16" ht="12.5" x14ac:dyDescent="0.25">
      <c r="J1020" s="115"/>
      <c r="K1020" s="115"/>
      <c r="L1020" s="115"/>
      <c r="M1020" s="115"/>
      <c r="N1020" s="115"/>
      <c r="O1020" s="115"/>
      <c r="P1020" s="115"/>
    </row>
    <row r="1021" spans="10:16" ht="12.5" x14ac:dyDescent="0.25">
      <c r="J1021" s="115"/>
      <c r="K1021" s="115"/>
      <c r="L1021" s="115"/>
      <c r="M1021" s="115"/>
      <c r="N1021" s="115"/>
      <c r="O1021" s="115"/>
      <c r="P1021" s="115"/>
    </row>
    <row r="1022" spans="10:16" ht="12.5" x14ac:dyDescent="0.25">
      <c r="J1022" s="115"/>
      <c r="K1022" s="115"/>
      <c r="L1022" s="115"/>
      <c r="M1022" s="115"/>
      <c r="N1022" s="115"/>
      <c r="O1022" s="115"/>
      <c r="P1022" s="115"/>
    </row>
    <row r="1023" spans="10:16" ht="12.5" x14ac:dyDescent="0.25">
      <c r="J1023" s="115"/>
      <c r="K1023" s="115"/>
      <c r="L1023" s="115"/>
      <c r="M1023" s="115"/>
      <c r="N1023" s="115"/>
      <c r="O1023" s="115"/>
      <c r="P1023" s="115"/>
    </row>
    <row r="1024" spans="10:16" ht="12.5" x14ac:dyDescent="0.25">
      <c r="J1024" s="115"/>
      <c r="K1024" s="115"/>
      <c r="L1024" s="115"/>
      <c r="M1024" s="115"/>
      <c r="N1024" s="115"/>
      <c r="O1024" s="115"/>
      <c r="P1024" s="115"/>
    </row>
    <row r="1025" spans="10:16" ht="12.5" x14ac:dyDescent="0.25">
      <c r="J1025" s="115"/>
      <c r="K1025" s="115"/>
      <c r="L1025" s="115"/>
      <c r="M1025" s="115"/>
      <c r="N1025" s="115"/>
      <c r="O1025" s="115"/>
      <c r="P1025" s="115"/>
    </row>
    <row r="1026" spans="10:16" ht="12.5" x14ac:dyDescent="0.25">
      <c r="J1026" s="115"/>
      <c r="K1026" s="115"/>
      <c r="L1026" s="115"/>
      <c r="M1026" s="115"/>
      <c r="N1026" s="115"/>
      <c r="O1026" s="115"/>
      <c r="P1026" s="115"/>
    </row>
    <row r="1027" spans="10:16" ht="12.5" x14ac:dyDescent="0.25">
      <c r="J1027" s="115"/>
      <c r="K1027" s="115"/>
      <c r="L1027" s="115"/>
      <c r="M1027" s="115"/>
      <c r="N1027" s="115"/>
      <c r="O1027" s="115"/>
      <c r="P1027" s="115"/>
    </row>
    <row r="1028" spans="10:16" ht="12.5" x14ac:dyDescent="0.25">
      <c r="J1028" s="115"/>
      <c r="K1028" s="115"/>
      <c r="L1028" s="115"/>
      <c r="M1028" s="115"/>
      <c r="N1028" s="115"/>
      <c r="O1028" s="115"/>
      <c r="P1028" s="115"/>
    </row>
    <row r="1029" spans="10:16" ht="12.5" x14ac:dyDescent="0.25">
      <c r="J1029" s="115"/>
      <c r="K1029" s="115"/>
      <c r="L1029" s="115"/>
      <c r="M1029" s="115"/>
      <c r="N1029" s="115"/>
      <c r="O1029" s="115"/>
      <c r="P1029" s="115"/>
    </row>
    <row r="1030" spans="10:16" ht="12.5" x14ac:dyDescent="0.25">
      <c r="J1030" s="115"/>
      <c r="K1030" s="115"/>
      <c r="L1030" s="115"/>
      <c r="M1030" s="115"/>
      <c r="N1030" s="115"/>
      <c r="O1030" s="115"/>
      <c r="P1030" s="115"/>
    </row>
    <row r="1031" spans="10:16" ht="12.5" x14ac:dyDescent="0.25">
      <c r="J1031" s="115"/>
      <c r="K1031" s="115"/>
      <c r="L1031" s="115"/>
      <c r="M1031" s="115"/>
      <c r="N1031" s="115"/>
      <c r="O1031" s="115"/>
      <c r="P1031" s="115"/>
    </row>
    <row r="1032" spans="10:16" ht="12.5" x14ac:dyDescent="0.25">
      <c r="J1032" s="115"/>
      <c r="K1032" s="115"/>
      <c r="L1032" s="115"/>
      <c r="M1032" s="115"/>
      <c r="N1032" s="115"/>
      <c r="O1032" s="115"/>
      <c r="P1032" s="115"/>
    </row>
    <row r="1033" spans="10:16" ht="12.5" x14ac:dyDescent="0.25">
      <c r="J1033" s="115"/>
      <c r="K1033" s="115"/>
      <c r="L1033" s="115"/>
      <c r="M1033" s="115"/>
      <c r="N1033" s="115"/>
      <c r="O1033" s="115"/>
      <c r="P1033" s="115"/>
    </row>
    <row r="1034" spans="10:16" ht="12.5" x14ac:dyDescent="0.25">
      <c r="J1034" s="115"/>
      <c r="K1034" s="115"/>
      <c r="L1034" s="115"/>
      <c r="M1034" s="115"/>
      <c r="N1034" s="115"/>
      <c r="O1034" s="115"/>
      <c r="P1034" s="115"/>
    </row>
    <row r="1035" spans="10:16" ht="12.5" x14ac:dyDescent="0.25">
      <c r="J1035" s="115"/>
      <c r="K1035" s="115"/>
      <c r="L1035" s="115"/>
      <c r="M1035" s="115"/>
      <c r="N1035" s="115"/>
      <c r="O1035" s="115"/>
      <c r="P1035" s="115"/>
    </row>
    <row r="1036" spans="10:16" ht="12.5" x14ac:dyDescent="0.25">
      <c r="J1036" s="115"/>
      <c r="K1036" s="115"/>
      <c r="L1036" s="115"/>
      <c r="M1036" s="115"/>
      <c r="N1036" s="115"/>
      <c r="O1036" s="115"/>
      <c r="P1036" s="115"/>
    </row>
    <row r="1037" spans="10:16" ht="12.5" x14ac:dyDescent="0.25">
      <c r="J1037" s="115"/>
      <c r="K1037" s="115"/>
      <c r="L1037" s="115"/>
      <c r="M1037" s="115"/>
      <c r="N1037" s="115"/>
      <c r="O1037" s="115"/>
      <c r="P1037" s="115"/>
    </row>
    <row r="1038" spans="10:16" ht="12.5" x14ac:dyDescent="0.25">
      <c r="J1038" s="115"/>
      <c r="K1038" s="115"/>
      <c r="L1038" s="115"/>
      <c r="M1038" s="115"/>
      <c r="N1038" s="115"/>
      <c r="O1038" s="115"/>
      <c r="P1038" s="115"/>
    </row>
    <row r="1039" spans="10:16" ht="12.5" x14ac:dyDescent="0.25">
      <c r="J1039" s="115"/>
      <c r="K1039" s="115"/>
      <c r="L1039" s="115"/>
      <c r="M1039" s="115"/>
      <c r="N1039" s="115"/>
      <c r="O1039" s="115"/>
      <c r="P1039" s="115"/>
    </row>
    <row r="1040" spans="10:16" ht="12.5" x14ac:dyDescent="0.25">
      <c r="J1040" s="115"/>
      <c r="K1040" s="115"/>
      <c r="L1040" s="115"/>
      <c r="M1040" s="115"/>
      <c r="N1040" s="115"/>
      <c r="O1040" s="115"/>
      <c r="P1040" s="115"/>
    </row>
    <row r="1041" spans="10:16" ht="12.5" x14ac:dyDescent="0.25">
      <c r="J1041" s="115"/>
      <c r="K1041" s="115"/>
      <c r="L1041" s="115"/>
      <c r="M1041" s="115"/>
      <c r="N1041" s="115"/>
      <c r="O1041" s="115"/>
      <c r="P1041" s="115"/>
    </row>
    <row r="1042" spans="10:16" ht="12.5" x14ac:dyDescent="0.25">
      <c r="J1042" s="115"/>
      <c r="K1042" s="115"/>
      <c r="L1042" s="115"/>
      <c r="M1042" s="115"/>
      <c r="N1042" s="115"/>
      <c r="O1042" s="115"/>
      <c r="P1042" s="115"/>
    </row>
    <row r="1043" spans="10:16" ht="12.5" x14ac:dyDescent="0.25">
      <c r="J1043" s="115"/>
      <c r="K1043" s="115"/>
      <c r="L1043" s="115"/>
      <c r="M1043" s="115"/>
      <c r="N1043" s="115"/>
      <c r="O1043" s="115"/>
      <c r="P1043" s="115"/>
    </row>
    <row r="1044" spans="10:16" ht="12.5" x14ac:dyDescent="0.25">
      <c r="J1044" s="115"/>
      <c r="K1044" s="115"/>
      <c r="L1044" s="115"/>
      <c r="M1044" s="115"/>
      <c r="N1044" s="115"/>
      <c r="O1044" s="115"/>
      <c r="P1044" s="115"/>
    </row>
  </sheetData>
  <mergeCells count="419">
    <mergeCell ref="D114:I114"/>
    <mergeCell ref="K114:L114"/>
    <mergeCell ref="K117:L117"/>
    <mergeCell ref="K118:L118"/>
    <mergeCell ref="K119:L119"/>
    <mergeCell ref="M119:N119"/>
    <mergeCell ref="O119:P119"/>
    <mergeCell ref="Q119:V119"/>
    <mergeCell ref="D120:N120"/>
    <mergeCell ref="O120:P120"/>
    <mergeCell ref="M114:N114"/>
    <mergeCell ref="O114:P114"/>
    <mergeCell ref="Q114:V114"/>
    <mergeCell ref="K115:L115"/>
    <mergeCell ref="M115:N115"/>
    <mergeCell ref="O115:P115"/>
    <mergeCell ref="Q115:V115"/>
    <mergeCell ref="K112:L112"/>
    <mergeCell ref="M112:N112"/>
    <mergeCell ref="K113:L113"/>
    <mergeCell ref="M113:N113"/>
    <mergeCell ref="O113:P113"/>
    <mergeCell ref="K109:L109"/>
    <mergeCell ref="M109:N109"/>
    <mergeCell ref="O109:P109"/>
    <mergeCell ref="Q109:V109"/>
    <mergeCell ref="D110:I110"/>
    <mergeCell ref="O112:P112"/>
    <mergeCell ref="Q112:V112"/>
    <mergeCell ref="Q113:V113"/>
    <mergeCell ref="O110:P110"/>
    <mergeCell ref="Q110:V110"/>
    <mergeCell ref="K111:L111"/>
    <mergeCell ref="M111:N111"/>
    <mergeCell ref="O111:P111"/>
    <mergeCell ref="Q111:V111"/>
    <mergeCell ref="D112:I112"/>
    <mergeCell ref="O117:P117"/>
    <mergeCell ref="Q117:V117"/>
    <mergeCell ref="M118:N118"/>
    <mergeCell ref="O118:P118"/>
    <mergeCell ref="D116:I116"/>
    <mergeCell ref="K116:L116"/>
    <mergeCell ref="M116:N116"/>
    <mergeCell ref="O116:P116"/>
    <mergeCell ref="Q116:V116"/>
    <mergeCell ref="M117:N117"/>
    <mergeCell ref="D118:I118"/>
    <mergeCell ref="Q118:V118"/>
    <mergeCell ref="O108:P108"/>
    <mergeCell ref="Q108:V108"/>
    <mergeCell ref="K106:L106"/>
    <mergeCell ref="M106:N106"/>
    <mergeCell ref="K107:L107"/>
    <mergeCell ref="M107:N107"/>
    <mergeCell ref="O107:P107"/>
    <mergeCell ref="Q107:V107"/>
    <mergeCell ref="D108:I108"/>
    <mergeCell ref="K108:L108"/>
    <mergeCell ref="M108:N108"/>
    <mergeCell ref="O106:P106"/>
    <mergeCell ref="Q106:V106"/>
    <mergeCell ref="K104:L104"/>
    <mergeCell ref="M104:N104"/>
    <mergeCell ref="K105:L105"/>
    <mergeCell ref="M105:N105"/>
    <mergeCell ref="O105:P105"/>
    <mergeCell ref="Q105:V105"/>
    <mergeCell ref="D106:I106"/>
    <mergeCell ref="K100:L100"/>
    <mergeCell ref="M100:N100"/>
    <mergeCell ref="K101:L101"/>
    <mergeCell ref="M101:N101"/>
    <mergeCell ref="O101:P101"/>
    <mergeCell ref="Q101:V101"/>
    <mergeCell ref="D102:I102"/>
    <mergeCell ref="O104:P104"/>
    <mergeCell ref="Q104:V104"/>
    <mergeCell ref="K102:L102"/>
    <mergeCell ref="M102:N102"/>
    <mergeCell ref="K103:L103"/>
    <mergeCell ref="M103:N103"/>
    <mergeCell ref="O103:P103"/>
    <mergeCell ref="Q103:V103"/>
    <mergeCell ref="D104:I104"/>
    <mergeCell ref="D90:I90"/>
    <mergeCell ref="K90:L90"/>
    <mergeCell ref="K110:L110"/>
    <mergeCell ref="M110:N110"/>
    <mergeCell ref="O98:P98"/>
    <mergeCell ref="Q98:V98"/>
    <mergeCell ref="K96:L96"/>
    <mergeCell ref="M96:N96"/>
    <mergeCell ref="K97:L97"/>
    <mergeCell ref="M97:N97"/>
    <mergeCell ref="O97:P97"/>
    <mergeCell ref="Q97:V97"/>
    <mergeCell ref="D98:I98"/>
    <mergeCell ref="O100:P100"/>
    <mergeCell ref="Q100:V100"/>
    <mergeCell ref="K98:L98"/>
    <mergeCell ref="M98:N98"/>
    <mergeCell ref="K99:L99"/>
    <mergeCell ref="M99:N99"/>
    <mergeCell ref="O99:P99"/>
    <mergeCell ref="Q99:V99"/>
    <mergeCell ref="D100:I100"/>
    <mergeCell ref="O102:P102"/>
    <mergeCell ref="Q102:V102"/>
    <mergeCell ref="M90:N90"/>
    <mergeCell ref="O90:P90"/>
    <mergeCell ref="Q90:V90"/>
    <mergeCell ref="K91:L91"/>
    <mergeCell ref="M91:N91"/>
    <mergeCell ref="O91:P91"/>
    <mergeCell ref="Q91:V91"/>
    <mergeCell ref="K88:L88"/>
    <mergeCell ref="M88:N88"/>
    <mergeCell ref="K89:L89"/>
    <mergeCell ref="M89:N89"/>
    <mergeCell ref="O89:P89"/>
    <mergeCell ref="K85:L85"/>
    <mergeCell ref="M85:N85"/>
    <mergeCell ref="O85:P85"/>
    <mergeCell ref="Q85:V85"/>
    <mergeCell ref="D86:I86"/>
    <mergeCell ref="O88:P88"/>
    <mergeCell ref="Q88:V88"/>
    <mergeCell ref="Q89:V89"/>
    <mergeCell ref="O86:P86"/>
    <mergeCell ref="Q86:V86"/>
    <mergeCell ref="K87:L87"/>
    <mergeCell ref="M87:N87"/>
    <mergeCell ref="O87:P87"/>
    <mergeCell ref="Q87:V87"/>
    <mergeCell ref="D88:I88"/>
    <mergeCell ref="O96:P96"/>
    <mergeCell ref="Q96:V96"/>
    <mergeCell ref="K93:L93"/>
    <mergeCell ref="K94:L94"/>
    <mergeCell ref="K95:L95"/>
    <mergeCell ref="M95:N95"/>
    <mergeCell ref="O95:P95"/>
    <mergeCell ref="Q95:V95"/>
    <mergeCell ref="D96:I96"/>
    <mergeCell ref="O93:P93"/>
    <mergeCell ref="Q93:V93"/>
    <mergeCell ref="M94:N94"/>
    <mergeCell ref="O94:P94"/>
    <mergeCell ref="D92:I92"/>
    <mergeCell ref="K92:L92"/>
    <mergeCell ref="M92:N92"/>
    <mergeCell ref="O92:P92"/>
    <mergeCell ref="Q92:V92"/>
    <mergeCell ref="M93:N93"/>
    <mergeCell ref="D94:I94"/>
    <mergeCell ref="Q94:V94"/>
    <mergeCell ref="O84:P84"/>
    <mergeCell ref="Q84:V84"/>
    <mergeCell ref="K82:L82"/>
    <mergeCell ref="M82:N82"/>
    <mergeCell ref="K83:L83"/>
    <mergeCell ref="M83:N83"/>
    <mergeCell ref="O83:P83"/>
    <mergeCell ref="Q83:V83"/>
    <mergeCell ref="D84:I84"/>
    <mergeCell ref="K84:L84"/>
    <mergeCell ref="M84:N84"/>
    <mergeCell ref="O82:P82"/>
    <mergeCell ref="Q82:V82"/>
    <mergeCell ref="K80:L80"/>
    <mergeCell ref="M80:N80"/>
    <mergeCell ref="K81:L81"/>
    <mergeCell ref="M81:N81"/>
    <mergeCell ref="O81:P81"/>
    <mergeCell ref="Q81:V81"/>
    <mergeCell ref="D82:I82"/>
    <mergeCell ref="O80:P80"/>
    <mergeCell ref="Q80:V80"/>
    <mergeCell ref="K78:L78"/>
    <mergeCell ref="M78:N78"/>
    <mergeCell ref="K79:L79"/>
    <mergeCell ref="M79:N79"/>
    <mergeCell ref="O79:P79"/>
    <mergeCell ref="Q79:V79"/>
    <mergeCell ref="D80:I80"/>
    <mergeCell ref="O78:P78"/>
    <mergeCell ref="Q78:V78"/>
    <mergeCell ref="K76:L76"/>
    <mergeCell ref="M76:N76"/>
    <mergeCell ref="K77:L77"/>
    <mergeCell ref="M77:N77"/>
    <mergeCell ref="O77:P77"/>
    <mergeCell ref="Q77:V77"/>
    <mergeCell ref="D78:I78"/>
    <mergeCell ref="O64:P64"/>
    <mergeCell ref="Q64:V64"/>
    <mergeCell ref="Q65:V65"/>
    <mergeCell ref="M66:N66"/>
    <mergeCell ref="O66:P66"/>
    <mergeCell ref="Q66:V66"/>
    <mergeCell ref="K86:L86"/>
    <mergeCell ref="M86:N86"/>
    <mergeCell ref="D62:I62"/>
    <mergeCell ref="D63:I63"/>
    <mergeCell ref="K63:L63"/>
    <mergeCell ref="M63:N63"/>
    <mergeCell ref="O63:P63"/>
    <mergeCell ref="Q63:V63"/>
    <mergeCell ref="D64:I64"/>
    <mergeCell ref="K64:L64"/>
    <mergeCell ref="M64:N64"/>
    <mergeCell ref="K65:L65"/>
    <mergeCell ref="M65:N65"/>
    <mergeCell ref="O65:P65"/>
    <mergeCell ref="D66:I66"/>
    <mergeCell ref="K66:L66"/>
    <mergeCell ref="K71:L71"/>
    <mergeCell ref="D72:I72"/>
    <mergeCell ref="M62:N62"/>
    <mergeCell ref="O62:P62"/>
    <mergeCell ref="D61:I61"/>
    <mergeCell ref="K61:L61"/>
    <mergeCell ref="M61:N61"/>
    <mergeCell ref="O61:P61"/>
    <mergeCell ref="Q61:V61"/>
    <mergeCell ref="K62:L62"/>
    <mergeCell ref="Q62:V62"/>
    <mergeCell ref="O60:P60"/>
    <mergeCell ref="Q60:V60"/>
    <mergeCell ref="D58:I58"/>
    <mergeCell ref="D59:I59"/>
    <mergeCell ref="K59:L59"/>
    <mergeCell ref="M59:N59"/>
    <mergeCell ref="O59:P59"/>
    <mergeCell ref="Q59:V59"/>
    <mergeCell ref="D60:I60"/>
    <mergeCell ref="D74:I74"/>
    <mergeCell ref="K74:L74"/>
    <mergeCell ref="Q74:V74"/>
    <mergeCell ref="O76:P76"/>
    <mergeCell ref="Q76:V76"/>
    <mergeCell ref="M74:N74"/>
    <mergeCell ref="O74:P74"/>
    <mergeCell ref="K75:L75"/>
    <mergeCell ref="M75:N75"/>
    <mergeCell ref="O75:P75"/>
    <mergeCell ref="Q75:V75"/>
    <mergeCell ref="D76:I76"/>
    <mergeCell ref="K69:L69"/>
    <mergeCell ref="M69:N69"/>
    <mergeCell ref="O69:P69"/>
    <mergeCell ref="Q69:V69"/>
    <mergeCell ref="D70:I70"/>
    <mergeCell ref="K70:L70"/>
    <mergeCell ref="K73:L73"/>
    <mergeCell ref="M73:N73"/>
    <mergeCell ref="O73:P73"/>
    <mergeCell ref="Q73:V73"/>
    <mergeCell ref="K72:L72"/>
    <mergeCell ref="M72:N72"/>
    <mergeCell ref="O72:P72"/>
    <mergeCell ref="M70:N70"/>
    <mergeCell ref="O70:P70"/>
    <mergeCell ref="Q70:V70"/>
    <mergeCell ref="M71:N71"/>
    <mergeCell ref="O71:P71"/>
    <mergeCell ref="Q71:V71"/>
    <mergeCell ref="Q72:V72"/>
    <mergeCell ref="K67:L67"/>
    <mergeCell ref="M67:N67"/>
    <mergeCell ref="O67:P67"/>
    <mergeCell ref="Q67:V67"/>
    <mergeCell ref="D68:I68"/>
    <mergeCell ref="K68:L68"/>
    <mergeCell ref="M68:N68"/>
    <mergeCell ref="O68:P68"/>
    <mergeCell ref="Q68:V68"/>
    <mergeCell ref="Z39:AA39"/>
    <mergeCell ref="Z40:AA40"/>
    <mergeCell ref="T37:U37"/>
    <mergeCell ref="X37:Y37"/>
    <mergeCell ref="X38:Y38"/>
    <mergeCell ref="Z38:AA38"/>
    <mergeCell ref="T39:U39"/>
    <mergeCell ref="X39:Y40"/>
    <mergeCell ref="T40:V40"/>
    <mergeCell ref="F37:G37"/>
    <mergeCell ref="D50:F50"/>
    <mergeCell ref="D51:F51"/>
    <mergeCell ref="D52:G52"/>
    <mergeCell ref="D53:G53"/>
    <mergeCell ref="D42:H43"/>
    <mergeCell ref="D44:F44"/>
    <mergeCell ref="D45:F45"/>
    <mergeCell ref="D46:F46"/>
    <mergeCell ref="D47:F47"/>
    <mergeCell ref="D48:F48"/>
    <mergeCell ref="D49:F49"/>
    <mergeCell ref="Z14:AA14"/>
    <mergeCell ref="D12:H13"/>
    <mergeCell ref="J12:P13"/>
    <mergeCell ref="X12:AA12"/>
    <mergeCell ref="X13:Y13"/>
    <mergeCell ref="Z13:AA13"/>
    <mergeCell ref="D14:G14"/>
    <mergeCell ref="J14:K14"/>
    <mergeCell ref="X27:Y27"/>
    <mergeCell ref="T23:U23"/>
    <mergeCell ref="T24:U24"/>
    <mergeCell ref="T25:U25"/>
    <mergeCell ref="T26:U26"/>
    <mergeCell ref="X26:AA26"/>
    <mergeCell ref="T27:U27"/>
    <mergeCell ref="R22:S22"/>
    <mergeCell ref="R23:S23"/>
    <mergeCell ref="R24:S24"/>
    <mergeCell ref="R25:S25"/>
    <mergeCell ref="R26:S26"/>
    <mergeCell ref="R27:S27"/>
    <mergeCell ref="D25:F25"/>
    <mergeCell ref="D26:F26"/>
    <mergeCell ref="D27:F27"/>
    <mergeCell ref="D2:E2"/>
    <mergeCell ref="G2:L2"/>
    <mergeCell ref="D3:E3"/>
    <mergeCell ref="N3:Q5"/>
    <mergeCell ref="H4:I4"/>
    <mergeCell ref="J4:K4"/>
    <mergeCell ref="H5:I5"/>
    <mergeCell ref="R12:V13"/>
    <mergeCell ref="R14:S14"/>
    <mergeCell ref="T14:U14"/>
    <mergeCell ref="K60:L60"/>
    <mergeCell ref="M60:N60"/>
    <mergeCell ref="J5:K5"/>
    <mergeCell ref="S5:X5"/>
    <mergeCell ref="U8:V8"/>
    <mergeCell ref="W8:X8"/>
    <mergeCell ref="N6:Q6"/>
    <mergeCell ref="N7:P7"/>
    <mergeCell ref="S7:T7"/>
    <mergeCell ref="U7:V7"/>
    <mergeCell ref="W7:X7"/>
    <mergeCell ref="N8:P8"/>
    <mergeCell ref="S8:T8"/>
    <mergeCell ref="X14:Y14"/>
    <mergeCell ref="X28:Y28"/>
    <mergeCell ref="T28:U28"/>
    <mergeCell ref="R31:S31"/>
    <mergeCell ref="R33:S33"/>
    <mergeCell ref="R29:S29"/>
    <mergeCell ref="X34:AA34"/>
    <mergeCell ref="X35:Y35"/>
    <mergeCell ref="Z35:AA35"/>
    <mergeCell ref="T29:U29"/>
    <mergeCell ref="X29:Y29"/>
    <mergeCell ref="D23:H24"/>
    <mergeCell ref="T33:U33"/>
    <mergeCell ref="T34:U34"/>
    <mergeCell ref="R35:S35"/>
    <mergeCell ref="T35:U35"/>
    <mergeCell ref="T36:U36"/>
    <mergeCell ref="X36:AA36"/>
    <mergeCell ref="R37:S37"/>
    <mergeCell ref="Z37:AA37"/>
    <mergeCell ref="T30:U30"/>
    <mergeCell ref="X30:Y30"/>
    <mergeCell ref="T31:U31"/>
    <mergeCell ref="T32:U32"/>
    <mergeCell ref="X32:AA33"/>
    <mergeCell ref="D28:F28"/>
    <mergeCell ref="D29:F29"/>
    <mergeCell ref="D30:F30"/>
    <mergeCell ref="D31:F31"/>
    <mergeCell ref="D32:F32"/>
    <mergeCell ref="D33:F33"/>
    <mergeCell ref="D34:F34"/>
    <mergeCell ref="D35:F35"/>
    <mergeCell ref="D36:E37"/>
    <mergeCell ref="F36:G36"/>
    <mergeCell ref="R21:S21"/>
    <mergeCell ref="T21:U21"/>
    <mergeCell ref="T22:U22"/>
    <mergeCell ref="D16:G16"/>
    <mergeCell ref="D17:G17"/>
    <mergeCell ref="D18:G18"/>
    <mergeCell ref="D19:G19"/>
    <mergeCell ref="D20:G20"/>
    <mergeCell ref="D21:G21"/>
    <mergeCell ref="R17:S17"/>
    <mergeCell ref="T17:U17"/>
    <mergeCell ref="Z17:AA17"/>
    <mergeCell ref="R18:S18"/>
    <mergeCell ref="T18:U18"/>
    <mergeCell ref="R19:S19"/>
    <mergeCell ref="T19:U19"/>
    <mergeCell ref="R20:S20"/>
    <mergeCell ref="T20:U20"/>
    <mergeCell ref="D15:G15"/>
    <mergeCell ref="R15:S15"/>
    <mergeCell ref="T15:U15"/>
    <mergeCell ref="Z15:AA15"/>
    <mergeCell ref="R16:S16"/>
    <mergeCell ref="T16:U16"/>
    <mergeCell ref="Z16:AA16"/>
    <mergeCell ref="X15:Y15"/>
    <mergeCell ref="X16:Y16"/>
    <mergeCell ref="D39:F40"/>
    <mergeCell ref="G39:H40"/>
    <mergeCell ref="R39:S39"/>
    <mergeCell ref="R40:S40"/>
    <mergeCell ref="J42:R42"/>
    <mergeCell ref="T42:V42"/>
    <mergeCell ref="D56:V57"/>
    <mergeCell ref="K58:L58"/>
    <mergeCell ref="Q58:V58"/>
    <mergeCell ref="M58:N58"/>
    <mergeCell ref="O58:P58"/>
  </mergeCells>
  <conditionalFormatting sqref="Z39:AA40">
    <cfRule type="cellIs" dxfId="31" priority="1" operator="greaterThanOrEqual">
      <formula>0</formula>
    </cfRule>
    <cfRule type="cellIs" dxfId="30" priority="3" operator="lessThan">
      <formula>0</formula>
    </cfRule>
    <cfRule type="containsText" dxfId="29" priority="4" operator="containsText" text="falta">
      <formula>NOT(ISERROR(SEARCH(("falta"),(Z39))))</formula>
    </cfRule>
  </conditionalFormatting>
  <conditionalFormatting sqref="Z40:AA40">
    <cfRule type="containsText" dxfId="28" priority="2" operator="containsText" text="sobra">
      <formula>NOT(ISERROR(SEARCH(("sobra"),(Z40))))</formula>
    </cfRule>
  </conditionalFormatting>
  <dataValidations count="3">
    <dataValidation type="list" allowBlank="1" showErrorMessage="1" sqref="G45:G51" xr:uid="{00000000-0002-0000-0600-000000000000}">
      <formula1>"Ahorro,Inversión"</formula1>
    </dataValidation>
    <dataValidation type="list" allowBlank="1" showErrorMessage="1" sqref="K59:K119" xr:uid="{00000000-0002-0000-0600-000001000000}">
      <formula1>"Transporte,Alimentación,Restaurantes,Delivery,Bares,Ropa,Belleza,Gasolina,Hogar,Tarjeta de crédito,Ocio,Pequeñas compras,Tasas/Impuestos,Viajes/vacaciones,Tecnología,Reparaciones,Salud,Higiene,Cursos/Formación/Trabajo,Mascotas,Familia,Otros,Préstamos"</formula1>
    </dataValidation>
    <dataValidation type="list" allowBlank="1" showErrorMessage="1" sqref="N15:N39 M59:M119" xr:uid="{00000000-0002-0000-0600-000002000000}">
      <formula1>"Transferencia,Tarjeta de débito,Efectivo,Tarjeta de crédito"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D1044"/>
  <sheetViews>
    <sheetView workbookViewId="0"/>
  </sheetViews>
  <sheetFormatPr baseColWidth="10" defaultColWidth="12.6328125" defaultRowHeight="15.75" customHeight="1" x14ac:dyDescent="0.25"/>
  <cols>
    <col min="7" max="7" width="13.7265625" customWidth="1"/>
    <col min="14" max="14" width="17.6328125" customWidth="1"/>
  </cols>
  <sheetData>
    <row r="1" spans="1:30" ht="15.7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8"/>
      <c r="O1" s="28"/>
      <c r="P1" s="28"/>
      <c r="Q1" s="28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x14ac:dyDescent="0.3">
      <c r="A2" s="2"/>
      <c r="B2" s="2"/>
      <c r="C2" s="2"/>
      <c r="D2" s="254" t="s">
        <v>45</v>
      </c>
      <c r="E2" s="200"/>
      <c r="F2" s="11"/>
      <c r="G2" s="244" t="s">
        <v>46</v>
      </c>
      <c r="H2" s="245"/>
      <c r="I2" s="245"/>
      <c r="J2" s="245"/>
      <c r="K2" s="245"/>
      <c r="L2" s="246"/>
      <c r="M2" s="29"/>
      <c r="N2" s="11"/>
      <c r="O2" s="11"/>
      <c r="P2" s="11"/>
      <c r="Q2" s="11"/>
      <c r="R2" s="11"/>
      <c r="S2" s="11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5.75" customHeight="1" x14ac:dyDescent="0.4">
      <c r="A3" s="2"/>
      <c r="B3" s="2"/>
      <c r="C3" s="2"/>
      <c r="D3" s="255">
        <f>CTAS!L3</f>
        <v>0</v>
      </c>
      <c r="E3" s="236"/>
      <c r="F3" s="2"/>
      <c r="G3" s="2"/>
      <c r="H3" s="2"/>
      <c r="I3" s="2"/>
      <c r="J3" s="2"/>
      <c r="K3" s="2"/>
      <c r="L3" s="2"/>
      <c r="M3" s="11"/>
      <c r="N3" s="256" t="s">
        <v>5</v>
      </c>
      <c r="O3" s="209"/>
      <c r="P3" s="209"/>
      <c r="Q3" s="129"/>
      <c r="R3" s="30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3">
      <c r="A4" s="2"/>
      <c r="B4" s="2"/>
      <c r="C4" s="2"/>
      <c r="D4" s="28"/>
      <c r="E4" s="28"/>
      <c r="F4" s="2"/>
      <c r="G4" s="28"/>
      <c r="H4" s="259" t="s">
        <v>15</v>
      </c>
      <c r="I4" s="224"/>
      <c r="J4" s="260" t="s">
        <v>47</v>
      </c>
      <c r="K4" s="119"/>
      <c r="L4" s="31" t="s">
        <v>14</v>
      </c>
      <c r="M4" s="32"/>
      <c r="N4" s="257"/>
      <c r="O4" s="197"/>
      <c r="P4" s="197"/>
      <c r="Q4" s="258"/>
      <c r="R4" s="30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x14ac:dyDescent="0.3">
      <c r="A5" s="2"/>
      <c r="B5" s="2"/>
      <c r="C5" s="2"/>
      <c r="D5" s="2"/>
      <c r="E5" s="2"/>
      <c r="F5" s="2"/>
      <c r="G5" s="33" t="s">
        <v>48</v>
      </c>
      <c r="H5" s="261">
        <f>H37</f>
        <v>0</v>
      </c>
      <c r="I5" s="219"/>
      <c r="J5" s="243">
        <f>G39</f>
        <v>0</v>
      </c>
      <c r="K5" s="201"/>
      <c r="L5" s="34">
        <f>H5+J5</f>
        <v>0</v>
      </c>
      <c r="M5" s="32"/>
      <c r="N5" s="257"/>
      <c r="O5" s="197"/>
      <c r="P5" s="197"/>
      <c r="Q5" s="258"/>
      <c r="R5" s="29"/>
      <c r="S5" s="244" t="s">
        <v>49</v>
      </c>
      <c r="T5" s="245"/>
      <c r="U5" s="245"/>
      <c r="V5" s="245"/>
      <c r="W5" s="245"/>
      <c r="X5" s="246"/>
      <c r="Y5" s="30"/>
      <c r="Z5" s="2"/>
      <c r="AA5" s="2"/>
      <c r="AB5" s="2"/>
      <c r="AC5" s="2"/>
      <c r="AD5" s="2"/>
    </row>
    <row r="6" spans="1:30" ht="15.75" customHeight="1" x14ac:dyDescent="0.25">
      <c r="A6" s="2"/>
      <c r="B6" s="2"/>
      <c r="C6" s="2"/>
      <c r="D6" s="35"/>
      <c r="E6" s="35"/>
      <c r="F6" s="2"/>
      <c r="G6" s="35"/>
      <c r="H6" s="2"/>
      <c r="I6" s="36"/>
      <c r="J6" s="37"/>
      <c r="K6" s="37"/>
      <c r="L6" s="37"/>
      <c r="M6" s="38"/>
      <c r="N6" s="248">
        <v>2026</v>
      </c>
      <c r="O6" s="218"/>
      <c r="P6" s="218"/>
      <c r="Q6" s="249"/>
      <c r="R6" s="30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x14ac:dyDescent="0.3">
      <c r="A7" s="2"/>
      <c r="B7" s="2"/>
      <c r="C7" s="2"/>
      <c r="D7" s="2"/>
      <c r="E7" s="2"/>
      <c r="F7" s="2"/>
      <c r="G7" s="2"/>
      <c r="H7" s="39" t="s">
        <v>50</v>
      </c>
      <c r="I7" s="39" t="s">
        <v>51</v>
      </c>
      <c r="J7" s="7" t="s">
        <v>19</v>
      </c>
      <c r="K7" s="7" t="s">
        <v>52</v>
      </c>
      <c r="L7" s="7" t="s">
        <v>14</v>
      </c>
      <c r="M7" s="40"/>
      <c r="N7" s="250" t="s">
        <v>53</v>
      </c>
      <c r="O7" s="224"/>
      <c r="P7" s="227"/>
      <c r="Q7" s="41">
        <v>46174</v>
      </c>
      <c r="R7" s="30"/>
      <c r="S7" s="251" t="s">
        <v>54</v>
      </c>
      <c r="T7" s="219"/>
      <c r="U7" s="252" t="s">
        <v>55</v>
      </c>
      <c r="V7" s="219"/>
      <c r="W7" s="253" t="s">
        <v>56</v>
      </c>
      <c r="X7" s="219"/>
      <c r="Y7" s="2"/>
      <c r="Z7" s="2"/>
      <c r="AA7" s="2"/>
      <c r="AB7" s="2"/>
      <c r="AC7" s="2"/>
      <c r="AD7" s="2"/>
    </row>
    <row r="8" spans="1:30" x14ac:dyDescent="0.3">
      <c r="A8" s="2"/>
      <c r="B8" s="2"/>
      <c r="C8" s="2"/>
      <c r="D8" s="2"/>
      <c r="E8" s="2"/>
      <c r="F8" s="2"/>
      <c r="G8" s="42" t="s">
        <v>55</v>
      </c>
      <c r="H8" s="43">
        <f>M40</f>
        <v>0</v>
      </c>
      <c r="I8" s="44">
        <f>O120</f>
        <v>0</v>
      </c>
      <c r="J8" s="45">
        <f>H52</f>
        <v>0</v>
      </c>
      <c r="K8" s="45">
        <f>H53</f>
        <v>0</v>
      </c>
      <c r="L8" s="46">
        <f>SUM(H8:K8)</f>
        <v>0</v>
      </c>
      <c r="M8" s="40"/>
      <c r="N8" s="250" t="s">
        <v>57</v>
      </c>
      <c r="O8" s="224"/>
      <c r="P8" s="227"/>
      <c r="Q8" s="41">
        <v>46203</v>
      </c>
      <c r="R8" s="30"/>
      <c r="S8" s="247">
        <f>L5</f>
        <v>0</v>
      </c>
      <c r="T8" s="142"/>
      <c r="U8" s="247">
        <f>L8</f>
        <v>0</v>
      </c>
      <c r="V8" s="142"/>
      <c r="W8" s="247">
        <f>S8-U8</f>
        <v>0</v>
      </c>
      <c r="X8" s="142"/>
      <c r="Y8" s="2"/>
      <c r="Z8" s="2"/>
      <c r="AA8" s="2"/>
      <c r="AB8" s="2"/>
      <c r="AC8" s="2"/>
      <c r="AD8" s="2"/>
    </row>
    <row r="9" spans="1:30" ht="15.75" customHeight="1" x14ac:dyDescent="0.25">
      <c r="A9" s="2"/>
      <c r="B9" s="2"/>
      <c r="C9" s="2"/>
      <c r="D9" s="47"/>
      <c r="E9" s="47"/>
      <c r="F9" s="2"/>
      <c r="G9" s="2"/>
      <c r="H9" s="35"/>
      <c r="I9" s="35"/>
      <c r="J9" s="48"/>
      <c r="K9" s="48"/>
      <c r="L9" s="48"/>
      <c r="M9" s="49"/>
      <c r="N9" s="49"/>
      <c r="O9" s="49"/>
      <c r="P9" s="49"/>
      <c r="Q9" s="49"/>
      <c r="R9" s="49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15.75" customHeight="1" x14ac:dyDescent="0.25">
      <c r="A10" s="2"/>
      <c r="B10" s="2"/>
      <c r="C10" s="2"/>
      <c r="D10" s="35"/>
      <c r="E10" s="35"/>
      <c r="F10" s="2"/>
      <c r="G10" s="2"/>
      <c r="H10" s="2"/>
      <c r="I10" s="2"/>
      <c r="J10" s="49"/>
      <c r="K10" s="49"/>
      <c r="L10" s="49"/>
      <c r="M10" s="49"/>
      <c r="N10" s="49"/>
      <c r="O10" s="49"/>
      <c r="P10" s="49"/>
      <c r="Q10" s="49"/>
      <c r="R10" s="49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15.75" customHeight="1" x14ac:dyDescent="0.25">
      <c r="A11" s="2"/>
      <c r="B11" s="2"/>
      <c r="C11" s="2"/>
      <c r="D11" s="28"/>
      <c r="E11" s="28"/>
      <c r="F11" s="28"/>
      <c r="G11" s="28"/>
      <c r="H11" s="28"/>
      <c r="I11" s="2"/>
      <c r="J11" s="50"/>
      <c r="K11" s="50"/>
      <c r="L11" s="50"/>
      <c r="M11" s="50"/>
      <c r="N11" s="50"/>
      <c r="O11" s="50"/>
      <c r="P11" s="50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15.75" customHeight="1" x14ac:dyDescent="0.35">
      <c r="A12" s="2"/>
      <c r="B12" s="2"/>
      <c r="C12" s="11"/>
      <c r="D12" s="215" t="s">
        <v>58</v>
      </c>
      <c r="E12" s="209"/>
      <c r="F12" s="209"/>
      <c r="G12" s="209"/>
      <c r="H12" s="129"/>
      <c r="I12" s="29"/>
      <c r="J12" s="216" t="s">
        <v>16</v>
      </c>
      <c r="K12" s="209"/>
      <c r="L12" s="209"/>
      <c r="M12" s="209"/>
      <c r="N12" s="209"/>
      <c r="O12" s="209"/>
      <c r="P12" s="129"/>
      <c r="Q12" s="30"/>
      <c r="R12" s="208" t="s">
        <v>17</v>
      </c>
      <c r="S12" s="209"/>
      <c r="T12" s="209"/>
      <c r="U12" s="209"/>
      <c r="V12" s="129"/>
      <c r="X12" s="217" t="s">
        <v>18</v>
      </c>
      <c r="Y12" s="218"/>
      <c r="Z12" s="218"/>
      <c r="AA12" s="219"/>
      <c r="AB12" s="2"/>
      <c r="AC12" s="2"/>
      <c r="AD12" s="2"/>
    </row>
    <row r="13" spans="1:30" ht="15.75" customHeight="1" x14ac:dyDescent="0.25">
      <c r="A13" s="2"/>
      <c r="B13" s="2"/>
      <c r="C13" s="11"/>
      <c r="D13" s="130"/>
      <c r="E13" s="200"/>
      <c r="F13" s="200"/>
      <c r="G13" s="200"/>
      <c r="H13" s="131"/>
      <c r="I13" s="29"/>
      <c r="J13" s="130"/>
      <c r="K13" s="200"/>
      <c r="L13" s="200"/>
      <c r="M13" s="200"/>
      <c r="N13" s="200"/>
      <c r="O13" s="200"/>
      <c r="P13" s="131"/>
      <c r="Q13" s="30"/>
      <c r="R13" s="130"/>
      <c r="S13" s="200"/>
      <c r="T13" s="200"/>
      <c r="U13" s="200"/>
      <c r="V13" s="131"/>
      <c r="W13" s="2"/>
      <c r="X13" s="220" t="s">
        <v>59</v>
      </c>
      <c r="Y13" s="221"/>
      <c r="Z13" s="222">
        <f>M40</f>
        <v>0</v>
      </c>
      <c r="AA13" s="198"/>
      <c r="AB13" s="2"/>
      <c r="AC13" s="2"/>
      <c r="AD13" s="2"/>
    </row>
    <row r="14" spans="1:30" ht="15.75" customHeight="1" x14ac:dyDescent="0.25">
      <c r="A14" s="2"/>
      <c r="B14" s="2"/>
      <c r="C14" s="11"/>
      <c r="D14" s="223" t="s">
        <v>62</v>
      </c>
      <c r="E14" s="224"/>
      <c r="F14" s="224"/>
      <c r="G14" s="225"/>
      <c r="H14" s="51" t="s">
        <v>61</v>
      </c>
      <c r="I14" s="29"/>
      <c r="J14" s="266" t="s">
        <v>62</v>
      </c>
      <c r="K14" s="119"/>
      <c r="L14" s="52" t="s">
        <v>63</v>
      </c>
      <c r="M14" s="52" t="s">
        <v>64</v>
      </c>
      <c r="N14" s="52" t="s">
        <v>65</v>
      </c>
      <c r="O14" s="52" t="s">
        <v>104</v>
      </c>
      <c r="P14" s="52" t="s">
        <v>67</v>
      </c>
      <c r="Q14" s="29"/>
      <c r="R14" s="210" t="s">
        <v>68</v>
      </c>
      <c r="S14" s="119"/>
      <c r="T14" s="210" t="s">
        <v>69</v>
      </c>
      <c r="U14" s="119"/>
      <c r="V14" s="53" t="s">
        <v>70</v>
      </c>
      <c r="W14" s="29"/>
      <c r="X14" s="262" t="s">
        <v>71</v>
      </c>
      <c r="Y14" s="263"/>
      <c r="Z14" s="264">
        <f>O120</f>
        <v>0</v>
      </c>
      <c r="AA14" s="265"/>
      <c r="AB14" s="30"/>
      <c r="AC14" s="2"/>
      <c r="AD14" s="2"/>
    </row>
    <row r="15" spans="1:30" ht="15.75" customHeight="1" x14ac:dyDescent="0.25">
      <c r="A15" s="2"/>
      <c r="B15" s="2"/>
      <c r="C15" s="11"/>
      <c r="D15" s="226"/>
      <c r="E15" s="224"/>
      <c r="F15" s="224"/>
      <c r="G15" s="227"/>
      <c r="H15" s="54">
        <v>0</v>
      </c>
      <c r="I15" s="29"/>
      <c r="J15" s="117"/>
      <c r="K15" s="4"/>
      <c r="L15" s="4"/>
      <c r="M15" s="4"/>
      <c r="N15" s="4"/>
      <c r="O15" s="4"/>
      <c r="P15" s="56">
        <v>0</v>
      </c>
      <c r="Q15" s="29"/>
      <c r="R15" s="231" t="s">
        <v>22</v>
      </c>
      <c r="S15" s="232"/>
      <c r="T15" s="233">
        <f t="shared" ref="T15:T37" si="0">SUMIF($K$59:$L$119,R15,$O$59:$P$119)</f>
        <v>0</v>
      </c>
      <c r="U15" s="232"/>
      <c r="V15" s="57" t="e">
        <f t="shared" ref="V15:V37" si="1">T15*1/$T$40</f>
        <v>#DIV/0!</v>
      </c>
      <c r="W15" s="30"/>
      <c r="X15" s="211" t="s">
        <v>73</v>
      </c>
      <c r="Y15" s="212"/>
      <c r="Z15" s="213">
        <f t="shared" ref="Z15:Z16" si="2">H52</f>
        <v>0</v>
      </c>
      <c r="AA15" s="214"/>
      <c r="AB15" s="2"/>
      <c r="AC15" s="2"/>
      <c r="AD15" s="2"/>
    </row>
    <row r="16" spans="1:30" ht="15.75" customHeight="1" x14ac:dyDescent="0.25">
      <c r="A16" s="2"/>
      <c r="B16" s="2"/>
      <c r="C16" s="2"/>
      <c r="D16" s="240"/>
      <c r="E16" s="224"/>
      <c r="F16" s="224"/>
      <c r="G16" s="241"/>
      <c r="H16" s="58">
        <v>0</v>
      </c>
      <c r="I16" s="11"/>
      <c r="J16" s="66"/>
      <c r="K16" s="59"/>
      <c r="L16" s="59"/>
      <c r="M16" s="59"/>
      <c r="N16" s="59"/>
      <c r="O16" s="59"/>
      <c r="P16" s="61">
        <v>0</v>
      </c>
      <c r="Q16" s="29"/>
      <c r="R16" s="234" t="s">
        <v>23</v>
      </c>
      <c r="S16" s="142"/>
      <c r="T16" s="235">
        <f t="shared" si="0"/>
        <v>0</v>
      </c>
      <c r="U16" s="236"/>
      <c r="V16" s="62" t="e">
        <f t="shared" si="1"/>
        <v>#DIV/0!</v>
      </c>
      <c r="W16" s="30"/>
      <c r="X16" s="237" t="s">
        <v>74</v>
      </c>
      <c r="Y16" s="238"/>
      <c r="Z16" s="228">
        <f t="shared" si="2"/>
        <v>0</v>
      </c>
      <c r="AA16" s="198"/>
      <c r="AB16" s="2"/>
      <c r="AC16" s="2"/>
      <c r="AD16" s="2"/>
    </row>
    <row r="17" spans="1:30" x14ac:dyDescent="0.3">
      <c r="A17" s="2"/>
      <c r="B17" s="2"/>
      <c r="C17" s="2"/>
      <c r="D17" s="226"/>
      <c r="E17" s="224"/>
      <c r="F17" s="224"/>
      <c r="G17" s="227"/>
      <c r="H17" s="54">
        <v>0</v>
      </c>
      <c r="I17" s="11"/>
      <c r="J17" s="63"/>
      <c r="K17" s="3"/>
      <c r="L17" s="3"/>
      <c r="M17" s="3"/>
      <c r="N17" s="3"/>
      <c r="O17" s="3"/>
      <c r="P17" s="64">
        <v>0</v>
      </c>
      <c r="Q17" s="29"/>
      <c r="R17" s="231" t="s">
        <v>24</v>
      </c>
      <c r="S17" s="232"/>
      <c r="T17" s="233">
        <f t="shared" si="0"/>
        <v>0</v>
      </c>
      <c r="U17" s="232"/>
      <c r="V17" s="57" t="e">
        <f t="shared" si="1"/>
        <v>#DIV/0!</v>
      </c>
      <c r="W17" s="30"/>
      <c r="X17" s="65" t="s">
        <v>14</v>
      </c>
      <c r="Y17" s="65"/>
      <c r="Z17" s="229">
        <f>SUM(Z13:Z16)</f>
        <v>0</v>
      </c>
      <c r="AA17" s="230"/>
      <c r="AB17" s="2"/>
      <c r="AC17" s="2"/>
      <c r="AD17" s="2"/>
    </row>
    <row r="18" spans="1:30" ht="15.75" customHeight="1" x14ac:dyDescent="0.25">
      <c r="A18" s="2"/>
      <c r="B18" s="2"/>
      <c r="C18" s="2"/>
      <c r="D18" s="240"/>
      <c r="E18" s="224"/>
      <c r="F18" s="224"/>
      <c r="G18" s="241"/>
      <c r="H18" s="58">
        <v>0</v>
      </c>
      <c r="I18" s="11"/>
      <c r="J18" s="66"/>
      <c r="K18" s="59"/>
      <c r="L18" s="59"/>
      <c r="M18" s="59"/>
      <c r="N18" s="59"/>
      <c r="O18" s="59"/>
      <c r="P18" s="61">
        <v>0</v>
      </c>
      <c r="Q18" s="29"/>
      <c r="R18" s="239" t="s">
        <v>25</v>
      </c>
      <c r="S18" s="236"/>
      <c r="T18" s="235">
        <f t="shared" si="0"/>
        <v>0</v>
      </c>
      <c r="U18" s="236"/>
      <c r="V18" s="62" t="e">
        <f t="shared" si="1"/>
        <v>#DIV/0!</v>
      </c>
      <c r="W18" s="30"/>
      <c r="X18" s="2"/>
      <c r="Y18" s="2"/>
      <c r="Z18" s="2"/>
      <c r="AA18" s="2"/>
      <c r="AB18" s="2"/>
      <c r="AC18" s="2"/>
      <c r="AD18" s="2"/>
    </row>
    <row r="19" spans="1:30" ht="15.75" customHeight="1" x14ac:dyDescent="0.25">
      <c r="A19" s="2"/>
      <c r="B19" s="2"/>
      <c r="C19" s="2"/>
      <c r="D19" s="226"/>
      <c r="E19" s="224"/>
      <c r="F19" s="224"/>
      <c r="G19" s="227"/>
      <c r="H19" s="54">
        <v>0</v>
      </c>
      <c r="I19" s="11"/>
      <c r="J19" s="63"/>
      <c r="K19" s="3"/>
      <c r="L19" s="3"/>
      <c r="M19" s="3"/>
      <c r="N19" s="3"/>
      <c r="O19" s="3"/>
      <c r="P19" s="64">
        <v>0</v>
      </c>
      <c r="Q19" s="29"/>
      <c r="R19" s="231" t="s">
        <v>26</v>
      </c>
      <c r="S19" s="232"/>
      <c r="T19" s="233">
        <f t="shared" si="0"/>
        <v>0</v>
      </c>
      <c r="U19" s="232"/>
      <c r="V19" s="57" t="e">
        <f t="shared" si="1"/>
        <v>#DIV/0!</v>
      </c>
      <c r="W19" s="30"/>
      <c r="X19" s="2"/>
      <c r="Y19" s="2"/>
      <c r="Z19" s="2"/>
      <c r="AA19" s="2"/>
      <c r="AB19" s="2"/>
      <c r="AC19" s="2"/>
      <c r="AD19" s="2"/>
    </row>
    <row r="20" spans="1:30" ht="15.75" customHeight="1" x14ac:dyDescent="0.25">
      <c r="A20" s="2"/>
      <c r="B20" s="2"/>
      <c r="C20" s="2"/>
      <c r="D20" s="240"/>
      <c r="E20" s="224"/>
      <c r="F20" s="224"/>
      <c r="G20" s="241"/>
      <c r="H20" s="58">
        <v>0</v>
      </c>
      <c r="I20" s="11"/>
      <c r="J20" s="66"/>
      <c r="K20" s="59"/>
      <c r="L20" s="59"/>
      <c r="M20" s="59"/>
      <c r="N20" s="59"/>
      <c r="O20" s="59"/>
      <c r="P20" s="61">
        <v>0</v>
      </c>
      <c r="Q20" s="29"/>
      <c r="R20" s="239" t="s">
        <v>27</v>
      </c>
      <c r="S20" s="236"/>
      <c r="T20" s="235">
        <f t="shared" si="0"/>
        <v>0</v>
      </c>
      <c r="U20" s="236"/>
      <c r="V20" s="62" t="e">
        <f t="shared" si="1"/>
        <v>#DIV/0!</v>
      </c>
      <c r="W20" s="30"/>
      <c r="X20" s="2"/>
      <c r="Y20" s="2"/>
      <c r="Z20" s="2"/>
      <c r="AA20" s="2"/>
      <c r="AB20" s="2"/>
      <c r="AC20" s="2"/>
      <c r="AD20" s="2"/>
    </row>
    <row r="21" spans="1:30" ht="15.75" customHeight="1" x14ac:dyDescent="0.25">
      <c r="A21" s="2"/>
      <c r="B21" s="2"/>
      <c r="C21" s="2"/>
      <c r="D21" s="226"/>
      <c r="E21" s="224"/>
      <c r="F21" s="224"/>
      <c r="G21" s="227"/>
      <c r="H21" s="54">
        <v>0</v>
      </c>
      <c r="I21" s="11"/>
      <c r="J21" s="63"/>
      <c r="K21" s="3"/>
      <c r="L21" s="3"/>
      <c r="M21" s="3"/>
      <c r="N21" s="3"/>
      <c r="O21" s="3"/>
      <c r="P21" s="64">
        <v>0</v>
      </c>
      <c r="Q21" s="29"/>
      <c r="R21" s="231" t="s">
        <v>28</v>
      </c>
      <c r="S21" s="232"/>
      <c r="T21" s="233">
        <f t="shared" si="0"/>
        <v>0</v>
      </c>
      <c r="U21" s="232"/>
      <c r="V21" s="57" t="e">
        <f t="shared" si="1"/>
        <v>#DIV/0!</v>
      </c>
      <c r="W21" s="30"/>
      <c r="X21" s="2"/>
      <c r="Y21" s="2"/>
      <c r="Z21" s="2"/>
      <c r="AA21" s="2"/>
      <c r="AB21" s="2"/>
      <c r="AC21" s="2"/>
      <c r="AD21" s="2"/>
    </row>
    <row r="22" spans="1:30" ht="15.75" customHeight="1" x14ac:dyDescent="0.25">
      <c r="A22" s="2"/>
      <c r="B22" s="2"/>
      <c r="C22" s="2"/>
      <c r="D22" s="28"/>
      <c r="E22" s="28"/>
      <c r="F22" s="28"/>
      <c r="G22" s="28"/>
      <c r="H22" s="28"/>
      <c r="I22" s="11"/>
      <c r="J22" s="66"/>
      <c r="K22" s="59"/>
      <c r="L22" s="59"/>
      <c r="M22" s="59"/>
      <c r="N22" s="59"/>
      <c r="O22" s="59"/>
      <c r="P22" s="61">
        <v>0</v>
      </c>
      <c r="Q22" s="29"/>
      <c r="R22" s="239" t="s">
        <v>29</v>
      </c>
      <c r="S22" s="236"/>
      <c r="T22" s="235">
        <f t="shared" si="0"/>
        <v>0</v>
      </c>
      <c r="U22" s="236"/>
      <c r="V22" s="62" t="e">
        <f t="shared" si="1"/>
        <v>#DIV/0!</v>
      </c>
      <c r="W22" s="30"/>
      <c r="X22" s="2"/>
      <c r="Y22" s="2"/>
      <c r="Z22" s="2"/>
      <c r="AA22" s="2"/>
      <c r="AB22" s="2"/>
      <c r="AC22" s="2"/>
      <c r="AD22" s="2"/>
    </row>
    <row r="23" spans="1:30" ht="15.75" customHeight="1" x14ac:dyDescent="0.25">
      <c r="A23" s="2"/>
      <c r="B23" s="2"/>
      <c r="C23" s="11"/>
      <c r="D23" s="242" t="s">
        <v>15</v>
      </c>
      <c r="E23" s="209"/>
      <c r="F23" s="209"/>
      <c r="G23" s="209"/>
      <c r="H23" s="129"/>
      <c r="I23" s="29"/>
      <c r="J23" s="63"/>
      <c r="K23" s="3"/>
      <c r="L23" s="3"/>
      <c r="M23" s="3"/>
      <c r="N23" s="3"/>
      <c r="O23" s="3"/>
      <c r="P23" s="64">
        <v>0</v>
      </c>
      <c r="Q23" s="29"/>
      <c r="R23" s="231" t="s">
        <v>30</v>
      </c>
      <c r="S23" s="232"/>
      <c r="T23" s="233">
        <f t="shared" si="0"/>
        <v>0</v>
      </c>
      <c r="U23" s="232"/>
      <c r="V23" s="57" t="e">
        <f t="shared" si="1"/>
        <v>#DIV/0!</v>
      </c>
      <c r="W23" s="30"/>
      <c r="X23" s="2"/>
      <c r="Y23" s="2"/>
      <c r="Z23" s="2"/>
      <c r="AA23" s="2"/>
      <c r="AB23" s="2"/>
      <c r="AC23" s="2"/>
      <c r="AD23" s="2"/>
    </row>
    <row r="24" spans="1:30" ht="15.75" customHeight="1" x14ac:dyDescent="0.25">
      <c r="A24" s="2"/>
      <c r="B24" s="2"/>
      <c r="C24" s="11"/>
      <c r="D24" s="130"/>
      <c r="E24" s="200"/>
      <c r="F24" s="200"/>
      <c r="G24" s="200"/>
      <c r="H24" s="131"/>
      <c r="I24" s="29"/>
      <c r="J24" s="66"/>
      <c r="K24" s="59"/>
      <c r="L24" s="59"/>
      <c r="M24" s="59"/>
      <c r="N24" s="59"/>
      <c r="O24" s="59"/>
      <c r="P24" s="61">
        <v>0</v>
      </c>
      <c r="Q24" s="29"/>
      <c r="R24" s="239" t="s">
        <v>31</v>
      </c>
      <c r="S24" s="236"/>
      <c r="T24" s="235">
        <f t="shared" si="0"/>
        <v>0</v>
      </c>
      <c r="U24" s="236"/>
      <c r="V24" s="62" t="e">
        <f t="shared" si="1"/>
        <v>#DIV/0!</v>
      </c>
      <c r="W24" s="30"/>
      <c r="X24" s="67"/>
      <c r="Y24" s="67"/>
      <c r="Z24" s="67"/>
      <c r="AA24" s="67"/>
      <c r="AB24" s="2"/>
      <c r="AC24" s="2"/>
      <c r="AD24" s="2"/>
    </row>
    <row r="25" spans="1:30" ht="15.75" customHeight="1" x14ac:dyDescent="0.25">
      <c r="A25" s="2"/>
      <c r="B25" s="2"/>
      <c r="C25" s="11"/>
      <c r="D25" s="275" t="s">
        <v>62</v>
      </c>
      <c r="E25" s="224"/>
      <c r="F25" s="119"/>
      <c r="G25" s="68" t="s">
        <v>75</v>
      </c>
      <c r="H25" s="69" t="s">
        <v>76</v>
      </c>
      <c r="I25" s="29"/>
      <c r="J25" s="63"/>
      <c r="K25" s="3"/>
      <c r="L25" s="3"/>
      <c r="M25" s="3"/>
      <c r="N25" s="3"/>
      <c r="O25" s="3"/>
      <c r="P25" s="64">
        <v>0</v>
      </c>
      <c r="Q25" s="29"/>
      <c r="R25" s="231" t="s">
        <v>32</v>
      </c>
      <c r="S25" s="232"/>
      <c r="T25" s="233">
        <f t="shared" si="0"/>
        <v>0</v>
      </c>
      <c r="U25" s="232"/>
      <c r="V25" s="57" t="e">
        <f t="shared" si="1"/>
        <v>#DIV/0!</v>
      </c>
      <c r="W25" s="2"/>
      <c r="X25" s="2"/>
      <c r="Y25" s="2"/>
      <c r="Z25" s="2"/>
      <c r="AA25" s="2"/>
      <c r="AB25" s="2"/>
      <c r="AC25" s="2"/>
      <c r="AD25" s="2"/>
    </row>
    <row r="26" spans="1:30" ht="15.75" customHeight="1" x14ac:dyDescent="0.25">
      <c r="A26" s="2"/>
      <c r="B26" s="2"/>
      <c r="C26" s="11"/>
      <c r="D26" s="276"/>
      <c r="E26" s="277"/>
      <c r="F26" s="142"/>
      <c r="G26" s="70"/>
      <c r="H26" s="71"/>
      <c r="I26" s="29"/>
      <c r="J26" s="66"/>
      <c r="K26" s="59"/>
      <c r="L26" s="59"/>
      <c r="M26" s="59"/>
      <c r="N26" s="59"/>
      <c r="O26" s="59"/>
      <c r="P26" s="61">
        <v>0</v>
      </c>
      <c r="Q26" s="29"/>
      <c r="R26" s="239" t="s">
        <v>33</v>
      </c>
      <c r="S26" s="236"/>
      <c r="T26" s="235">
        <f t="shared" si="0"/>
        <v>0</v>
      </c>
      <c r="U26" s="236"/>
      <c r="V26" s="62" t="e">
        <f t="shared" si="1"/>
        <v>#DIV/0!</v>
      </c>
      <c r="W26" s="29"/>
      <c r="X26" s="278" t="s">
        <v>77</v>
      </c>
      <c r="Y26" s="224"/>
      <c r="Z26" s="224"/>
      <c r="AA26" s="119"/>
      <c r="AB26" s="30"/>
      <c r="AC26" s="2"/>
      <c r="AD26" s="2"/>
    </row>
    <row r="27" spans="1:30" x14ac:dyDescent="0.3">
      <c r="A27" s="2"/>
      <c r="B27" s="2"/>
      <c r="C27" s="11"/>
      <c r="D27" s="279"/>
      <c r="E27" s="245"/>
      <c r="F27" s="280"/>
      <c r="G27" s="72"/>
      <c r="H27" s="73"/>
      <c r="I27" s="29"/>
      <c r="J27" s="63"/>
      <c r="K27" s="3"/>
      <c r="L27" s="3"/>
      <c r="M27" s="3"/>
      <c r="N27" s="3"/>
      <c r="O27" s="3"/>
      <c r="P27" s="64">
        <v>0</v>
      </c>
      <c r="Q27" s="29"/>
      <c r="R27" s="231" t="s">
        <v>34</v>
      </c>
      <c r="S27" s="232"/>
      <c r="T27" s="233">
        <f t="shared" si="0"/>
        <v>0</v>
      </c>
      <c r="U27" s="232"/>
      <c r="V27" s="57" t="e">
        <f t="shared" si="1"/>
        <v>#DIV/0!</v>
      </c>
      <c r="W27" s="29"/>
      <c r="X27" s="270" t="s">
        <v>78</v>
      </c>
      <c r="Y27" s="119"/>
      <c r="Z27" s="74">
        <f>SUMIF(M59:N119,"Tarjeta de débito",O59:P119)+SUMIF(N15:N39,"Tarjeta de débito",M15:M39)</f>
        <v>0</v>
      </c>
      <c r="AA27" s="75" t="e">
        <f t="shared" ref="AA27:AA30" si="3">Z27*1/$U$8</f>
        <v>#DIV/0!</v>
      </c>
      <c r="AB27" s="30"/>
      <c r="AC27" s="2"/>
      <c r="AD27" s="2"/>
    </row>
    <row r="28" spans="1:30" x14ac:dyDescent="0.3">
      <c r="A28" s="2"/>
      <c r="B28" s="2"/>
      <c r="C28" s="11"/>
      <c r="D28" s="286"/>
      <c r="E28" s="245"/>
      <c r="F28" s="236"/>
      <c r="G28" s="76"/>
      <c r="H28" s="77"/>
      <c r="I28" s="29"/>
      <c r="J28" s="66"/>
      <c r="K28" s="59"/>
      <c r="L28" s="59"/>
      <c r="M28" s="59"/>
      <c r="N28" s="59"/>
      <c r="O28" s="59"/>
      <c r="P28" s="61">
        <v>0</v>
      </c>
      <c r="Q28" s="29"/>
      <c r="R28" s="78" t="s">
        <v>35</v>
      </c>
      <c r="S28" s="79"/>
      <c r="T28" s="235">
        <f t="shared" si="0"/>
        <v>0</v>
      </c>
      <c r="U28" s="236"/>
      <c r="V28" s="62" t="e">
        <f t="shared" si="1"/>
        <v>#DIV/0!</v>
      </c>
      <c r="W28" s="29"/>
      <c r="X28" s="281" t="s">
        <v>31</v>
      </c>
      <c r="Y28" s="119"/>
      <c r="Z28" s="80">
        <f>SUMIF(M59:N119,"Tarjeta de crédito",O59:P119)+SUMIF(N15:N39,"Tarjeta de crédito",M15:M39)</f>
        <v>0</v>
      </c>
      <c r="AA28" s="75" t="e">
        <f t="shared" si="3"/>
        <v>#DIV/0!</v>
      </c>
      <c r="AB28" s="30"/>
      <c r="AC28" s="2"/>
      <c r="AD28" s="2"/>
    </row>
    <row r="29" spans="1:30" x14ac:dyDescent="0.3">
      <c r="A29" s="2"/>
      <c r="B29" s="2"/>
      <c r="C29" s="11"/>
      <c r="D29" s="279"/>
      <c r="E29" s="245"/>
      <c r="F29" s="280"/>
      <c r="G29" s="72"/>
      <c r="H29" s="73"/>
      <c r="I29" s="29"/>
      <c r="J29" s="63"/>
      <c r="K29" s="3"/>
      <c r="L29" s="3"/>
      <c r="M29" s="3"/>
      <c r="N29" s="3"/>
      <c r="O29" s="3"/>
      <c r="P29" s="64">
        <v>0</v>
      </c>
      <c r="Q29" s="29"/>
      <c r="R29" s="231" t="s">
        <v>79</v>
      </c>
      <c r="S29" s="232"/>
      <c r="T29" s="233">
        <f t="shared" si="0"/>
        <v>0</v>
      </c>
      <c r="U29" s="232"/>
      <c r="V29" s="57" t="e">
        <f t="shared" si="1"/>
        <v>#DIV/0!</v>
      </c>
      <c r="W29" s="29"/>
      <c r="X29" s="282" t="s">
        <v>80</v>
      </c>
      <c r="Y29" s="119"/>
      <c r="Z29" s="80">
        <f>SUMIF(M59:N119,"Efectivo",O59:P119)+SUMIF(N15:N39,"Efectivo",M15:M39)</f>
        <v>0</v>
      </c>
      <c r="AA29" s="75" t="e">
        <f t="shared" si="3"/>
        <v>#DIV/0!</v>
      </c>
      <c r="AB29" s="30"/>
      <c r="AC29" s="2"/>
      <c r="AD29" s="2"/>
    </row>
    <row r="30" spans="1:30" x14ac:dyDescent="0.3">
      <c r="A30" s="2"/>
      <c r="B30" s="2"/>
      <c r="C30" s="11"/>
      <c r="D30" s="286"/>
      <c r="E30" s="245"/>
      <c r="F30" s="236"/>
      <c r="G30" s="76"/>
      <c r="H30" s="77"/>
      <c r="I30" s="29"/>
      <c r="J30" s="66"/>
      <c r="K30" s="59"/>
      <c r="L30" s="59"/>
      <c r="M30" s="59"/>
      <c r="N30" s="59"/>
      <c r="O30" s="59"/>
      <c r="P30" s="61">
        <v>0</v>
      </c>
      <c r="Q30" s="29"/>
      <c r="R30" s="78" t="s">
        <v>37</v>
      </c>
      <c r="S30" s="79"/>
      <c r="T30" s="235">
        <f t="shared" si="0"/>
        <v>0</v>
      </c>
      <c r="U30" s="236"/>
      <c r="V30" s="62" t="e">
        <f t="shared" si="1"/>
        <v>#DIV/0!</v>
      </c>
      <c r="W30" s="29"/>
      <c r="X30" s="283" t="s">
        <v>72</v>
      </c>
      <c r="Y30" s="119"/>
      <c r="Z30" s="74">
        <f>SUMIF(M59:N119,"Transferencia",O59:P119)+SUMIF(N15:N39,"Transferencia",M15:M39)</f>
        <v>0</v>
      </c>
      <c r="AA30" s="75" t="e">
        <f t="shared" si="3"/>
        <v>#DIV/0!</v>
      </c>
      <c r="AB30" s="30"/>
      <c r="AC30" s="2"/>
      <c r="AD30" s="2"/>
    </row>
    <row r="31" spans="1:30" ht="15.75" customHeight="1" x14ac:dyDescent="0.25">
      <c r="A31" s="2"/>
      <c r="B31" s="2"/>
      <c r="C31" s="11"/>
      <c r="D31" s="279"/>
      <c r="E31" s="245"/>
      <c r="F31" s="280"/>
      <c r="G31" s="72"/>
      <c r="H31" s="73"/>
      <c r="I31" s="29"/>
      <c r="J31" s="63"/>
      <c r="K31" s="3"/>
      <c r="L31" s="3"/>
      <c r="M31" s="3"/>
      <c r="N31" s="3"/>
      <c r="O31" s="3"/>
      <c r="P31" s="64">
        <v>0</v>
      </c>
      <c r="Q31" s="29"/>
      <c r="R31" s="231" t="s">
        <v>38</v>
      </c>
      <c r="S31" s="232"/>
      <c r="T31" s="233">
        <f t="shared" si="0"/>
        <v>0</v>
      </c>
      <c r="U31" s="232"/>
      <c r="V31" s="57" t="e">
        <f t="shared" si="1"/>
        <v>#DIV/0!</v>
      </c>
      <c r="W31" s="2"/>
      <c r="X31" s="28"/>
      <c r="Y31" s="28"/>
      <c r="Z31" s="28"/>
      <c r="AA31" s="28"/>
      <c r="AB31" s="2"/>
      <c r="AC31" s="2"/>
      <c r="AD31" s="2"/>
    </row>
    <row r="32" spans="1:30" ht="15.75" customHeight="1" x14ac:dyDescent="0.25">
      <c r="A32" s="2"/>
      <c r="B32" s="2"/>
      <c r="C32" s="11"/>
      <c r="D32" s="286"/>
      <c r="E32" s="245"/>
      <c r="F32" s="236"/>
      <c r="G32" s="76"/>
      <c r="H32" s="77"/>
      <c r="I32" s="29"/>
      <c r="J32" s="81"/>
      <c r="K32" s="82"/>
      <c r="L32" s="82"/>
      <c r="M32" s="82"/>
      <c r="N32" s="82"/>
      <c r="O32" s="82"/>
      <c r="P32" s="83">
        <v>0</v>
      </c>
      <c r="Q32" s="29"/>
      <c r="R32" s="78" t="s">
        <v>39</v>
      </c>
      <c r="S32" s="79"/>
      <c r="T32" s="235">
        <f t="shared" si="0"/>
        <v>0</v>
      </c>
      <c r="U32" s="236"/>
      <c r="V32" s="62" t="e">
        <f t="shared" si="1"/>
        <v>#DIV/0!</v>
      </c>
      <c r="W32" s="29"/>
      <c r="X32" s="284" t="s">
        <v>81</v>
      </c>
      <c r="Y32" s="209"/>
      <c r="Z32" s="209"/>
      <c r="AA32" s="129"/>
      <c r="AB32" s="30"/>
      <c r="AC32" s="2"/>
      <c r="AD32" s="2"/>
    </row>
    <row r="33" spans="1:30" ht="15.75" customHeight="1" x14ac:dyDescent="0.25">
      <c r="A33" s="2"/>
      <c r="B33" s="2"/>
      <c r="C33" s="11"/>
      <c r="D33" s="279"/>
      <c r="E33" s="245"/>
      <c r="F33" s="280"/>
      <c r="G33" s="72"/>
      <c r="H33" s="73"/>
      <c r="I33" s="29"/>
      <c r="J33" s="84"/>
      <c r="K33" s="85"/>
      <c r="L33" s="85"/>
      <c r="M33" s="85"/>
      <c r="N33" s="85"/>
      <c r="O33" s="85"/>
      <c r="P33" s="86">
        <v>0</v>
      </c>
      <c r="Q33" s="29"/>
      <c r="R33" s="231" t="s">
        <v>40</v>
      </c>
      <c r="S33" s="232"/>
      <c r="T33" s="233">
        <f t="shared" si="0"/>
        <v>0</v>
      </c>
      <c r="U33" s="232"/>
      <c r="V33" s="57" t="e">
        <f t="shared" si="1"/>
        <v>#DIV/0!</v>
      </c>
      <c r="W33" s="29"/>
      <c r="X33" s="130"/>
      <c r="Y33" s="200"/>
      <c r="Z33" s="200"/>
      <c r="AA33" s="131"/>
      <c r="AB33" s="30"/>
      <c r="AC33" s="2"/>
      <c r="AD33" s="2"/>
    </row>
    <row r="34" spans="1:30" x14ac:dyDescent="0.3">
      <c r="A34" s="2"/>
      <c r="B34" s="2"/>
      <c r="C34" s="11"/>
      <c r="D34" s="287"/>
      <c r="E34" s="245"/>
      <c r="F34" s="236"/>
      <c r="G34" s="87"/>
      <c r="H34" s="88"/>
      <c r="I34" s="29"/>
      <c r="J34" s="81"/>
      <c r="K34" s="82"/>
      <c r="L34" s="82"/>
      <c r="M34" s="82"/>
      <c r="N34" s="82"/>
      <c r="O34" s="82"/>
      <c r="P34" s="83">
        <v>0</v>
      </c>
      <c r="Q34" s="29"/>
      <c r="R34" s="78" t="s">
        <v>41</v>
      </c>
      <c r="S34" s="79"/>
      <c r="T34" s="235">
        <f t="shared" si="0"/>
        <v>0</v>
      </c>
      <c r="U34" s="236"/>
      <c r="V34" s="62" t="e">
        <f t="shared" si="1"/>
        <v>#DIV/0!</v>
      </c>
      <c r="W34" s="29"/>
      <c r="X34" s="285" t="s">
        <v>82</v>
      </c>
      <c r="Y34" s="224"/>
      <c r="Z34" s="224"/>
      <c r="AA34" s="119"/>
      <c r="AB34" s="30"/>
      <c r="AC34" s="2"/>
      <c r="AD34" s="2"/>
    </row>
    <row r="35" spans="1:30" ht="15.75" customHeight="1" x14ac:dyDescent="0.25">
      <c r="A35" s="2"/>
      <c r="B35" s="2"/>
      <c r="C35" s="11"/>
      <c r="D35" s="304"/>
      <c r="E35" s="194"/>
      <c r="F35" s="305"/>
      <c r="G35" s="89"/>
      <c r="H35" s="90"/>
      <c r="I35" s="29"/>
      <c r="J35" s="84"/>
      <c r="K35" s="85"/>
      <c r="L35" s="85"/>
      <c r="M35" s="85"/>
      <c r="N35" s="85"/>
      <c r="O35" s="85"/>
      <c r="P35" s="86">
        <v>0</v>
      </c>
      <c r="Q35" s="29"/>
      <c r="R35" s="231" t="s">
        <v>42</v>
      </c>
      <c r="S35" s="232"/>
      <c r="T35" s="233">
        <f t="shared" si="0"/>
        <v>0</v>
      </c>
      <c r="U35" s="232"/>
      <c r="V35" s="57" t="e">
        <f t="shared" si="1"/>
        <v>#DIV/0!</v>
      </c>
      <c r="W35" s="29"/>
      <c r="X35" s="294" t="s">
        <v>83</v>
      </c>
      <c r="Y35" s="295"/>
      <c r="Z35" s="296">
        <f>W8</f>
        <v>0</v>
      </c>
      <c r="AA35" s="258"/>
      <c r="AB35" s="30"/>
      <c r="AC35" s="2"/>
      <c r="AD35" s="2"/>
    </row>
    <row r="36" spans="1:30" x14ac:dyDescent="0.3">
      <c r="A36" s="2"/>
      <c r="B36" s="2"/>
      <c r="C36" s="11"/>
      <c r="D36" s="306" t="s">
        <v>84</v>
      </c>
      <c r="E36" s="129"/>
      <c r="F36" s="307" t="s">
        <v>85</v>
      </c>
      <c r="G36" s="308"/>
      <c r="H36" s="91">
        <f>SUM(G26:G35)</f>
        <v>0</v>
      </c>
      <c r="I36" s="29"/>
      <c r="J36" s="81"/>
      <c r="K36" s="82"/>
      <c r="L36" s="82"/>
      <c r="M36" s="82"/>
      <c r="N36" s="82"/>
      <c r="O36" s="82"/>
      <c r="P36" s="83">
        <v>0</v>
      </c>
      <c r="Q36" s="29"/>
      <c r="R36" s="78" t="s">
        <v>43</v>
      </c>
      <c r="S36" s="79"/>
      <c r="T36" s="235">
        <f t="shared" si="0"/>
        <v>0</v>
      </c>
      <c r="U36" s="236"/>
      <c r="V36" s="62" t="e">
        <f t="shared" si="1"/>
        <v>#DIV/0!</v>
      </c>
      <c r="W36" s="29"/>
      <c r="X36" s="285" t="s">
        <v>86</v>
      </c>
      <c r="Y36" s="224"/>
      <c r="Z36" s="224"/>
      <c r="AA36" s="119"/>
      <c r="AB36" s="30"/>
      <c r="AC36" s="2"/>
      <c r="AD36" s="2"/>
    </row>
    <row r="37" spans="1:30" ht="13" x14ac:dyDescent="0.3">
      <c r="A37" s="2"/>
      <c r="B37" s="2"/>
      <c r="C37" s="11"/>
      <c r="D37" s="130"/>
      <c r="E37" s="131"/>
      <c r="F37" s="309" t="s">
        <v>87</v>
      </c>
      <c r="G37" s="310"/>
      <c r="H37" s="92">
        <f>SUM(H26:H35)</f>
        <v>0</v>
      </c>
      <c r="I37" s="29"/>
      <c r="J37" s="84"/>
      <c r="K37" s="85"/>
      <c r="L37" s="85"/>
      <c r="M37" s="85"/>
      <c r="N37" s="85"/>
      <c r="O37" s="85"/>
      <c r="P37" s="86">
        <v>0</v>
      </c>
      <c r="Q37" s="29"/>
      <c r="R37" s="231" t="s">
        <v>88</v>
      </c>
      <c r="S37" s="232"/>
      <c r="T37" s="233">
        <f t="shared" si="0"/>
        <v>0</v>
      </c>
      <c r="U37" s="232"/>
      <c r="V37" s="57" t="e">
        <f t="shared" si="1"/>
        <v>#DIV/0!</v>
      </c>
      <c r="W37" s="29"/>
      <c r="X37" s="297" t="s">
        <v>89</v>
      </c>
      <c r="Y37" s="298"/>
      <c r="Z37" s="299"/>
      <c r="AA37" s="300"/>
      <c r="AB37" s="30"/>
      <c r="AC37" s="2"/>
      <c r="AD37" s="2"/>
    </row>
    <row r="38" spans="1:30" ht="12.5" x14ac:dyDescent="0.25">
      <c r="A38" s="2"/>
      <c r="B38" s="2"/>
      <c r="C38" s="2"/>
      <c r="D38" s="36"/>
      <c r="E38" s="36"/>
      <c r="F38" s="36"/>
      <c r="G38" s="36"/>
      <c r="H38" s="36"/>
      <c r="I38" s="11"/>
      <c r="J38" s="81"/>
      <c r="K38" s="82"/>
      <c r="L38" s="82"/>
      <c r="M38" s="82"/>
      <c r="N38" s="82"/>
      <c r="O38" s="82"/>
      <c r="P38" s="83">
        <v>0</v>
      </c>
      <c r="Q38" s="29"/>
      <c r="R38" s="93"/>
      <c r="S38" s="2"/>
      <c r="T38" s="2"/>
      <c r="U38" s="2"/>
      <c r="V38" s="94"/>
      <c r="W38" s="29"/>
      <c r="X38" s="301" t="s">
        <v>80</v>
      </c>
      <c r="Y38" s="302"/>
      <c r="Z38" s="288"/>
      <c r="AA38" s="289"/>
      <c r="AB38" s="30"/>
      <c r="AC38" s="2"/>
      <c r="AD38" s="2"/>
    </row>
    <row r="39" spans="1:30" ht="13" x14ac:dyDescent="0.25">
      <c r="A39" s="2"/>
      <c r="B39" s="2"/>
      <c r="C39" s="11"/>
      <c r="D39" s="311" t="s">
        <v>90</v>
      </c>
      <c r="E39" s="209"/>
      <c r="F39" s="209"/>
      <c r="G39" s="312"/>
      <c r="H39" s="129"/>
      <c r="I39" s="29"/>
      <c r="J39" s="84"/>
      <c r="K39" s="85"/>
      <c r="L39" s="85"/>
      <c r="M39" s="85"/>
      <c r="N39" s="85"/>
      <c r="O39" s="85"/>
      <c r="P39" s="86">
        <v>0</v>
      </c>
      <c r="Q39" s="29"/>
      <c r="R39" s="271"/>
      <c r="S39" s="232"/>
      <c r="T39" s="274"/>
      <c r="U39" s="232"/>
      <c r="V39" s="95"/>
      <c r="W39" s="29"/>
      <c r="X39" s="303" t="s">
        <v>91</v>
      </c>
      <c r="Y39" s="129"/>
      <c r="Z39" s="290">
        <f>(Z38+Z37)-Z35</f>
        <v>0</v>
      </c>
      <c r="AA39" s="119"/>
      <c r="AB39" s="30"/>
      <c r="AC39" s="2"/>
      <c r="AD39" s="2"/>
    </row>
    <row r="40" spans="1:30" ht="13" x14ac:dyDescent="0.3">
      <c r="A40" s="2"/>
      <c r="B40" s="2"/>
      <c r="C40" s="11"/>
      <c r="D40" s="130"/>
      <c r="E40" s="200"/>
      <c r="F40" s="200"/>
      <c r="G40" s="130"/>
      <c r="H40" s="131"/>
      <c r="I40" s="29"/>
      <c r="J40" s="96" t="s">
        <v>14</v>
      </c>
      <c r="K40" s="97"/>
      <c r="L40" s="97">
        <f t="shared" ref="L40:M40" si="4">SUM(L15:L39)</f>
        <v>0</v>
      </c>
      <c r="M40" s="97">
        <f t="shared" si="4"/>
        <v>0</v>
      </c>
      <c r="N40" s="97"/>
      <c r="O40" s="97"/>
      <c r="P40" s="98"/>
      <c r="Q40" s="29"/>
      <c r="R40" s="272" t="s">
        <v>14</v>
      </c>
      <c r="S40" s="273"/>
      <c r="T40" s="291">
        <f>SUM(T15:U39)</f>
        <v>0</v>
      </c>
      <c r="U40" s="224"/>
      <c r="V40" s="119"/>
      <c r="W40" s="29"/>
      <c r="X40" s="130"/>
      <c r="Y40" s="131"/>
      <c r="Z40" s="290" t="str">
        <f>IF(Z39&lt;0,"Te falta dinero o anotar algo", "Te sobra dinero o anotar algo")</f>
        <v>Te sobra dinero o anotar algo</v>
      </c>
      <c r="AA40" s="119"/>
      <c r="AB40" s="30"/>
      <c r="AC40" s="2"/>
      <c r="AD40" s="2"/>
    </row>
    <row r="41" spans="1:30" ht="12.5" x14ac:dyDescent="0.25">
      <c r="A41" s="2"/>
      <c r="B41" s="2"/>
      <c r="C41" s="2"/>
      <c r="D41" s="35"/>
      <c r="E41" s="35"/>
      <c r="F41" s="35"/>
      <c r="G41" s="35"/>
      <c r="H41" s="35"/>
      <c r="I41" s="2"/>
      <c r="J41" s="99"/>
      <c r="K41" s="99"/>
      <c r="L41" s="99"/>
      <c r="M41" s="99"/>
      <c r="N41" s="99"/>
      <c r="O41" s="99"/>
      <c r="P41" s="99"/>
      <c r="Q41" s="28"/>
      <c r="R41" s="36"/>
      <c r="S41" s="36"/>
      <c r="T41" s="36"/>
      <c r="U41" s="36"/>
      <c r="V41" s="36"/>
      <c r="W41" s="2"/>
      <c r="X41" s="35"/>
      <c r="Y41" s="35"/>
      <c r="Z41" s="35"/>
      <c r="AA41" s="35"/>
      <c r="AB41" s="2"/>
      <c r="AC41" s="2"/>
      <c r="AD41" s="2"/>
    </row>
    <row r="42" spans="1:30" ht="13" x14ac:dyDescent="0.3">
      <c r="A42" s="2"/>
      <c r="B42" s="2"/>
      <c r="C42" s="2"/>
      <c r="D42" s="313" t="s">
        <v>92</v>
      </c>
      <c r="E42" s="209"/>
      <c r="F42" s="209"/>
      <c r="G42" s="209"/>
      <c r="H42" s="129"/>
      <c r="I42" s="11"/>
      <c r="J42" s="292" t="s">
        <v>93</v>
      </c>
      <c r="K42" s="224"/>
      <c r="L42" s="224"/>
      <c r="M42" s="224"/>
      <c r="N42" s="224"/>
      <c r="O42" s="224"/>
      <c r="P42" s="224"/>
      <c r="Q42" s="224"/>
      <c r="R42" s="224"/>
      <c r="S42" s="100">
        <f>M40+O120</f>
        <v>0</v>
      </c>
      <c r="T42" s="293"/>
      <c r="U42" s="224"/>
      <c r="V42" s="119"/>
      <c r="W42" s="30"/>
      <c r="X42" s="2"/>
      <c r="Y42" s="2"/>
      <c r="Z42" s="2"/>
      <c r="AA42" s="2"/>
      <c r="AB42" s="2"/>
      <c r="AC42" s="2"/>
      <c r="AD42" s="2"/>
    </row>
    <row r="43" spans="1:30" ht="12.5" x14ac:dyDescent="0.25">
      <c r="A43" s="2"/>
      <c r="B43" s="2"/>
      <c r="C43" s="2"/>
      <c r="D43" s="130"/>
      <c r="E43" s="200"/>
      <c r="F43" s="200"/>
      <c r="G43" s="200"/>
      <c r="H43" s="131"/>
      <c r="I43" s="2"/>
      <c r="J43" s="4"/>
      <c r="K43" s="4"/>
      <c r="L43" s="4"/>
      <c r="M43" s="4"/>
      <c r="N43" s="4"/>
      <c r="O43" s="4"/>
      <c r="P43" s="4"/>
      <c r="Q43" s="35"/>
      <c r="R43" s="35"/>
      <c r="S43" s="35"/>
      <c r="T43" s="35"/>
      <c r="U43" s="35"/>
      <c r="V43" s="35"/>
      <c r="W43" s="2"/>
      <c r="X43" s="2"/>
      <c r="Y43" s="2"/>
      <c r="Z43" s="2"/>
      <c r="AA43" s="2"/>
      <c r="AB43" s="2"/>
      <c r="AC43" s="2"/>
      <c r="AD43" s="2"/>
    </row>
    <row r="44" spans="1:30" ht="13" x14ac:dyDescent="0.25">
      <c r="A44" s="2"/>
      <c r="B44" s="2"/>
      <c r="C44" s="2"/>
      <c r="D44" s="324" t="s">
        <v>62</v>
      </c>
      <c r="E44" s="224"/>
      <c r="F44" s="325"/>
      <c r="G44" s="101" t="s">
        <v>94</v>
      </c>
      <c r="H44" s="102" t="s">
        <v>95</v>
      </c>
      <c r="I44" s="2"/>
      <c r="J44" s="3"/>
      <c r="K44" s="3"/>
      <c r="L44" s="3"/>
      <c r="M44" s="3"/>
      <c r="N44" s="3"/>
      <c r="O44" s="3"/>
      <c r="P44" s="3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2.5" x14ac:dyDescent="0.25">
      <c r="A45" s="2"/>
      <c r="B45" s="2"/>
      <c r="C45" s="11"/>
      <c r="D45" s="326"/>
      <c r="E45" s="327"/>
      <c r="F45" s="230"/>
      <c r="G45" s="103"/>
      <c r="H45" s="104"/>
      <c r="I45" s="30"/>
      <c r="J45" s="3"/>
      <c r="K45" s="3"/>
      <c r="L45" s="3"/>
      <c r="M45" s="3"/>
      <c r="N45" s="3"/>
      <c r="O45" s="3"/>
      <c r="P45" s="3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2.5" x14ac:dyDescent="0.25">
      <c r="A46" s="2"/>
      <c r="B46" s="2"/>
      <c r="C46" s="11"/>
      <c r="D46" s="328"/>
      <c r="E46" s="245"/>
      <c r="F46" s="329"/>
      <c r="G46" s="105"/>
      <c r="H46" s="106"/>
      <c r="I46" s="30"/>
      <c r="J46" s="3"/>
      <c r="K46" s="3"/>
      <c r="L46" s="3"/>
      <c r="M46" s="3"/>
      <c r="N46" s="3"/>
      <c r="O46" s="3"/>
      <c r="P46" s="3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2.5" x14ac:dyDescent="0.25">
      <c r="A47" s="2"/>
      <c r="B47" s="2"/>
      <c r="C47" s="11"/>
      <c r="D47" s="330"/>
      <c r="E47" s="245"/>
      <c r="F47" s="236"/>
      <c r="G47" s="2"/>
      <c r="H47" s="94"/>
      <c r="I47" s="30"/>
      <c r="J47" s="3"/>
      <c r="K47" s="3"/>
      <c r="L47" s="3"/>
      <c r="M47" s="3"/>
      <c r="N47" s="3"/>
      <c r="O47" s="3"/>
      <c r="P47" s="3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2.5" x14ac:dyDescent="0.25">
      <c r="A48" s="2"/>
      <c r="B48" s="2"/>
      <c r="C48" s="11"/>
      <c r="D48" s="328"/>
      <c r="E48" s="245"/>
      <c r="F48" s="329"/>
      <c r="G48" s="105"/>
      <c r="H48" s="106"/>
      <c r="I48" s="30"/>
      <c r="J48" s="3"/>
      <c r="K48" s="3"/>
      <c r="L48" s="3"/>
      <c r="M48" s="3"/>
      <c r="N48" s="3"/>
      <c r="O48" s="3"/>
      <c r="P48" s="3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2.5" x14ac:dyDescent="0.25">
      <c r="A49" s="2"/>
      <c r="B49" s="2"/>
      <c r="C49" s="11"/>
      <c r="D49" s="330"/>
      <c r="E49" s="245"/>
      <c r="F49" s="236"/>
      <c r="G49" s="2"/>
      <c r="H49" s="94"/>
      <c r="I49" s="30"/>
      <c r="J49" s="3"/>
      <c r="K49" s="3"/>
      <c r="L49" s="3"/>
      <c r="M49" s="3"/>
      <c r="N49" s="3"/>
      <c r="O49" s="3"/>
      <c r="P49" s="3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2.5" x14ac:dyDescent="0.25">
      <c r="A50" s="2"/>
      <c r="B50" s="2"/>
      <c r="C50" s="11"/>
      <c r="D50" s="328"/>
      <c r="E50" s="245"/>
      <c r="F50" s="329"/>
      <c r="G50" s="105"/>
      <c r="H50" s="106"/>
      <c r="I50" s="30"/>
      <c r="J50" s="3"/>
      <c r="K50" s="3"/>
      <c r="L50" s="3"/>
      <c r="M50" s="3"/>
      <c r="N50" s="3"/>
      <c r="O50" s="3"/>
      <c r="P50" s="3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2.5" x14ac:dyDescent="0.25">
      <c r="A51" s="2"/>
      <c r="B51" s="2"/>
      <c r="C51" s="11"/>
      <c r="D51" s="331"/>
      <c r="E51" s="218"/>
      <c r="F51" s="219"/>
      <c r="G51" s="47"/>
      <c r="H51" s="107"/>
      <c r="I51" s="30"/>
      <c r="J51" s="3"/>
      <c r="K51" s="3"/>
      <c r="L51" s="3"/>
      <c r="M51" s="3"/>
      <c r="N51" s="3"/>
      <c r="O51" s="3"/>
      <c r="P51" s="3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3" x14ac:dyDescent="0.3">
      <c r="A52" s="2"/>
      <c r="B52" s="2"/>
      <c r="C52" s="11"/>
      <c r="D52" s="332" t="s">
        <v>96</v>
      </c>
      <c r="E52" s="224"/>
      <c r="F52" s="224"/>
      <c r="G52" s="325"/>
      <c r="H52" s="108">
        <f>SUMIF(G45:G51, "Ahorro", H45:H51)</f>
        <v>0</v>
      </c>
      <c r="I52" s="30"/>
      <c r="J52" s="3"/>
      <c r="K52" s="3"/>
      <c r="L52" s="3"/>
      <c r="M52" s="3"/>
      <c r="N52" s="3"/>
      <c r="O52" s="3"/>
      <c r="P52" s="3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3" x14ac:dyDescent="0.3">
      <c r="A53" s="2"/>
      <c r="B53" s="2"/>
      <c r="C53" s="11"/>
      <c r="D53" s="332" t="s">
        <v>97</v>
      </c>
      <c r="E53" s="224"/>
      <c r="F53" s="224"/>
      <c r="G53" s="325"/>
      <c r="H53" s="108">
        <f>SUMIF(G45:G51, "Inversión", H45:H51)</f>
        <v>0</v>
      </c>
      <c r="I53" s="30"/>
      <c r="J53" s="3"/>
      <c r="K53" s="3"/>
      <c r="L53" s="3"/>
      <c r="M53" s="3"/>
      <c r="N53" s="3"/>
      <c r="O53" s="3"/>
      <c r="P53" s="3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2.5" x14ac:dyDescent="0.25">
      <c r="A54" s="2"/>
      <c r="B54" s="2"/>
      <c r="C54" s="2"/>
      <c r="D54" s="35"/>
      <c r="E54" s="35"/>
      <c r="F54" s="35"/>
      <c r="G54" s="35"/>
      <c r="H54" s="35"/>
      <c r="I54" s="2"/>
      <c r="J54" s="3"/>
      <c r="K54" s="3"/>
      <c r="L54" s="3"/>
      <c r="M54" s="3"/>
      <c r="N54" s="3"/>
      <c r="O54" s="3"/>
      <c r="P54" s="3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2.5" x14ac:dyDescent="0.25">
      <c r="A55" s="2"/>
      <c r="B55" s="2"/>
      <c r="C55" s="2"/>
      <c r="D55" s="28"/>
      <c r="E55" s="28"/>
      <c r="F55" s="28"/>
      <c r="G55" s="28"/>
      <c r="H55" s="28"/>
      <c r="I55" s="28"/>
      <c r="J55" s="5"/>
      <c r="K55" s="5"/>
      <c r="L55" s="5"/>
      <c r="M55" s="5"/>
      <c r="N55" s="5"/>
      <c r="O55" s="5"/>
      <c r="P55" s="5"/>
      <c r="Q55" s="28"/>
      <c r="R55" s="28"/>
      <c r="S55" s="28"/>
      <c r="T55" s="28"/>
      <c r="U55" s="28"/>
      <c r="V55" s="28"/>
      <c r="W55" s="2"/>
      <c r="X55" s="2"/>
      <c r="Y55" s="2"/>
      <c r="Z55" s="2"/>
      <c r="AA55" s="2"/>
      <c r="AB55" s="2"/>
      <c r="AC55" s="2"/>
      <c r="AD55" s="2"/>
    </row>
    <row r="56" spans="1:30" ht="12.5" x14ac:dyDescent="0.25">
      <c r="A56" s="2"/>
      <c r="B56" s="2"/>
      <c r="C56" s="11"/>
      <c r="D56" s="208" t="s">
        <v>98</v>
      </c>
      <c r="E56" s="209"/>
      <c r="F56" s="209"/>
      <c r="G56" s="209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9"/>
      <c r="S56" s="209"/>
      <c r="T56" s="209"/>
      <c r="U56" s="209"/>
      <c r="V56" s="129"/>
      <c r="W56" s="30"/>
      <c r="X56" s="2"/>
      <c r="Y56" s="2"/>
      <c r="Z56" s="2"/>
      <c r="AA56" s="2"/>
      <c r="AB56" s="2"/>
      <c r="AC56" s="2"/>
      <c r="AD56" s="2"/>
    </row>
    <row r="57" spans="1:30" ht="12.5" x14ac:dyDescent="0.25">
      <c r="A57" s="2"/>
      <c r="B57" s="2"/>
      <c r="C57" s="11"/>
      <c r="D57" s="333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277"/>
      <c r="P57" s="277"/>
      <c r="Q57" s="277"/>
      <c r="R57" s="277"/>
      <c r="S57" s="277"/>
      <c r="T57" s="277"/>
      <c r="U57" s="277"/>
      <c r="V57" s="334"/>
      <c r="W57" s="30"/>
      <c r="X57" s="2"/>
      <c r="Y57" s="2"/>
      <c r="Z57" s="2"/>
      <c r="AA57" s="2"/>
      <c r="AB57" s="2"/>
      <c r="AC57" s="2"/>
      <c r="AD57" s="2"/>
    </row>
    <row r="58" spans="1:30" ht="13" x14ac:dyDescent="0.3">
      <c r="A58" s="2"/>
      <c r="B58" s="2"/>
      <c r="C58" s="11"/>
      <c r="D58" s="335" t="s">
        <v>62</v>
      </c>
      <c r="E58" s="224"/>
      <c r="F58" s="224"/>
      <c r="G58" s="224"/>
      <c r="H58" s="224"/>
      <c r="I58" s="119"/>
      <c r="J58" s="109" t="s">
        <v>99</v>
      </c>
      <c r="K58" s="319" t="s">
        <v>68</v>
      </c>
      <c r="L58" s="119"/>
      <c r="M58" s="319" t="s">
        <v>100</v>
      </c>
      <c r="N58" s="119"/>
      <c r="O58" s="319" t="s">
        <v>95</v>
      </c>
      <c r="P58" s="119"/>
      <c r="Q58" s="319" t="s">
        <v>101</v>
      </c>
      <c r="R58" s="224"/>
      <c r="S58" s="224"/>
      <c r="T58" s="224"/>
      <c r="U58" s="224"/>
      <c r="V58" s="119"/>
      <c r="W58" s="30"/>
      <c r="X58" s="2"/>
      <c r="Y58" s="2"/>
      <c r="Z58" s="2"/>
      <c r="AA58" s="2"/>
      <c r="AB58" s="2"/>
      <c r="AC58" s="2"/>
      <c r="AD58" s="2"/>
    </row>
    <row r="59" spans="1:30" ht="12.5" x14ac:dyDescent="0.25">
      <c r="A59" s="2"/>
      <c r="B59" s="2"/>
      <c r="C59" s="11"/>
      <c r="D59" s="336"/>
      <c r="E59" s="277"/>
      <c r="F59" s="277"/>
      <c r="G59" s="277"/>
      <c r="H59" s="277"/>
      <c r="I59" s="142"/>
      <c r="J59" s="4"/>
      <c r="K59" s="314"/>
      <c r="L59" s="142"/>
      <c r="M59" s="314"/>
      <c r="N59" s="142"/>
      <c r="O59" s="315"/>
      <c r="P59" s="142"/>
      <c r="Q59" s="247"/>
      <c r="R59" s="277"/>
      <c r="S59" s="277"/>
      <c r="T59" s="277"/>
      <c r="U59" s="277"/>
      <c r="V59" s="334"/>
      <c r="W59" s="30"/>
      <c r="X59" s="2"/>
      <c r="Y59" s="2"/>
      <c r="Z59" s="2"/>
      <c r="AA59" s="2"/>
      <c r="AB59" s="2"/>
      <c r="AC59" s="2"/>
      <c r="AD59" s="2"/>
    </row>
    <row r="60" spans="1:30" ht="12.5" x14ac:dyDescent="0.25">
      <c r="A60" s="2"/>
      <c r="B60" s="2"/>
      <c r="C60" s="11"/>
      <c r="D60" s="337"/>
      <c r="E60" s="277"/>
      <c r="F60" s="277"/>
      <c r="G60" s="277"/>
      <c r="H60" s="277"/>
      <c r="I60" s="338"/>
      <c r="J60" s="111"/>
      <c r="K60" s="316"/>
      <c r="L60" s="232"/>
      <c r="M60" s="316"/>
      <c r="N60" s="232"/>
      <c r="O60" s="317"/>
      <c r="P60" s="232"/>
      <c r="Q60" s="274"/>
      <c r="R60" s="245"/>
      <c r="S60" s="245"/>
      <c r="T60" s="245"/>
      <c r="U60" s="245"/>
      <c r="V60" s="246"/>
      <c r="W60" s="30"/>
      <c r="X60" s="2"/>
      <c r="Y60" s="2"/>
      <c r="Z60" s="2"/>
      <c r="AA60" s="2"/>
      <c r="AB60" s="2"/>
      <c r="AC60" s="2"/>
      <c r="AD60" s="2"/>
    </row>
    <row r="61" spans="1:30" ht="12.5" x14ac:dyDescent="0.25">
      <c r="A61" s="2"/>
      <c r="B61" s="2"/>
      <c r="C61" s="11"/>
      <c r="D61" s="336"/>
      <c r="E61" s="277"/>
      <c r="F61" s="277"/>
      <c r="G61" s="277"/>
      <c r="H61" s="277"/>
      <c r="I61" s="142"/>
      <c r="J61" s="3"/>
      <c r="K61" s="314"/>
      <c r="L61" s="142"/>
      <c r="M61" s="314"/>
      <c r="N61" s="142"/>
      <c r="O61" s="320"/>
      <c r="P61" s="236"/>
      <c r="Q61" s="318"/>
      <c r="R61" s="245"/>
      <c r="S61" s="245"/>
      <c r="T61" s="245"/>
      <c r="U61" s="245"/>
      <c r="V61" s="246"/>
      <c r="W61" s="30"/>
      <c r="X61" s="2"/>
      <c r="Y61" s="2"/>
      <c r="Z61" s="2"/>
      <c r="AA61" s="2"/>
      <c r="AB61" s="2"/>
      <c r="AC61" s="2"/>
      <c r="AD61" s="2"/>
    </row>
    <row r="62" spans="1:30" ht="12.5" x14ac:dyDescent="0.25">
      <c r="A62" s="2"/>
      <c r="B62" s="2"/>
      <c r="C62" s="11"/>
      <c r="D62" s="337"/>
      <c r="E62" s="277"/>
      <c r="F62" s="277"/>
      <c r="G62" s="277"/>
      <c r="H62" s="277"/>
      <c r="I62" s="338"/>
      <c r="J62" s="111"/>
      <c r="K62" s="316"/>
      <c r="L62" s="232"/>
      <c r="M62" s="316"/>
      <c r="N62" s="232"/>
      <c r="O62" s="317"/>
      <c r="P62" s="232"/>
      <c r="Q62" s="274"/>
      <c r="R62" s="245"/>
      <c r="S62" s="245"/>
      <c r="T62" s="245"/>
      <c r="U62" s="245"/>
      <c r="V62" s="246"/>
      <c r="W62" s="30"/>
      <c r="X62" s="2"/>
      <c r="Y62" s="2"/>
      <c r="Z62" s="2"/>
      <c r="AA62" s="2"/>
      <c r="AB62" s="2"/>
      <c r="AC62" s="2"/>
      <c r="AD62" s="2"/>
    </row>
    <row r="63" spans="1:30" ht="12.5" x14ac:dyDescent="0.25">
      <c r="A63" s="2"/>
      <c r="B63" s="2"/>
      <c r="C63" s="11"/>
      <c r="D63" s="336"/>
      <c r="E63" s="277"/>
      <c r="F63" s="277"/>
      <c r="G63" s="277"/>
      <c r="H63" s="277"/>
      <c r="I63" s="142"/>
      <c r="J63" s="3"/>
      <c r="K63" s="314"/>
      <c r="L63" s="142"/>
      <c r="M63" s="314"/>
      <c r="N63" s="142"/>
      <c r="O63" s="320"/>
      <c r="P63" s="236"/>
      <c r="Q63" s="318"/>
      <c r="R63" s="245"/>
      <c r="S63" s="245"/>
      <c r="T63" s="245"/>
      <c r="U63" s="245"/>
      <c r="V63" s="246"/>
      <c r="W63" s="30"/>
      <c r="X63" s="2"/>
      <c r="Y63" s="2"/>
      <c r="Z63" s="2"/>
      <c r="AA63" s="2"/>
      <c r="AB63" s="2"/>
      <c r="AC63" s="2"/>
      <c r="AD63" s="2"/>
    </row>
    <row r="64" spans="1:30" ht="14" x14ac:dyDescent="0.3">
      <c r="A64" s="2"/>
      <c r="B64" s="2"/>
      <c r="C64" s="11"/>
      <c r="D64" s="337"/>
      <c r="E64" s="277"/>
      <c r="F64" s="277"/>
      <c r="G64" s="277"/>
      <c r="H64" s="277"/>
      <c r="I64" s="338"/>
      <c r="J64" s="111"/>
      <c r="K64" s="316"/>
      <c r="L64" s="232"/>
      <c r="M64" s="316"/>
      <c r="N64" s="232"/>
      <c r="O64" s="321"/>
      <c r="P64" s="232"/>
      <c r="Q64" s="274"/>
      <c r="R64" s="245"/>
      <c r="S64" s="245"/>
      <c r="T64" s="245"/>
      <c r="U64" s="245"/>
      <c r="V64" s="246"/>
      <c r="W64" s="30"/>
      <c r="X64" s="2"/>
      <c r="Y64" s="2"/>
      <c r="Z64" s="2"/>
      <c r="AA64" s="2"/>
      <c r="AB64" s="2"/>
      <c r="AC64" s="2"/>
      <c r="AD64" s="2"/>
    </row>
    <row r="65" spans="1:30" ht="12.5" x14ac:dyDescent="0.25">
      <c r="A65" s="2"/>
      <c r="B65" s="2"/>
      <c r="C65" s="11"/>
      <c r="D65" s="93"/>
      <c r="E65" s="2"/>
      <c r="F65" s="2"/>
      <c r="G65" s="2"/>
      <c r="H65" s="2"/>
      <c r="I65" s="2"/>
      <c r="J65" s="3"/>
      <c r="K65" s="314"/>
      <c r="L65" s="142"/>
      <c r="M65" s="314"/>
      <c r="N65" s="142"/>
      <c r="O65" s="320"/>
      <c r="P65" s="236"/>
      <c r="Q65" s="318"/>
      <c r="R65" s="245"/>
      <c r="S65" s="245"/>
      <c r="T65" s="245"/>
      <c r="U65" s="245"/>
      <c r="V65" s="246"/>
      <c r="W65" s="30"/>
      <c r="X65" s="2"/>
      <c r="Y65" s="2"/>
      <c r="Z65" s="2"/>
      <c r="AA65" s="2"/>
      <c r="AB65" s="2"/>
      <c r="AC65" s="2"/>
      <c r="AD65" s="2"/>
    </row>
    <row r="66" spans="1:30" ht="12.5" x14ac:dyDescent="0.25">
      <c r="A66" s="2"/>
      <c r="B66" s="2"/>
      <c r="C66" s="11"/>
      <c r="D66" s="337"/>
      <c r="E66" s="277"/>
      <c r="F66" s="277"/>
      <c r="G66" s="277"/>
      <c r="H66" s="277"/>
      <c r="I66" s="338"/>
      <c r="J66" s="111"/>
      <c r="K66" s="316"/>
      <c r="L66" s="232"/>
      <c r="M66" s="316"/>
      <c r="N66" s="232"/>
      <c r="O66" s="317"/>
      <c r="P66" s="232"/>
      <c r="Q66" s="274"/>
      <c r="R66" s="245"/>
      <c r="S66" s="245"/>
      <c r="T66" s="245"/>
      <c r="U66" s="245"/>
      <c r="V66" s="246"/>
      <c r="W66" s="30"/>
      <c r="X66" s="2"/>
      <c r="Y66" s="2"/>
      <c r="Z66" s="2"/>
      <c r="AA66" s="2"/>
      <c r="AB66" s="2"/>
      <c r="AC66" s="2"/>
      <c r="AD66" s="2"/>
    </row>
    <row r="67" spans="1:30" ht="12.5" x14ac:dyDescent="0.25">
      <c r="A67" s="2"/>
      <c r="B67" s="2"/>
      <c r="C67" s="11"/>
      <c r="D67" s="93"/>
      <c r="E67" s="2"/>
      <c r="F67" s="2"/>
      <c r="G67" s="2"/>
      <c r="H67" s="2"/>
      <c r="I67" s="2"/>
      <c r="J67" s="3"/>
      <c r="K67" s="314"/>
      <c r="L67" s="142"/>
      <c r="M67" s="314"/>
      <c r="N67" s="142"/>
      <c r="O67" s="320"/>
      <c r="P67" s="236"/>
      <c r="Q67" s="318"/>
      <c r="R67" s="245"/>
      <c r="S67" s="245"/>
      <c r="T67" s="245"/>
      <c r="U67" s="245"/>
      <c r="V67" s="246"/>
      <c r="W67" s="30"/>
      <c r="X67" s="2"/>
      <c r="Y67" s="2"/>
      <c r="Z67" s="2"/>
      <c r="AA67" s="2"/>
      <c r="AB67" s="2"/>
      <c r="AC67" s="2"/>
      <c r="AD67" s="2"/>
    </row>
    <row r="68" spans="1:30" ht="12.5" x14ac:dyDescent="0.25">
      <c r="A68" s="2"/>
      <c r="B68" s="2"/>
      <c r="C68" s="11"/>
      <c r="D68" s="337"/>
      <c r="E68" s="277"/>
      <c r="F68" s="277"/>
      <c r="G68" s="277"/>
      <c r="H68" s="277"/>
      <c r="I68" s="338"/>
      <c r="J68" s="111"/>
      <c r="K68" s="316"/>
      <c r="L68" s="232"/>
      <c r="M68" s="316"/>
      <c r="N68" s="232"/>
      <c r="O68" s="317"/>
      <c r="P68" s="232"/>
      <c r="Q68" s="274"/>
      <c r="R68" s="245"/>
      <c r="S68" s="245"/>
      <c r="T68" s="245"/>
      <c r="U68" s="245"/>
      <c r="V68" s="246"/>
      <c r="W68" s="30"/>
      <c r="X68" s="2"/>
      <c r="Y68" s="2"/>
      <c r="Z68" s="2"/>
      <c r="AA68" s="2"/>
      <c r="AB68" s="2"/>
      <c r="AC68" s="2"/>
      <c r="AD68" s="2"/>
    </row>
    <row r="69" spans="1:30" ht="12.5" x14ac:dyDescent="0.25">
      <c r="A69" s="2"/>
      <c r="B69" s="2"/>
      <c r="C69" s="11"/>
      <c r="D69" s="93"/>
      <c r="E69" s="2"/>
      <c r="F69" s="2"/>
      <c r="G69" s="2"/>
      <c r="H69" s="2"/>
      <c r="I69" s="2"/>
      <c r="J69" s="3"/>
      <c r="K69" s="314"/>
      <c r="L69" s="142"/>
      <c r="M69" s="314"/>
      <c r="N69" s="142"/>
      <c r="O69" s="320"/>
      <c r="P69" s="236"/>
      <c r="Q69" s="318"/>
      <c r="R69" s="245"/>
      <c r="S69" s="245"/>
      <c r="T69" s="245"/>
      <c r="U69" s="245"/>
      <c r="V69" s="246"/>
      <c r="W69" s="30"/>
      <c r="X69" s="2"/>
      <c r="Y69" s="2"/>
      <c r="Z69" s="2"/>
      <c r="AA69" s="2"/>
      <c r="AB69" s="2"/>
      <c r="AC69" s="2"/>
      <c r="AD69" s="2"/>
    </row>
    <row r="70" spans="1:30" ht="12.5" x14ac:dyDescent="0.25">
      <c r="A70" s="2"/>
      <c r="B70" s="2"/>
      <c r="C70" s="11"/>
      <c r="D70" s="337"/>
      <c r="E70" s="277"/>
      <c r="F70" s="277"/>
      <c r="G70" s="277"/>
      <c r="H70" s="277"/>
      <c r="I70" s="338"/>
      <c r="J70" s="111"/>
      <c r="K70" s="316"/>
      <c r="L70" s="232"/>
      <c r="M70" s="316"/>
      <c r="N70" s="232"/>
      <c r="O70" s="317"/>
      <c r="P70" s="232"/>
      <c r="Q70" s="274"/>
      <c r="R70" s="245"/>
      <c r="S70" s="245"/>
      <c r="T70" s="245"/>
      <c r="U70" s="245"/>
      <c r="V70" s="246"/>
      <c r="W70" s="30"/>
      <c r="X70" s="2"/>
      <c r="Y70" s="2"/>
      <c r="Z70" s="2"/>
      <c r="AA70" s="2"/>
      <c r="AB70" s="2"/>
      <c r="AC70" s="2"/>
      <c r="AD70" s="2"/>
    </row>
    <row r="71" spans="1:30" ht="12.5" x14ac:dyDescent="0.25">
      <c r="A71" s="2"/>
      <c r="B71" s="2"/>
      <c r="C71" s="11"/>
      <c r="D71" s="93"/>
      <c r="E71" s="2"/>
      <c r="F71" s="2"/>
      <c r="G71" s="2"/>
      <c r="H71" s="2"/>
      <c r="I71" s="2"/>
      <c r="J71" s="3"/>
      <c r="K71" s="314"/>
      <c r="L71" s="142"/>
      <c r="M71" s="314"/>
      <c r="N71" s="142"/>
      <c r="O71" s="320"/>
      <c r="P71" s="236"/>
      <c r="Q71" s="318"/>
      <c r="R71" s="245"/>
      <c r="S71" s="245"/>
      <c r="T71" s="245"/>
      <c r="U71" s="245"/>
      <c r="V71" s="246"/>
      <c r="W71" s="30"/>
      <c r="X71" s="2"/>
      <c r="Y71" s="2"/>
      <c r="Z71" s="2"/>
      <c r="AA71" s="2"/>
      <c r="AB71" s="2"/>
      <c r="AC71" s="2"/>
      <c r="AD71" s="2"/>
    </row>
    <row r="72" spans="1:30" ht="12.5" x14ac:dyDescent="0.25">
      <c r="A72" s="2"/>
      <c r="B72" s="2"/>
      <c r="C72" s="11"/>
      <c r="D72" s="337"/>
      <c r="E72" s="277"/>
      <c r="F72" s="277"/>
      <c r="G72" s="277"/>
      <c r="H72" s="277"/>
      <c r="I72" s="338"/>
      <c r="J72" s="111"/>
      <c r="K72" s="316"/>
      <c r="L72" s="232"/>
      <c r="M72" s="316"/>
      <c r="N72" s="232"/>
      <c r="O72" s="317"/>
      <c r="P72" s="232"/>
      <c r="Q72" s="274"/>
      <c r="R72" s="245"/>
      <c r="S72" s="245"/>
      <c r="T72" s="245"/>
      <c r="U72" s="245"/>
      <c r="V72" s="246"/>
      <c r="W72" s="30"/>
      <c r="X72" s="2"/>
      <c r="Y72" s="2"/>
      <c r="Z72" s="2"/>
      <c r="AA72" s="2"/>
      <c r="AB72" s="2"/>
      <c r="AC72" s="2"/>
      <c r="AD72" s="2"/>
    </row>
    <row r="73" spans="1:30" ht="12.5" x14ac:dyDescent="0.25">
      <c r="A73" s="2"/>
      <c r="B73" s="2"/>
      <c r="C73" s="11"/>
      <c r="D73" s="93"/>
      <c r="E73" s="2"/>
      <c r="F73" s="2"/>
      <c r="G73" s="2"/>
      <c r="H73" s="2"/>
      <c r="I73" s="2"/>
      <c r="J73" s="3"/>
      <c r="K73" s="314"/>
      <c r="L73" s="142"/>
      <c r="M73" s="314"/>
      <c r="N73" s="142"/>
      <c r="O73" s="320"/>
      <c r="P73" s="236"/>
      <c r="Q73" s="318"/>
      <c r="R73" s="245"/>
      <c r="S73" s="245"/>
      <c r="T73" s="245"/>
      <c r="U73" s="245"/>
      <c r="V73" s="246"/>
      <c r="W73" s="30"/>
      <c r="X73" s="2"/>
      <c r="Y73" s="2"/>
      <c r="Z73" s="2"/>
      <c r="AA73" s="2"/>
      <c r="AB73" s="2"/>
      <c r="AC73" s="2"/>
      <c r="AD73" s="2"/>
    </row>
    <row r="74" spans="1:30" ht="12.5" x14ac:dyDescent="0.25">
      <c r="A74" s="2"/>
      <c r="B74" s="2"/>
      <c r="C74" s="11"/>
      <c r="D74" s="337"/>
      <c r="E74" s="277"/>
      <c r="F74" s="277"/>
      <c r="G74" s="277"/>
      <c r="H74" s="277"/>
      <c r="I74" s="338"/>
      <c r="J74" s="111"/>
      <c r="K74" s="316"/>
      <c r="L74" s="232"/>
      <c r="M74" s="316"/>
      <c r="N74" s="232"/>
      <c r="O74" s="317"/>
      <c r="P74" s="232"/>
      <c r="Q74" s="274"/>
      <c r="R74" s="245"/>
      <c r="S74" s="245"/>
      <c r="T74" s="245"/>
      <c r="U74" s="245"/>
      <c r="V74" s="246"/>
      <c r="W74" s="30"/>
      <c r="X74" s="2"/>
      <c r="Y74" s="2"/>
      <c r="Z74" s="2"/>
      <c r="AA74" s="2"/>
      <c r="AB74" s="2"/>
      <c r="AC74" s="2"/>
      <c r="AD74" s="2"/>
    </row>
    <row r="75" spans="1:30" ht="12.5" x14ac:dyDescent="0.25">
      <c r="A75" s="2"/>
      <c r="B75" s="2"/>
      <c r="C75" s="11"/>
      <c r="D75" s="93"/>
      <c r="E75" s="2"/>
      <c r="F75" s="2"/>
      <c r="G75" s="2"/>
      <c r="H75" s="2"/>
      <c r="I75" s="2"/>
      <c r="J75" s="3"/>
      <c r="K75" s="314"/>
      <c r="L75" s="142"/>
      <c r="M75" s="314"/>
      <c r="N75" s="142"/>
      <c r="O75" s="320"/>
      <c r="P75" s="236"/>
      <c r="Q75" s="318"/>
      <c r="R75" s="245"/>
      <c r="S75" s="245"/>
      <c r="T75" s="245"/>
      <c r="U75" s="245"/>
      <c r="V75" s="246"/>
      <c r="W75" s="30"/>
      <c r="X75" s="2"/>
      <c r="Y75" s="2"/>
      <c r="Z75" s="2"/>
      <c r="AA75" s="2"/>
      <c r="AB75" s="2"/>
      <c r="AC75" s="2"/>
      <c r="AD75" s="2"/>
    </row>
    <row r="76" spans="1:30" ht="12.5" x14ac:dyDescent="0.25">
      <c r="A76" s="2"/>
      <c r="B76" s="2"/>
      <c r="C76" s="11"/>
      <c r="D76" s="337"/>
      <c r="E76" s="277"/>
      <c r="F76" s="277"/>
      <c r="G76" s="277"/>
      <c r="H76" s="277"/>
      <c r="I76" s="338"/>
      <c r="J76" s="111"/>
      <c r="K76" s="316"/>
      <c r="L76" s="232"/>
      <c r="M76" s="316"/>
      <c r="N76" s="232"/>
      <c r="O76" s="317"/>
      <c r="P76" s="232"/>
      <c r="Q76" s="274"/>
      <c r="R76" s="245"/>
      <c r="S76" s="245"/>
      <c r="T76" s="245"/>
      <c r="U76" s="245"/>
      <c r="V76" s="246"/>
      <c r="W76" s="30"/>
      <c r="X76" s="2"/>
      <c r="Y76" s="2"/>
      <c r="Z76" s="2"/>
      <c r="AA76" s="2"/>
      <c r="AB76" s="2"/>
      <c r="AC76" s="2"/>
      <c r="AD76" s="2"/>
    </row>
    <row r="77" spans="1:30" ht="12.5" x14ac:dyDescent="0.25">
      <c r="A77" s="2"/>
      <c r="B77" s="2"/>
      <c r="C77" s="11"/>
      <c r="D77" s="93"/>
      <c r="E77" s="2"/>
      <c r="F77" s="2"/>
      <c r="G77" s="2"/>
      <c r="H77" s="2"/>
      <c r="I77" s="2"/>
      <c r="J77" s="3"/>
      <c r="K77" s="314"/>
      <c r="L77" s="142"/>
      <c r="M77" s="314"/>
      <c r="N77" s="142"/>
      <c r="O77" s="320"/>
      <c r="P77" s="236"/>
      <c r="Q77" s="318"/>
      <c r="R77" s="245"/>
      <c r="S77" s="245"/>
      <c r="T77" s="245"/>
      <c r="U77" s="245"/>
      <c r="V77" s="246"/>
      <c r="W77" s="30"/>
      <c r="X77" s="2"/>
      <c r="Y77" s="2"/>
      <c r="Z77" s="2"/>
      <c r="AA77" s="2"/>
      <c r="AB77" s="2"/>
      <c r="AC77" s="2"/>
      <c r="AD77" s="2"/>
    </row>
    <row r="78" spans="1:30" ht="12.5" x14ac:dyDescent="0.25">
      <c r="A78" s="2"/>
      <c r="B78" s="2"/>
      <c r="C78" s="11"/>
      <c r="D78" s="337"/>
      <c r="E78" s="277"/>
      <c r="F78" s="277"/>
      <c r="G78" s="277"/>
      <c r="H78" s="277"/>
      <c r="I78" s="338"/>
      <c r="J78" s="111"/>
      <c r="K78" s="316"/>
      <c r="L78" s="232"/>
      <c r="M78" s="316"/>
      <c r="N78" s="232"/>
      <c r="O78" s="317"/>
      <c r="P78" s="232"/>
      <c r="Q78" s="274"/>
      <c r="R78" s="245"/>
      <c r="S78" s="245"/>
      <c r="T78" s="245"/>
      <c r="U78" s="245"/>
      <c r="V78" s="246"/>
      <c r="W78" s="30"/>
      <c r="X78" s="2"/>
      <c r="Y78" s="2"/>
      <c r="Z78" s="2"/>
      <c r="AA78" s="2"/>
      <c r="AB78" s="2"/>
      <c r="AC78" s="2"/>
      <c r="AD78" s="2"/>
    </row>
    <row r="79" spans="1:30" ht="12.5" x14ac:dyDescent="0.25">
      <c r="A79" s="2"/>
      <c r="B79" s="2"/>
      <c r="C79" s="11"/>
      <c r="D79" s="93"/>
      <c r="E79" s="2"/>
      <c r="F79" s="2"/>
      <c r="G79" s="2"/>
      <c r="H79" s="2"/>
      <c r="I79" s="2"/>
      <c r="J79" s="3"/>
      <c r="K79" s="314"/>
      <c r="L79" s="142"/>
      <c r="M79" s="314"/>
      <c r="N79" s="142"/>
      <c r="O79" s="320"/>
      <c r="P79" s="236"/>
      <c r="Q79" s="318"/>
      <c r="R79" s="245"/>
      <c r="S79" s="245"/>
      <c r="T79" s="245"/>
      <c r="U79" s="245"/>
      <c r="V79" s="246"/>
      <c r="W79" s="30"/>
      <c r="X79" s="2"/>
      <c r="Y79" s="2"/>
      <c r="Z79" s="2"/>
      <c r="AA79" s="2"/>
      <c r="AB79" s="2"/>
      <c r="AC79" s="2"/>
      <c r="AD79" s="2"/>
    </row>
    <row r="80" spans="1:30" ht="12.5" x14ac:dyDescent="0.25">
      <c r="A80" s="2"/>
      <c r="B80" s="2"/>
      <c r="C80" s="11"/>
      <c r="D80" s="337"/>
      <c r="E80" s="277"/>
      <c r="F80" s="277"/>
      <c r="G80" s="277"/>
      <c r="H80" s="277"/>
      <c r="I80" s="338"/>
      <c r="J80" s="111"/>
      <c r="K80" s="316"/>
      <c r="L80" s="232"/>
      <c r="M80" s="316"/>
      <c r="N80" s="232"/>
      <c r="O80" s="317"/>
      <c r="P80" s="232"/>
      <c r="Q80" s="274"/>
      <c r="R80" s="245"/>
      <c r="S80" s="245"/>
      <c r="T80" s="245"/>
      <c r="U80" s="245"/>
      <c r="V80" s="246"/>
      <c r="W80" s="30"/>
      <c r="X80" s="2"/>
      <c r="Y80" s="2"/>
      <c r="Z80" s="2"/>
      <c r="AA80" s="2"/>
      <c r="AB80" s="2"/>
      <c r="AC80" s="2"/>
      <c r="AD80" s="2"/>
    </row>
    <row r="81" spans="1:30" ht="12.5" x14ac:dyDescent="0.25">
      <c r="A81" s="2"/>
      <c r="B81" s="2"/>
      <c r="C81" s="11"/>
      <c r="D81" s="93"/>
      <c r="E81" s="2"/>
      <c r="F81" s="2"/>
      <c r="G81" s="2"/>
      <c r="H81" s="2"/>
      <c r="I81" s="2"/>
      <c r="J81" s="3"/>
      <c r="K81" s="314"/>
      <c r="L81" s="142"/>
      <c r="M81" s="314"/>
      <c r="N81" s="142"/>
      <c r="O81" s="320"/>
      <c r="P81" s="236"/>
      <c r="Q81" s="318"/>
      <c r="R81" s="245"/>
      <c r="S81" s="245"/>
      <c r="T81" s="245"/>
      <c r="U81" s="245"/>
      <c r="V81" s="246"/>
      <c r="W81" s="30"/>
      <c r="X81" s="2"/>
      <c r="Y81" s="2"/>
      <c r="Z81" s="2"/>
      <c r="AA81" s="2"/>
      <c r="AB81" s="2"/>
      <c r="AC81" s="2"/>
      <c r="AD81" s="2"/>
    </row>
    <row r="82" spans="1:30" ht="12.5" x14ac:dyDescent="0.25">
      <c r="A82" s="2"/>
      <c r="B82" s="2"/>
      <c r="C82" s="11"/>
      <c r="D82" s="337"/>
      <c r="E82" s="277"/>
      <c r="F82" s="277"/>
      <c r="G82" s="277"/>
      <c r="H82" s="277"/>
      <c r="I82" s="338"/>
      <c r="J82" s="111"/>
      <c r="K82" s="316"/>
      <c r="L82" s="232"/>
      <c r="M82" s="316"/>
      <c r="N82" s="232"/>
      <c r="O82" s="317"/>
      <c r="P82" s="232"/>
      <c r="Q82" s="274"/>
      <c r="R82" s="245"/>
      <c r="S82" s="245"/>
      <c r="T82" s="245"/>
      <c r="U82" s="245"/>
      <c r="V82" s="246"/>
      <c r="W82" s="30"/>
      <c r="X82" s="2"/>
      <c r="Y82" s="2"/>
      <c r="Z82" s="2"/>
      <c r="AA82" s="2"/>
      <c r="AB82" s="2"/>
      <c r="AC82" s="2"/>
      <c r="AD82" s="2"/>
    </row>
    <row r="83" spans="1:30" ht="12.5" x14ac:dyDescent="0.25">
      <c r="A83" s="2"/>
      <c r="B83" s="2"/>
      <c r="C83" s="11"/>
      <c r="D83" s="93"/>
      <c r="E83" s="2"/>
      <c r="F83" s="2"/>
      <c r="G83" s="2"/>
      <c r="H83" s="2"/>
      <c r="I83" s="2"/>
      <c r="J83" s="3"/>
      <c r="K83" s="314"/>
      <c r="L83" s="142"/>
      <c r="M83" s="314"/>
      <c r="N83" s="142"/>
      <c r="O83" s="320"/>
      <c r="P83" s="236"/>
      <c r="Q83" s="318"/>
      <c r="R83" s="245"/>
      <c r="S83" s="245"/>
      <c r="T83" s="245"/>
      <c r="U83" s="245"/>
      <c r="V83" s="246"/>
      <c r="W83" s="30"/>
      <c r="X83" s="2"/>
      <c r="Y83" s="2"/>
      <c r="Z83" s="2"/>
      <c r="AA83" s="2"/>
      <c r="AB83" s="2"/>
      <c r="AC83" s="2"/>
      <c r="AD83" s="2"/>
    </row>
    <row r="84" spans="1:30" ht="12.5" x14ac:dyDescent="0.25">
      <c r="A84" s="2"/>
      <c r="B84" s="2"/>
      <c r="C84" s="11"/>
      <c r="D84" s="337"/>
      <c r="E84" s="277"/>
      <c r="F84" s="277"/>
      <c r="G84" s="277"/>
      <c r="H84" s="277"/>
      <c r="I84" s="338"/>
      <c r="J84" s="111"/>
      <c r="K84" s="316"/>
      <c r="L84" s="232"/>
      <c r="M84" s="316"/>
      <c r="N84" s="232"/>
      <c r="O84" s="317"/>
      <c r="P84" s="232"/>
      <c r="Q84" s="274"/>
      <c r="R84" s="245"/>
      <c r="S84" s="245"/>
      <c r="T84" s="245"/>
      <c r="U84" s="245"/>
      <c r="V84" s="246"/>
      <c r="W84" s="30"/>
      <c r="X84" s="2"/>
      <c r="Y84" s="2"/>
      <c r="Z84" s="2"/>
      <c r="AA84" s="2"/>
      <c r="AB84" s="2"/>
      <c r="AC84" s="2"/>
      <c r="AD84" s="2"/>
    </row>
    <row r="85" spans="1:30" ht="12.5" x14ac:dyDescent="0.25">
      <c r="A85" s="2"/>
      <c r="B85" s="2"/>
      <c r="C85" s="11"/>
      <c r="D85" s="93"/>
      <c r="E85" s="2"/>
      <c r="F85" s="2"/>
      <c r="G85" s="2"/>
      <c r="H85" s="2"/>
      <c r="I85" s="2"/>
      <c r="J85" s="3"/>
      <c r="K85" s="314"/>
      <c r="L85" s="142"/>
      <c r="M85" s="314"/>
      <c r="N85" s="142"/>
      <c r="O85" s="320"/>
      <c r="P85" s="236"/>
      <c r="Q85" s="318"/>
      <c r="R85" s="245"/>
      <c r="S85" s="245"/>
      <c r="T85" s="245"/>
      <c r="U85" s="245"/>
      <c r="V85" s="246"/>
      <c r="W85" s="30"/>
      <c r="X85" s="2"/>
      <c r="Y85" s="2"/>
      <c r="Z85" s="2"/>
      <c r="AA85" s="2"/>
      <c r="AB85" s="2"/>
      <c r="AC85" s="2"/>
      <c r="AD85" s="2"/>
    </row>
    <row r="86" spans="1:30" ht="12.5" x14ac:dyDescent="0.25">
      <c r="A86" s="2"/>
      <c r="B86" s="2"/>
      <c r="C86" s="11"/>
      <c r="D86" s="337"/>
      <c r="E86" s="277"/>
      <c r="F86" s="277"/>
      <c r="G86" s="277"/>
      <c r="H86" s="277"/>
      <c r="I86" s="338"/>
      <c r="J86" s="111"/>
      <c r="K86" s="316"/>
      <c r="L86" s="232"/>
      <c r="M86" s="316"/>
      <c r="N86" s="232"/>
      <c r="O86" s="317"/>
      <c r="P86" s="232"/>
      <c r="Q86" s="274"/>
      <c r="R86" s="245"/>
      <c r="S86" s="245"/>
      <c r="T86" s="245"/>
      <c r="U86" s="245"/>
      <c r="V86" s="246"/>
      <c r="W86" s="30"/>
      <c r="X86" s="2"/>
      <c r="Y86" s="2"/>
      <c r="Z86" s="2"/>
      <c r="AA86" s="2"/>
      <c r="AB86" s="2"/>
      <c r="AC86" s="2"/>
      <c r="AD86" s="2"/>
    </row>
    <row r="87" spans="1:30" ht="12.5" x14ac:dyDescent="0.25">
      <c r="A87" s="2"/>
      <c r="B87" s="2"/>
      <c r="C87" s="11"/>
      <c r="D87" s="93"/>
      <c r="E87" s="2"/>
      <c r="F87" s="2"/>
      <c r="G87" s="2"/>
      <c r="H87" s="2"/>
      <c r="I87" s="2"/>
      <c r="J87" s="3"/>
      <c r="K87" s="314"/>
      <c r="L87" s="142"/>
      <c r="M87" s="314"/>
      <c r="N87" s="142"/>
      <c r="O87" s="320"/>
      <c r="P87" s="236"/>
      <c r="Q87" s="318"/>
      <c r="R87" s="245"/>
      <c r="S87" s="245"/>
      <c r="T87" s="245"/>
      <c r="U87" s="245"/>
      <c r="V87" s="246"/>
      <c r="W87" s="30"/>
      <c r="X87" s="2"/>
      <c r="Y87" s="2"/>
      <c r="Z87" s="2"/>
      <c r="AA87" s="2"/>
      <c r="AB87" s="2"/>
      <c r="AC87" s="2"/>
      <c r="AD87" s="2"/>
    </row>
    <row r="88" spans="1:30" ht="12.5" x14ac:dyDescent="0.25">
      <c r="A88" s="2"/>
      <c r="B88" s="2"/>
      <c r="C88" s="11"/>
      <c r="D88" s="337"/>
      <c r="E88" s="277"/>
      <c r="F88" s="277"/>
      <c r="G88" s="277"/>
      <c r="H88" s="277"/>
      <c r="I88" s="338"/>
      <c r="J88" s="111"/>
      <c r="K88" s="316"/>
      <c r="L88" s="232"/>
      <c r="M88" s="316"/>
      <c r="N88" s="232"/>
      <c r="O88" s="317"/>
      <c r="P88" s="232"/>
      <c r="Q88" s="274"/>
      <c r="R88" s="245"/>
      <c r="S88" s="245"/>
      <c r="T88" s="245"/>
      <c r="U88" s="245"/>
      <c r="V88" s="246"/>
      <c r="W88" s="30"/>
      <c r="X88" s="2"/>
      <c r="Y88" s="2"/>
      <c r="Z88" s="2"/>
      <c r="AA88" s="2"/>
      <c r="AB88" s="2"/>
      <c r="AC88" s="2"/>
      <c r="AD88" s="2"/>
    </row>
    <row r="89" spans="1:30" ht="12.5" x14ac:dyDescent="0.25">
      <c r="A89" s="2"/>
      <c r="B89" s="2"/>
      <c r="C89" s="11"/>
      <c r="D89" s="93"/>
      <c r="E89" s="2"/>
      <c r="F89" s="2"/>
      <c r="G89" s="2"/>
      <c r="H89" s="2"/>
      <c r="I89" s="2"/>
      <c r="J89" s="3"/>
      <c r="K89" s="314"/>
      <c r="L89" s="142"/>
      <c r="M89" s="314"/>
      <c r="N89" s="142"/>
      <c r="O89" s="320"/>
      <c r="P89" s="236"/>
      <c r="Q89" s="318"/>
      <c r="R89" s="245"/>
      <c r="S89" s="245"/>
      <c r="T89" s="245"/>
      <c r="U89" s="245"/>
      <c r="V89" s="246"/>
      <c r="W89" s="30"/>
      <c r="X89" s="2"/>
      <c r="Y89" s="2"/>
      <c r="Z89" s="2"/>
      <c r="AA89" s="2"/>
      <c r="AB89" s="2"/>
      <c r="AC89" s="2"/>
      <c r="AD89" s="2"/>
    </row>
    <row r="90" spans="1:30" ht="12.5" x14ac:dyDescent="0.25">
      <c r="A90" s="2"/>
      <c r="B90" s="2"/>
      <c r="C90" s="11"/>
      <c r="D90" s="337"/>
      <c r="E90" s="277"/>
      <c r="F90" s="277"/>
      <c r="G90" s="277"/>
      <c r="H90" s="277"/>
      <c r="I90" s="338"/>
      <c r="J90" s="111"/>
      <c r="K90" s="316"/>
      <c r="L90" s="232"/>
      <c r="M90" s="316"/>
      <c r="N90" s="232"/>
      <c r="O90" s="317"/>
      <c r="P90" s="232"/>
      <c r="Q90" s="274"/>
      <c r="R90" s="245"/>
      <c r="S90" s="245"/>
      <c r="T90" s="245"/>
      <c r="U90" s="245"/>
      <c r="V90" s="246"/>
      <c r="W90" s="30"/>
      <c r="X90" s="2"/>
      <c r="Y90" s="2"/>
      <c r="Z90" s="2"/>
      <c r="AA90" s="2"/>
      <c r="AB90" s="2"/>
      <c r="AC90" s="2"/>
      <c r="AD90" s="2"/>
    </row>
    <row r="91" spans="1:30" ht="12.5" x14ac:dyDescent="0.25">
      <c r="A91" s="2"/>
      <c r="B91" s="2"/>
      <c r="C91" s="11"/>
      <c r="D91" s="93"/>
      <c r="E91" s="2"/>
      <c r="F91" s="2"/>
      <c r="G91" s="2"/>
      <c r="H91" s="2"/>
      <c r="I91" s="2"/>
      <c r="J91" s="3"/>
      <c r="K91" s="314"/>
      <c r="L91" s="142"/>
      <c r="M91" s="314"/>
      <c r="N91" s="142"/>
      <c r="O91" s="320"/>
      <c r="P91" s="236"/>
      <c r="Q91" s="318"/>
      <c r="R91" s="245"/>
      <c r="S91" s="245"/>
      <c r="T91" s="245"/>
      <c r="U91" s="245"/>
      <c r="V91" s="246"/>
      <c r="W91" s="30"/>
      <c r="X91" s="2"/>
      <c r="Y91" s="2"/>
      <c r="Z91" s="2"/>
      <c r="AA91" s="2"/>
      <c r="AB91" s="2"/>
      <c r="AC91" s="2"/>
      <c r="AD91" s="2"/>
    </row>
    <row r="92" spans="1:30" ht="12.5" x14ac:dyDescent="0.25">
      <c r="A92" s="2"/>
      <c r="B92" s="2"/>
      <c r="C92" s="11"/>
      <c r="D92" s="337"/>
      <c r="E92" s="277"/>
      <c r="F92" s="277"/>
      <c r="G92" s="277"/>
      <c r="H92" s="277"/>
      <c r="I92" s="338"/>
      <c r="J92" s="111"/>
      <c r="K92" s="316"/>
      <c r="L92" s="232"/>
      <c r="M92" s="316"/>
      <c r="N92" s="232"/>
      <c r="O92" s="317"/>
      <c r="P92" s="232"/>
      <c r="Q92" s="274"/>
      <c r="R92" s="245"/>
      <c r="S92" s="245"/>
      <c r="T92" s="245"/>
      <c r="U92" s="245"/>
      <c r="V92" s="246"/>
      <c r="W92" s="30"/>
      <c r="X92" s="2"/>
      <c r="Y92" s="2"/>
      <c r="Z92" s="2"/>
      <c r="AA92" s="2"/>
      <c r="AB92" s="2"/>
      <c r="AC92" s="2"/>
      <c r="AD92" s="2"/>
    </row>
    <row r="93" spans="1:30" ht="12.5" x14ac:dyDescent="0.25">
      <c r="A93" s="2"/>
      <c r="B93" s="2"/>
      <c r="C93" s="11"/>
      <c r="D93" s="93"/>
      <c r="E93" s="2"/>
      <c r="F93" s="2"/>
      <c r="G93" s="2"/>
      <c r="H93" s="2"/>
      <c r="I93" s="2"/>
      <c r="J93" s="3"/>
      <c r="K93" s="314"/>
      <c r="L93" s="142"/>
      <c r="M93" s="314"/>
      <c r="N93" s="142"/>
      <c r="O93" s="320"/>
      <c r="P93" s="236"/>
      <c r="Q93" s="318"/>
      <c r="R93" s="245"/>
      <c r="S93" s="245"/>
      <c r="T93" s="245"/>
      <c r="U93" s="245"/>
      <c r="V93" s="246"/>
      <c r="W93" s="30"/>
      <c r="X93" s="2"/>
      <c r="Y93" s="2"/>
      <c r="Z93" s="2"/>
      <c r="AA93" s="2"/>
      <c r="AB93" s="2"/>
      <c r="AC93" s="2"/>
      <c r="AD93" s="2"/>
    </row>
    <row r="94" spans="1:30" ht="12.5" x14ac:dyDescent="0.25">
      <c r="A94" s="2"/>
      <c r="B94" s="2"/>
      <c r="C94" s="11"/>
      <c r="D94" s="337"/>
      <c r="E94" s="277"/>
      <c r="F94" s="277"/>
      <c r="G94" s="277"/>
      <c r="H94" s="277"/>
      <c r="I94" s="338"/>
      <c r="J94" s="111"/>
      <c r="K94" s="316"/>
      <c r="L94" s="232"/>
      <c r="M94" s="316"/>
      <c r="N94" s="232"/>
      <c r="O94" s="317"/>
      <c r="P94" s="232"/>
      <c r="Q94" s="274"/>
      <c r="R94" s="245"/>
      <c r="S94" s="245"/>
      <c r="T94" s="245"/>
      <c r="U94" s="245"/>
      <c r="V94" s="246"/>
      <c r="W94" s="30"/>
      <c r="X94" s="2"/>
      <c r="Y94" s="2"/>
      <c r="Z94" s="2"/>
      <c r="AA94" s="2"/>
      <c r="AB94" s="2"/>
      <c r="AC94" s="2"/>
      <c r="AD94" s="2"/>
    </row>
    <row r="95" spans="1:30" ht="12.5" x14ac:dyDescent="0.25">
      <c r="A95" s="2"/>
      <c r="B95" s="2"/>
      <c r="C95" s="11"/>
      <c r="D95" s="93"/>
      <c r="E95" s="2"/>
      <c r="F95" s="2"/>
      <c r="G95" s="2"/>
      <c r="H95" s="2"/>
      <c r="I95" s="2"/>
      <c r="J95" s="3"/>
      <c r="K95" s="314"/>
      <c r="L95" s="142"/>
      <c r="M95" s="314"/>
      <c r="N95" s="142"/>
      <c r="O95" s="320"/>
      <c r="P95" s="236"/>
      <c r="Q95" s="318"/>
      <c r="R95" s="245"/>
      <c r="S95" s="245"/>
      <c r="T95" s="245"/>
      <c r="U95" s="245"/>
      <c r="V95" s="246"/>
      <c r="W95" s="30"/>
      <c r="X95" s="2"/>
      <c r="Y95" s="2"/>
      <c r="Z95" s="2"/>
      <c r="AA95" s="2"/>
      <c r="AB95" s="2"/>
      <c r="AC95" s="2"/>
      <c r="AD95" s="2"/>
    </row>
    <row r="96" spans="1:30" ht="12.5" x14ac:dyDescent="0.25">
      <c r="A96" s="2"/>
      <c r="B96" s="2"/>
      <c r="C96" s="11"/>
      <c r="D96" s="337"/>
      <c r="E96" s="277"/>
      <c r="F96" s="277"/>
      <c r="G96" s="277"/>
      <c r="H96" s="277"/>
      <c r="I96" s="338"/>
      <c r="J96" s="111"/>
      <c r="K96" s="316"/>
      <c r="L96" s="232"/>
      <c r="M96" s="316"/>
      <c r="N96" s="232"/>
      <c r="O96" s="317"/>
      <c r="P96" s="232"/>
      <c r="Q96" s="274"/>
      <c r="R96" s="245"/>
      <c r="S96" s="245"/>
      <c r="T96" s="245"/>
      <c r="U96" s="245"/>
      <c r="V96" s="246"/>
      <c r="W96" s="30"/>
      <c r="X96" s="2"/>
      <c r="Y96" s="2"/>
      <c r="Z96" s="2"/>
      <c r="AA96" s="2"/>
      <c r="AB96" s="2"/>
      <c r="AC96" s="2"/>
      <c r="AD96" s="2"/>
    </row>
    <row r="97" spans="1:30" ht="12.5" x14ac:dyDescent="0.25">
      <c r="A97" s="2"/>
      <c r="B97" s="2"/>
      <c r="C97" s="11"/>
      <c r="D97" s="93"/>
      <c r="E97" s="2"/>
      <c r="F97" s="2"/>
      <c r="G97" s="2"/>
      <c r="H97" s="2"/>
      <c r="I97" s="2"/>
      <c r="J97" s="3"/>
      <c r="K97" s="314"/>
      <c r="L97" s="142"/>
      <c r="M97" s="314"/>
      <c r="N97" s="142"/>
      <c r="O97" s="320"/>
      <c r="P97" s="236"/>
      <c r="Q97" s="318"/>
      <c r="R97" s="245"/>
      <c r="S97" s="245"/>
      <c r="T97" s="245"/>
      <c r="U97" s="245"/>
      <c r="V97" s="246"/>
      <c r="W97" s="30"/>
      <c r="X97" s="2"/>
      <c r="Y97" s="2"/>
      <c r="Z97" s="2"/>
      <c r="AA97" s="2"/>
      <c r="AB97" s="2"/>
      <c r="AC97" s="2"/>
      <c r="AD97" s="2"/>
    </row>
    <row r="98" spans="1:30" ht="12.5" x14ac:dyDescent="0.25">
      <c r="A98" s="2"/>
      <c r="B98" s="2"/>
      <c r="C98" s="11"/>
      <c r="D98" s="337"/>
      <c r="E98" s="277"/>
      <c r="F98" s="277"/>
      <c r="G98" s="277"/>
      <c r="H98" s="277"/>
      <c r="I98" s="338"/>
      <c r="J98" s="111"/>
      <c r="K98" s="316"/>
      <c r="L98" s="232"/>
      <c r="M98" s="316"/>
      <c r="N98" s="232"/>
      <c r="O98" s="317"/>
      <c r="P98" s="232"/>
      <c r="Q98" s="274"/>
      <c r="R98" s="245"/>
      <c r="S98" s="245"/>
      <c r="T98" s="245"/>
      <c r="U98" s="245"/>
      <c r="V98" s="246"/>
      <c r="W98" s="30"/>
      <c r="X98" s="2"/>
      <c r="Y98" s="2"/>
      <c r="Z98" s="2"/>
      <c r="AA98" s="2"/>
      <c r="AB98" s="2"/>
      <c r="AC98" s="2"/>
      <c r="AD98" s="2"/>
    </row>
    <row r="99" spans="1:30" ht="12.5" x14ac:dyDescent="0.25">
      <c r="A99" s="2"/>
      <c r="B99" s="2"/>
      <c r="C99" s="11"/>
      <c r="D99" s="93"/>
      <c r="E99" s="2"/>
      <c r="F99" s="2"/>
      <c r="G99" s="2"/>
      <c r="H99" s="2"/>
      <c r="I99" s="2"/>
      <c r="J99" s="3"/>
      <c r="K99" s="314"/>
      <c r="L99" s="142"/>
      <c r="M99" s="314"/>
      <c r="N99" s="142"/>
      <c r="O99" s="320"/>
      <c r="P99" s="236"/>
      <c r="Q99" s="318"/>
      <c r="R99" s="245"/>
      <c r="S99" s="245"/>
      <c r="T99" s="245"/>
      <c r="U99" s="245"/>
      <c r="V99" s="246"/>
      <c r="W99" s="30"/>
      <c r="X99" s="2"/>
      <c r="Y99" s="2"/>
      <c r="Z99" s="2"/>
      <c r="AA99" s="2"/>
      <c r="AB99" s="2"/>
      <c r="AC99" s="2"/>
      <c r="AD99" s="2"/>
    </row>
    <row r="100" spans="1:30" ht="12.5" x14ac:dyDescent="0.25">
      <c r="A100" s="2"/>
      <c r="B100" s="2"/>
      <c r="C100" s="11"/>
      <c r="D100" s="337"/>
      <c r="E100" s="277"/>
      <c r="F100" s="277"/>
      <c r="G100" s="277"/>
      <c r="H100" s="277"/>
      <c r="I100" s="338"/>
      <c r="J100" s="111"/>
      <c r="K100" s="316"/>
      <c r="L100" s="232"/>
      <c r="M100" s="316"/>
      <c r="N100" s="232"/>
      <c r="O100" s="317"/>
      <c r="P100" s="232"/>
      <c r="Q100" s="274"/>
      <c r="R100" s="245"/>
      <c r="S100" s="245"/>
      <c r="T100" s="245"/>
      <c r="U100" s="245"/>
      <c r="V100" s="246"/>
      <c r="W100" s="30"/>
      <c r="X100" s="2"/>
      <c r="Y100" s="2"/>
      <c r="Z100" s="2"/>
      <c r="AA100" s="2"/>
      <c r="AB100" s="2"/>
      <c r="AC100" s="2"/>
      <c r="AD100" s="2"/>
    </row>
    <row r="101" spans="1:30" ht="12.5" x14ac:dyDescent="0.25">
      <c r="A101" s="2"/>
      <c r="B101" s="2"/>
      <c r="C101" s="11"/>
      <c r="D101" s="93"/>
      <c r="E101" s="2"/>
      <c r="F101" s="2"/>
      <c r="G101" s="2"/>
      <c r="H101" s="2"/>
      <c r="I101" s="2"/>
      <c r="J101" s="3"/>
      <c r="K101" s="314"/>
      <c r="L101" s="142"/>
      <c r="M101" s="314"/>
      <c r="N101" s="142"/>
      <c r="O101" s="320"/>
      <c r="P101" s="236"/>
      <c r="Q101" s="318"/>
      <c r="R101" s="245"/>
      <c r="S101" s="245"/>
      <c r="T101" s="245"/>
      <c r="U101" s="245"/>
      <c r="V101" s="246"/>
      <c r="W101" s="30"/>
      <c r="X101" s="2"/>
      <c r="Y101" s="2"/>
      <c r="Z101" s="2"/>
      <c r="AA101" s="2"/>
      <c r="AB101" s="2"/>
      <c r="AC101" s="2"/>
      <c r="AD101" s="2"/>
    </row>
    <row r="102" spans="1:30" ht="12.5" x14ac:dyDescent="0.25">
      <c r="A102" s="2"/>
      <c r="B102" s="2"/>
      <c r="C102" s="11"/>
      <c r="D102" s="337"/>
      <c r="E102" s="277"/>
      <c r="F102" s="277"/>
      <c r="G102" s="277"/>
      <c r="H102" s="277"/>
      <c r="I102" s="338"/>
      <c r="J102" s="111"/>
      <c r="K102" s="316"/>
      <c r="L102" s="232"/>
      <c r="M102" s="316"/>
      <c r="N102" s="232"/>
      <c r="O102" s="317"/>
      <c r="P102" s="232"/>
      <c r="Q102" s="274"/>
      <c r="R102" s="245"/>
      <c r="S102" s="245"/>
      <c r="T102" s="245"/>
      <c r="U102" s="245"/>
      <c r="V102" s="246"/>
      <c r="W102" s="30"/>
      <c r="X102" s="2"/>
      <c r="Y102" s="2"/>
      <c r="Z102" s="2"/>
      <c r="AA102" s="2"/>
      <c r="AB102" s="2"/>
      <c r="AC102" s="2"/>
      <c r="AD102" s="2"/>
    </row>
    <row r="103" spans="1:30" ht="12.5" x14ac:dyDescent="0.25">
      <c r="A103" s="2"/>
      <c r="B103" s="2"/>
      <c r="C103" s="11"/>
      <c r="D103" s="93"/>
      <c r="E103" s="2"/>
      <c r="F103" s="2"/>
      <c r="G103" s="2"/>
      <c r="H103" s="2"/>
      <c r="I103" s="2"/>
      <c r="J103" s="3"/>
      <c r="K103" s="314"/>
      <c r="L103" s="142"/>
      <c r="M103" s="314"/>
      <c r="N103" s="142"/>
      <c r="O103" s="320"/>
      <c r="P103" s="236"/>
      <c r="Q103" s="318"/>
      <c r="R103" s="245"/>
      <c r="S103" s="245"/>
      <c r="T103" s="245"/>
      <c r="U103" s="245"/>
      <c r="V103" s="246"/>
      <c r="W103" s="30"/>
      <c r="X103" s="2"/>
      <c r="Y103" s="2"/>
      <c r="Z103" s="2"/>
      <c r="AA103" s="2"/>
      <c r="AB103" s="2"/>
      <c r="AC103" s="2"/>
      <c r="AD103" s="2"/>
    </row>
    <row r="104" spans="1:30" ht="12.5" x14ac:dyDescent="0.25">
      <c r="A104" s="2"/>
      <c r="B104" s="2"/>
      <c r="C104" s="11"/>
      <c r="D104" s="337"/>
      <c r="E104" s="277"/>
      <c r="F104" s="277"/>
      <c r="G104" s="277"/>
      <c r="H104" s="277"/>
      <c r="I104" s="338"/>
      <c r="J104" s="111"/>
      <c r="K104" s="316"/>
      <c r="L104" s="232"/>
      <c r="M104" s="316"/>
      <c r="N104" s="232"/>
      <c r="O104" s="317"/>
      <c r="P104" s="232"/>
      <c r="Q104" s="274"/>
      <c r="R104" s="245"/>
      <c r="S104" s="245"/>
      <c r="T104" s="245"/>
      <c r="U104" s="245"/>
      <c r="V104" s="246"/>
      <c r="W104" s="30"/>
      <c r="X104" s="2"/>
      <c r="Y104" s="2"/>
      <c r="Z104" s="2"/>
      <c r="AA104" s="2"/>
      <c r="AB104" s="2"/>
      <c r="AC104" s="2"/>
      <c r="AD104" s="2"/>
    </row>
    <row r="105" spans="1:30" ht="12.5" x14ac:dyDescent="0.25">
      <c r="A105" s="2"/>
      <c r="B105" s="2"/>
      <c r="C105" s="11"/>
      <c r="D105" s="93"/>
      <c r="E105" s="2"/>
      <c r="F105" s="2"/>
      <c r="G105" s="2"/>
      <c r="H105" s="2"/>
      <c r="I105" s="2"/>
      <c r="J105" s="3"/>
      <c r="K105" s="314"/>
      <c r="L105" s="142"/>
      <c r="M105" s="314"/>
      <c r="N105" s="142"/>
      <c r="O105" s="320"/>
      <c r="P105" s="236"/>
      <c r="Q105" s="318"/>
      <c r="R105" s="245"/>
      <c r="S105" s="245"/>
      <c r="T105" s="245"/>
      <c r="U105" s="245"/>
      <c r="V105" s="246"/>
      <c r="W105" s="30"/>
      <c r="X105" s="2"/>
      <c r="Y105" s="2"/>
      <c r="Z105" s="2"/>
      <c r="AA105" s="2"/>
      <c r="AB105" s="2"/>
      <c r="AC105" s="2"/>
      <c r="AD105" s="2"/>
    </row>
    <row r="106" spans="1:30" ht="12.5" x14ac:dyDescent="0.25">
      <c r="A106" s="2"/>
      <c r="B106" s="2"/>
      <c r="C106" s="11"/>
      <c r="D106" s="337"/>
      <c r="E106" s="277"/>
      <c r="F106" s="277"/>
      <c r="G106" s="277"/>
      <c r="H106" s="277"/>
      <c r="I106" s="338"/>
      <c r="J106" s="111"/>
      <c r="K106" s="316"/>
      <c r="L106" s="232"/>
      <c r="M106" s="316"/>
      <c r="N106" s="232"/>
      <c r="O106" s="317"/>
      <c r="P106" s="232"/>
      <c r="Q106" s="274"/>
      <c r="R106" s="245"/>
      <c r="S106" s="245"/>
      <c r="T106" s="245"/>
      <c r="U106" s="245"/>
      <c r="V106" s="246"/>
      <c r="W106" s="30"/>
      <c r="X106" s="2"/>
      <c r="Y106" s="2"/>
      <c r="Z106" s="2"/>
      <c r="AA106" s="2"/>
      <c r="AB106" s="2"/>
      <c r="AC106" s="2"/>
      <c r="AD106" s="2"/>
    </row>
    <row r="107" spans="1:30" ht="12.5" x14ac:dyDescent="0.25">
      <c r="A107" s="2"/>
      <c r="B107" s="2"/>
      <c r="C107" s="11"/>
      <c r="D107" s="93"/>
      <c r="E107" s="2"/>
      <c r="F107" s="2"/>
      <c r="G107" s="2"/>
      <c r="H107" s="2"/>
      <c r="I107" s="2"/>
      <c r="J107" s="3"/>
      <c r="K107" s="314"/>
      <c r="L107" s="142"/>
      <c r="M107" s="314"/>
      <c r="N107" s="142"/>
      <c r="O107" s="320"/>
      <c r="P107" s="236"/>
      <c r="Q107" s="318"/>
      <c r="R107" s="245"/>
      <c r="S107" s="245"/>
      <c r="T107" s="245"/>
      <c r="U107" s="245"/>
      <c r="V107" s="246"/>
      <c r="W107" s="30"/>
      <c r="X107" s="2"/>
      <c r="Y107" s="2"/>
      <c r="Z107" s="2"/>
      <c r="AA107" s="2"/>
      <c r="AB107" s="2"/>
      <c r="AC107" s="2"/>
      <c r="AD107" s="2"/>
    </row>
    <row r="108" spans="1:30" ht="12.5" x14ac:dyDescent="0.25">
      <c r="A108" s="2"/>
      <c r="B108" s="2"/>
      <c r="C108" s="11"/>
      <c r="D108" s="337"/>
      <c r="E108" s="277"/>
      <c r="F108" s="277"/>
      <c r="G108" s="277"/>
      <c r="H108" s="277"/>
      <c r="I108" s="338"/>
      <c r="J108" s="111"/>
      <c r="K108" s="316"/>
      <c r="L108" s="232"/>
      <c r="M108" s="316"/>
      <c r="N108" s="232"/>
      <c r="O108" s="317"/>
      <c r="P108" s="232"/>
      <c r="Q108" s="274"/>
      <c r="R108" s="245"/>
      <c r="S108" s="245"/>
      <c r="T108" s="245"/>
      <c r="U108" s="245"/>
      <c r="V108" s="246"/>
      <c r="W108" s="30"/>
      <c r="X108" s="2"/>
      <c r="Y108" s="2"/>
      <c r="Z108" s="2"/>
      <c r="AA108" s="2"/>
      <c r="AB108" s="2"/>
      <c r="AC108" s="2"/>
      <c r="AD108" s="2"/>
    </row>
    <row r="109" spans="1:30" ht="12.5" x14ac:dyDescent="0.25">
      <c r="A109" s="2"/>
      <c r="B109" s="2"/>
      <c r="C109" s="11"/>
      <c r="D109" s="93"/>
      <c r="E109" s="2"/>
      <c r="F109" s="2"/>
      <c r="G109" s="2"/>
      <c r="H109" s="2"/>
      <c r="I109" s="2"/>
      <c r="J109" s="3"/>
      <c r="K109" s="314"/>
      <c r="L109" s="142"/>
      <c r="M109" s="314"/>
      <c r="N109" s="142"/>
      <c r="O109" s="320"/>
      <c r="P109" s="236"/>
      <c r="Q109" s="318"/>
      <c r="R109" s="245"/>
      <c r="S109" s="245"/>
      <c r="T109" s="245"/>
      <c r="U109" s="245"/>
      <c r="V109" s="246"/>
      <c r="W109" s="30"/>
      <c r="X109" s="2"/>
      <c r="Y109" s="2"/>
      <c r="Z109" s="2"/>
      <c r="AA109" s="2"/>
      <c r="AB109" s="2"/>
      <c r="AC109" s="2"/>
      <c r="AD109" s="2"/>
    </row>
    <row r="110" spans="1:30" ht="12.5" x14ac:dyDescent="0.25">
      <c r="A110" s="2"/>
      <c r="B110" s="2"/>
      <c r="C110" s="11"/>
      <c r="D110" s="337"/>
      <c r="E110" s="277"/>
      <c r="F110" s="277"/>
      <c r="G110" s="277"/>
      <c r="H110" s="277"/>
      <c r="I110" s="338"/>
      <c r="J110" s="111"/>
      <c r="K110" s="316"/>
      <c r="L110" s="232"/>
      <c r="M110" s="316"/>
      <c r="N110" s="232"/>
      <c r="O110" s="317"/>
      <c r="P110" s="232"/>
      <c r="Q110" s="274"/>
      <c r="R110" s="245"/>
      <c r="S110" s="245"/>
      <c r="T110" s="245"/>
      <c r="U110" s="245"/>
      <c r="V110" s="246"/>
      <c r="W110" s="30"/>
      <c r="X110" s="2"/>
      <c r="Y110" s="2"/>
      <c r="Z110" s="2"/>
      <c r="AA110" s="2"/>
      <c r="AB110" s="2"/>
      <c r="AC110" s="2"/>
      <c r="AD110" s="2"/>
    </row>
    <row r="111" spans="1:30" ht="12.5" x14ac:dyDescent="0.25">
      <c r="A111" s="2"/>
      <c r="B111" s="2"/>
      <c r="C111" s="11"/>
      <c r="D111" s="93"/>
      <c r="E111" s="2"/>
      <c r="F111" s="2"/>
      <c r="G111" s="2"/>
      <c r="H111" s="2"/>
      <c r="I111" s="2"/>
      <c r="J111" s="3"/>
      <c r="K111" s="314"/>
      <c r="L111" s="142"/>
      <c r="M111" s="314"/>
      <c r="N111" s="142"/>
      <c r="O111" s="320"/>
      <c r="P111" s="236"/>
      <c r="Q111" s="318"/>
      <c r="R111" s="245"/>
      <c r="S111" s="245"/>
      <c r="T111" s="245"/>
      <c r="U111" s="245"/>
      <c r="V111" s="246"/>
      <c r="W111" s="30"/>
      <c r="X111" s="2"/>
      <c r="Y111" s="2"/>
      <c r="Z111" s="2"/>
      <c r="AA111" s="2"/>
      <c r="AB111" s="2"/>
      <c r="AC111" s="2"/>
      <c r="AD111" s="2"/>
    </row>
    <row r="112" spans="1:30" ht="12.5" x14ac:dyDescent="0.25">
      <c r="A112" s="2"/>
      <c r="B112" s="2"/>
      <c r="C112" s="11"/>
      <c r="D112" s="337"/>
      <c r="E112" s="277"/>
      <c r="F112" s="277"/>
      <c r="G112" s="277"/>
      <c r="H112" s="277"/>
      <c r="I112" s="338"/>
      <c r="J112" s="111"/>
      <c r="K112" s="316"/>
      <c r="L112" s="232"/>
      <c r="M112" s="316"/>
      <c r="N112" s="232"/>
      <c r="O112" s="317"/>
      <c r="P112" s="232"/>
      <c r="Q112" s="274"/>
      <c r="R112" s="245"/>
      <c r="S112" s="245"/>
      <c r="T112" s="245"/>
      <c r="U112" s="245"/>
      <c r="V112" s="246"/>
      <c r="W112" s="30"/>
      <c r="X112" s="2"/>
      <c r="Y112" s="2"/>
      <c r="Z112" s="2"/>
      <c r="AA112" s="2"/>
      <c r="AB112" s="2"/>
      <c r="AC112" s="2"/>
      <c r="AD112" s="2"/>
    </row>
    <row r="113" spans="1:30" ht="12.5" x14ac:dyDescent="0.25">
      <c r="A113" s="2"/>
      <c r="B113" s="2"/>
      <c r="C113" s="11"/>
      <c r="D113" s="93"/>
      <c r="E113" s="2"/>
      <c r="F113" s="2"/>
      <c r="G113" s="2"/>
      <c r="H113" s="2"/>
      <c r="I113" s="2"/>
      <c r="J113" s="3"/>
      <c r="K113" s="314"/>
      <c r="L113" s="142"/>
      <c r="M113" s="314"/>
      <c r="N113" s="142"/>
      <c r="O113" s="320"/>
      <c r="P113" s="236"/>
      <c r="Q113" s="318"/>
      <c r="R113" s="245"/>
      <c r="S113" s="245"/>
      <c r="T113" s="245"/>
      <c r="U113" s="245"/>
      <c r="V113" s="246"/>
      <c r="W113" s="30"/>
      <c r="X113" s="2"/>
      <c r="Y113" s="2"/>
      <c r="Z113" s="2"/>
      <c r="AA113" s="2"/>
      <c r="AB113" s="2"/>
      <c r="AC113" s="2"/>
      <c r="AD113" s="2"/>
    </row>
    <row r="114" spans="1:30" ht="12.5" x14ac:dyDescent="0.25">
      <c r="A114" s="2"/>
      <c r="B114" s="2"/>
      <c r="C114" s="11"/>
      <c r="D114" s="337"/>
      <c r="E114" s="277"/>
      <c r="F114" s="277"/>
      <c r="G114" s="277"/>
      <c r="H114" s="277"/>
      <c r="I114" s="338"/>
      <c r="J114" s="111"/>
      <c r="K114" s="316"/>
      <c r="L114" s="232"/>
      <c r="M114" s="316"/>
      <c r="N114" s="232"/>
      <c r="O114" s="317"/>
      <c r="P114" s="232"/>
      <c r="Q114" s="274"/>
      <c r="R114" s="245"/>
      <c r="S114" s="245"/>
      <c r="T114" s="245"/>
      <c r="U114" s="245"/>
      <c r="V114" s="246"/>
      <c r="W114" s="30"/>
      <c r="X114" s="2"/>
      <c r="Y114" s="2"/>
      <c r="Z114" s="2"/>
      <c r="AA114" s="2"/>
      <c r="AB114" s="2"/>
      <c r="AC114" s="2"/>
      <c r="AD114" s="2"/>
    </row>
    <row r="115" spans="1:30" ht="12.5" x14ac:dyDescent="0.25">
      <c r="A115" s="2"/>
      <c r="B115" s="2"/>
      <c r="C115" s="11"/>
      <c r="D115" s="93"/>
      <c r="E115" s="2"/>
      <c r="F115" s="2"/>
      <c r="G115" s="2"/>
      <c r="H115" s="2"/>
      <c r="I115" s="2"/>
      <c r="J115" s="3"/>
      <c r="K115" s="314"/>
      <c r="L115" s="142"/>
      <c r="M115" s="314"/>
      <c r="N115" s="142"/>
      <c r="O115" s="320"/>
      <c r="P115" s="236"/>
      <c r="Q115" s="318"/>
      <c r="R115" s="245"/>
      <c r="S115" s="245"/>
      <c r="T115" s="245"/>
      <c r="U115" s="245"/>
      <c r="V115" s="246"/>
      <c r="W115" s="30"/>
      <c r="X115" s="2"/>
      <c r="Y115" s="2"/>
      <c r="Z115" s="2"/>
      <c r="AA115" s="2"/>
      <c r="AB115" s="2"/>
      <c r="AC115" s="2"/>
      <c r="AD115" s="2"/>
    </row>
    <row r="116" spans="1:30" ht="12.5" x14ac:dyDescent="0.25">
      <c r="A116" s="2"/>
      <c r="B116" s="2"/>
      <c r="C116" s="11"/>
      <c r="D116" s="337"/>
      <c r="E116" s="277"/>
      <c r="F116" s="277"/>
      <c r="G116" s="277"/>
      <c r="H116" s="277"/>
      <c r="I116" s="338"/>
      <c r="J116" s="111"/>
      <c r="K116" s="316"/>
      <c r="L116" s="232"/>
      <c r="M116" s="316"/>
      <c r="N116" s="232"/>
      <c r="O116" s="317"/>
      <c r="P116" s="232"/>
      <c r="Q116" s="274"/>
      <c r="R116" s="245"/>
      <c r="S116" s="245"/>
      <c r="T116" s="245"/>
      <c r="U116" s="245"/>
      <c r="V116" s="246"/>
      <c r="W116" s="30"/>
      <c r="X116" s="2"/>
      <c r="Y116" s="2"/>
      <c r="Z116" s="2"/>
      <c r="AA116" s="2"/>
      <c r="AB116" s="2"/>
      <c r="AC116" s="2"/>
      <c r="AD116" s="2"/>
    </row>
    <row r="117" spans="1:30" ht="12.5" x14ac:dyDescent="0.25">
      <c r="A117" s="2"/>
      <c r="B117" s="2"/>
      <c r="C117" s="11"/>
      <c r="D117" s="93"/>
      <c r="E117" s="2"/>
      <c r="F117" s="2"/>
      <c r="G117" s="2"/>
      <c r="H117" s="2"/>
      <c r="I117" s="2"/>
      <c r="J117" s="3"/>
      <c r="K117" s="314"/>
      <c r="L117" s="142"/>
      <c r="M117" s="314"/>
      <c r="N117" s="142"/>
      <c r="O117" s="320"/>
      <c r="P117" s="236"/>
      <c r="Q117" s="318"/>
      <c r="R117" s="245"/>
      <c r="S117" s="245"/>
      <c r="T117" s="245"/>
      <c r="U117" s="245"/>
      <c r="V117" s="246"/>
      <c r="W117" s="30"/>
      <c r="X117" s="2"/>
      <c r="Y117" s="2"/>
      <c r="Z117" s="2"/>
      <c r="AA117" s="2"/>
      <c r="AB117" s="2"/>
      <c r="AC117" s="2"/>
      <c r="AD117" s="2"/>
    </row>
    <row r="118" spans="1:30" ht="12.5" x14ac:dyDescent="0.25">
      <c r="A118" s="2"/>
      <c r="B118" s="2"/>
      <c r="C118" s="11"/>
      <c r="D118" s="337"/>
      <c r="E118" s="277"/>
      <c r="F118" s="277"/>
      <c r="G118" s="277"/>
      <c r="H118" s="277"/>
      <c r="I118" s="338"/>
      <c r="J118" s="111"/>
      <c r="K118" s="316"/>
      <c r="L118" s="232"/>
      <c r="M118" s="316"/>
      <c r="N118" s="232"/>
      <c r="O118" s="317"/>
      <c r="P118" s="232"/>
      <c r="Q118" s="274"/>
      <c r="R118" s="245"/>
      <c r="S118" s="245"/>
      <c r="T118" s="245"/>
      <c r="U118" s="245"/>
      <c r="V118" s="246"/>
      <c r="W118" s="30"/>
      <c r="X118" s="2"/>
      <c r="Y118" s="2"/>
      <c r="Z118" s="2"/>
      <c r="AA118" s="2"/>
      <c r="AB118" s="2"/>
      <c r="AC118" s="2"/>
      <c r="AD118" s="2"/>
    </row>
    <row r="119" spans="1:30" ht="12.5" x14ac:dyDescent="0.25">
      <c r="A119" s="2"/>
      <c r="B119" s="2"/>
      <c r="C119" s="11"/>
      <c r="D119" s="112"/>
      <c r="E119" s="28"/>
      <c r="F119" s="28"/>
      <c r="G119" s="28"/>
      <c r="H119" s="28"/>
      <c r="I119" s="28"/>
      <c r="J119" s="5"/>
      <c r="K119" s="339"/>
      <c r="L119" s="198"/>
      <c r="M119" s="339"/>
      <c r="N119" s="198"/>
      <c r="O119" s="320"/>
      <c r="P119" s="236"/>
      <c r="Q119" s="322"/>
      <c r="R119" s="194"/>
      <c r="S119" s="194"/>
      <c r="T119" s="194"/>
      <c r="U119" s="194"/>
      <c r="V119" s="323"/>
      <c r="W119" s="30"/>
      <c r="X119" s="2"/>
      <c r="Y119" s="2"/>
      <c r="Z119" s="2"/>
      <c r="AA119" s="2"/>
      <c r="AB119" s="2"/>
      <c r="AC119" s="2"/>
      <c r="AD119" s="2"/>
    </row>
    <row r="120" spans="1:30" ht="13" x14ac:dyDescent="0.3">
      <c r="A120" s="2"/>
      <c r="B120" s="2"/>
      <c r="C120" s="11"/>
      <c r="D120" s="335" t="s">
        <v>14</v>
      </c>
      <c r="E120" s="224"/>
      <c r="F120" s="224"/>
      <c r="G120" s="224"/>
      <c r="H120" s="224"/>
      <c r="I120" s="224"/>
      <c r="J120" s="224"/>
      <c r="K120" s="224"/>
      <c r="L120" s="224"/>
      <c r="M120" s="224"/>
      <c r="N120" s="273"/>
      <c r="O120" s="340">
        <f>SUM(O59:P119)</f>
        <v>0</v>
      </c>
      <c r="P120" s="273"/>
      <c r="Q120" s="113"/>
      <c r="R120" s="113"/>
      <c r="S120" s="113"/>
      <c r="T120" s="113"/>
      <c r="U120" s="113"/>
      <c r="V120" s="114"/>
      <c r="W120" s="30"/>
      <c r="X120" s="2"/>
      <c r="Y120" s="2"/>
      <c r="Z120" s="2"/>
      <c r="AA120" s="2"/>
      <c r="AB120" s="2"/>
      <c r="AC120" s="2"/>
      <c r="AD120" s="2"/>
    </row>
    <row r="121" spans="1:30" ht="12.5" x14ac:dyDescent="0.25">
      <c r="A121" s="2"/>
      <c r="B121" s="2"/>
      <c r="C121" s="2"/>
      <c r="D121" s="35"/>
      <c r="E121" s="35"/>
      <c r="F121" s="35"/>
      <c r="G121" s="35"/>
      <c r="H121" s="35"/>
      <c r="I121" s="35"/>
      <c r="J121" s="4"/>
      <c r="K121" s="4"/>
      <c r="L121" s="4"/>
      <c r="M121" s="4"/>
      <c r="N121" s="4"/>
      <c r="O121" s="4"/>
      <c r="P121" s="4"/>
      <c r="Q121" s="35"/>
      <c r="R121" s="35"/>
      <c r="S121" s="35"/>
      <c r="T121" s="35"/>
      <c r="U121" s="35"/>
      <c r="V121" s="35"/>
      <c r="W121" s="2"/>
      <c r="X121" s="2"/>
      <c r="Y121" s="2"/>
      <c r="Z121" s="2"/>
      <c r="AA121" s="2"/>
      <c r="AB121" s="2"/>
      <c r="AC121" s="2"/>
      <c r="AD121" s="2"/>
    </row>
    <row r="122" spans="1:30" ht="12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3"/>
      <c r="K122" s="3"/>
      <c r="L122" s="3"/>
      <c r="M122" s="3"/>
      <c r="N122" s="3"/>
      <c r="O122" s="3"/>
      <c r="P122" s="3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2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3"/>
      <c r="K123" s="3"/>
      <c r="L123" s="3"/>
      <c r="M123" s="3"/>
      <c r="N123" s="3"/>
      <c r="O123" s="3"/>
      <c r="P123" s="3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2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3"/>
      <c r="K124" s="3"/>
      <c r="L124" s="3"/>
      <c r="M124" s="3"/>
      <c r="N124" s="3"/>
      <c r="O124" s="3"/>
      <c r="P124" s="3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2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3"/>
      <c r="K125" s="3"/>
      <c r="L125" s="3"/>
      <c r="M125" s="3"/>
      <c r="N125" s="3"/>
      <c r="O125" s="3"/>
      <c r="P125" s="3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2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3"/>
      <c r="K126" s="3"/>
      <c r="L126" s="3"/>
      <c r="M126" s="3"/>
      <c r="N126" s="3"/>
      <c r="O126" s="3"/>
      <c r="P126" s="3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2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3"/>
      <c r="K127" s="3"/>
      <c r="L127" s="3"/>
      <c r="M127" s="3"/>
      <c r="N127" s="3"/>
      <c r="O127" s="3"/>
      <c r="P127" s="3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2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3"/>
      <c r="K128" s="3"/>
      <c r="L128" s="3"/>
      <c r="M128" s="3"/>
      <c r="N128" s="3"/>
      <c r="O128" s="3"/>
      <c r="P128" s="3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2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3"/>
      <c r="K129" s="3"/>
      <c r="L129" s="3"/>
      <c r="M129" s="3"/>
      <c r="N129" s="3"/>
      <c r="O129" s="3"/>
      <c r="P129" s="3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2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3"/>
      <c r="K130" s="3"/>
      <c r="L130" s="3"/>
      <c r="M130" s="3"/>
      <c r="N130" s="3"/>
      <c r="O130" s="3"/>
      <c r="P130" s="3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2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3"/>
      <c r="K131" s="3"/>
      <c r="L131" s="3"/>
      <c r="M131" s="3"/>
      <c r="N131" s="3"/>
      <c r="O131" s="3"/>
      <c r="P131" s="3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2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3"/>
      <c r="K132" s="3"/>
      <c r="L132" s="3"/>
      <c r="M132" s="3"/>
      <c r="N132" s="3"/>
      <c r="O132" s="3"/>
      <c r="P132" s="3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2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3"/>
      <c r="K133" s="3"/>
      <c r="L133" s="3"/>
      <c r="M133" s="3"/>
      <c r="N133" s="3"/>
      <c r="O133" s="3"/>
      <c r="P133" s="3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2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3"/>
      <c r="K134" s="3"/>
      <c r="L134" s="3"/>
      <c r="M134" s="3"/>
      <c r="N134" s="3"/>
      <c r="O134" s="3"/>
      <c r="P134" s="3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2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3"/>
      <c r="K135" s="3"/>
      <c r="L135" s="3"/>
      <c r="M135" s="3"/>
      <c r="N135" s="3"/>
      <c r="O135" s="3"/>
      <c r="P135" s="3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2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3"/>
      <c r="K136" s="3"/>
      <c r="L136" s="3"/>
      <c r="M136" s="3"/>
      <c r="N136" s="3"/>
      <c r="O136" s="3"/>
      <c r="P136" s="3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2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3"/>
      <c r="K137" s="3"/>
      <c r="L137" s="3"/>
      <c r="M137" s="3"/>
      <c r="N137" s="3"/>
      <c r="O137" s="3"/>
      <c r="P137" s="3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2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3"/>
      <c r="K138" s="3"/>
      <c r="L138" s="3"/>
      <c r="M138" s="3"/>
      <c r="N138" s="3"/>
      <c r="O138" s="3"/>
      <c r="P138" s="3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2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3"/>
      <c r="K139" s="3"/>
      <c r="L139" s="3"/>
      <c r="M139" s="3"/>
      <c r="N139" s="3"/>
      <c r="O139" s="3"/>
      <c r="P139" s="3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2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3"/>
      <c r="K140" s="3"/>
      <c r="L140" s="3"/>
      <c r="M140" s="3"/>
      <c r="N140" s="3"/>
      <c r="O140" s="3"/>
      <c r="P140" s="3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2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3"/>
      <c r="K141" s="3"/>
      <c r="L141" s="3"/>
      <c r="M141" s="3"/>
      <c r="N141" s="3"/>
      <c r="O141" s="3"/>
      <c r="P141" s="3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2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3"/>
      <c r="K142" s="3"/>
      <c r="L142" s="3"/>
      <c r="M142" s="3"/>
      <c r="N142" s="3"/>
      <c r="O142" s="3"/>
      <c r="P142" s="3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2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3"/>
      <c r="K143" s="3"/>
      <c r="L143" s="3"/>
      <c r="M143" s="3"/>
      <c r="N143" s="3"/>
      <c r="O143" s="3"/>
      <c r="P143" s="3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2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3"/>
      <c r="K144" s="3"/>
      <c r="L144" s="3"/>
      <c r="M144" s="3"/>
      <c r="N144" s="3"/>
      <c r="O144" s="3"/>
      <c r="P144" s="3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2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3"/>
      <c r="K145" s="3"/>
      <c r="L145" s="3"/>
      <c r="M145" s="3"/>
      <c r="N145" s="3"/>
      <c r="O145" s="3"/>
      <c r="P145" s="3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2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3"/>
      <c r="K146" s="3"/>
      <c r="L146" s="3"/>
      <c r="M146" s="3"/>
      <c r="N146" s="3"/>
      <c r="O146" s="3"/>
      <c r="P146" s="3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2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3"/>
      <c r="K147" s="3"/>
      <c r="L147" s="3"/>
      <c r="M147" s="3"/>
      <c r="N147" s="3"/>
      <c r="O147" s="3"/>
      <c r="P147" s="3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2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3"/>
      <c r="K148" s="3"/>
      <c r="L148" s="3"/>
      <c r="M148" s="3"/>
      <c r="N148" s="3"/>
      <c r="O148" s="3"/>
      <c r="P148" s="3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2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3"/>
      <c r="K149" s="3"/>
      <c r="L149" s="3"/>
      <c r="M149" s="3"/>
      <c r="N149" s="3"/>
      <c r="O149" s="3"/>
      <c r="P149" s="3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2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3"/>
      <c r="K150" s="3"/>
      <c r="L150" s="3"/>
      <c r="M150" s="3"/>
      <c r="N150" s="3"/>
      <c r="O150" s="3"/>
      <c r="P150" s="3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2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3"/>
      <c r="K151" s="3"/>
      <c r="L151" s="3"/>
      <c r="M151" s="3"/>
      <c r="N151" s="3"/>
      <c r="O151" s="3"/>
      <c r="P151" s="3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2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3"/>
      <c r="K152" s="3"/>
      <c r="L152" s="3"/>
      <c r="M152" s="3"/>
      <c r="N152" s="3"/>
      <c r="O152" s="3"/>
      <c r="P152" s="3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2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3"/>
      <c r="K153" s="3"/>
      <c r="L153" s="3"/>
      <c r="M153" s="3"/>
      <c r="N153" s="3"/>
      <c r="O153" s="3"/>
      <c r="P153" s="3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2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3"/>
      <c r="K154" s="3"/>
      <c r="L154" s="3"/>
      <c r="M154" s="3"/>
      <c r="N154" s="3"/>
      <c r="O154" s="3"/>
      <c r="P154" s="3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2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3"/>
      <c r="K155" s="3"/>
      <c r="L155" s="3"/>
      <c r="M155" s="3"/>
      <c r="N155" s="3"/>
      <c r="O155" s="3"/>
      <c r="P155" s="3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2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3"/>
      <c r="K156" s="3"/>
      <c r="L156" s="3"/>
      <c r="M156" s="3"/>
      <c r="N156" s="3"/>
      <c r="O156" s="3"/>
      <c r="P156" s="3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2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3"/>
      <c r="K157" s="3"/>
      <c r="L157" s="3"/>
      <c r="M157" s="3"/>
      <c r="N157" s="3"/>
      <c r="O157" s="3"/>
      <c r="P157" s="3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2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3"/>
      <c r="K158" s="3"/>
      <c r="L158" s="3"/>
      <c r="M158" s="3"/>
      <c r="N158" s="3"/>
      <c r="O158" s="3"/>
      <c r="P158" s="3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2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3"/>
      <c r="K159" s="3"/>
      <c r="L159" s="3"/>
      <c r="M159" s="3"/>
      <c r="N159" s="3"/>
      <c r="O159" s="3"/>
      <c r="P159" s="3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2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3"/>
      <c r="K160" s="3"/>
      <c r="L160" s="3"/>
      <c r="M160" s="3"/>
      <c r="N160" s="3"/>
      <c r="O160" s="3"/>
      <c r="P160" s="3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2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3"/>
      <c r="K161" s="3"/>
      <c r="L161" s="3"/>
      <c r="M161" s="3"/>
      <c r="N161" s="3"/>
      <c r="O161" s="3"/>
      <c r="P161" s="3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2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3"/>
      <c r="K162" s="3"/>
      <c r="L162" s="3"/>
      <c r="M162" s="3"/>
      <c r="N162" s="3"/>
      <c r="O162" s="3"/>
      <c r="P162" s="3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2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3"/>
      <c r="K163" s="3"/>
      <c r="L163" s="3"/>
      <c r="M163" s="3"/>
      <c r="N163" s="3"/>
      <c r="O163" s="3"/>
      <c r="P163" s="3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2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3"/>
      <c r="K164" s="3"/>
      <c r="L164" s="3"/>
      <c r="M164" s="3"/>
      <c r="N164" s="3"/>
      <c r="O164" s="3"/>
      <c r="P164" s="3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2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3"/>
      <c r="K165" s="3"/>
      <c r="L165" s="3"/>
      <c r="M165" s="3"/>
      <c r="N165" s="3"/>
      <c r="O165" s="3"/>
      <c r="P165" s="3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2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3"/>
      <c r="K166" s="3"/>
      <c r="L166" s="3"/>
      <c r="M166" s="3"/>
      <c r="N166" s="3"/>
      <c r="O166" s="3"/>
      <c r="P166" s="3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2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3"/>
      <c r="K167" s="3"/>
      <c r="L167" s="3"/>
      <c r="M167" s="3"/>
      <c r="N167" s="3"/>
      <c r="O167" s="3"/>
      <c r="P167" s="3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2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3"/>
      <c r="K168" s="3"/>
      <c r="L168" s="3"/>
      <c r="M168" s="3"/>
      <c r="N168" s="3"/>
      <c r="O168" s="3"/>
      <c r="P168" s="3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2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3"/>
      <c r="K169" s="3"/>
      <c r="L169" s="3"/>
      <c r="M169" s="3"/>
      <c r="N169" s="3"/>
      <c r="O169" s="3"/>
      <c r="P169" s="3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2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3"/>
      <c r="K170" s="3"/>
      <c r="L170" s="3"/>
      <c r="M170" s="3"/>
      <c r="N170" s="3"/>
      <c r="O170" s="3"/>
      <c r="P170" s="3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2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3"/>
      <c r="K171" s="3"/>
      <c r="L171" s="3"/>
      <c r="M171" s="3"/>
      <c r="N171" s="3"/>
      <c r="O171" s="3"/>
      <c r="P171" s="3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2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3"/>
      <c r="K172" s="3"/>
      <c r="L172" s="3"/>
      <c r="M172" s="3"/>
      <c r="N172" s="3"/>
      <c r="O172" s="3"/>
      <c r="P172" s="3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2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3"/>
      <c r="K173" s="3"/>
      <c r="L173" s="3"/>
      <c r="M173" s="3"/>
      <c r="N173" s="3"/>
      <c r="O173" s="3"/>
      <c r="P173" s="3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2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3"/>
      <c r="K174" s="3"/>
      <c r="L174" s="3"/>
      <c r="M174" s="3"/>
      <c r="N174" s="3"/>
      <c r="O174" s="3"/>
      <c r="P174" s="3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2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3"/>
      <c r="K175" s="3"/>
      <c r="L175" s="3"/>
      <c r="M175" s="3"/>
      <c r="N175" s="3"/>
      <c r="O175" s="3"/>
      <c r="P175" s="3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2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3"/>
      <c r="K176" s="3"/>
      <c r="L176" s="3"/>
      <c r="M176" s="3"/>
      <c r="N176" s="3"/>
      <c r="O176" s="3"/>
      <c r="P176" s="3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2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3"/>
      <c r="K177" s="3"/>
      <c r="L177" s="3"/>
      <c r="M177" s="3"/>
      <c r="N177" s="3"/>
      <c r="O177" s="3"/>
      <c r="P177" s="3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2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3"/>
      <c r="K178" s="3"/>
      <c r="L178" s="3"/>
      <c r="M178" s="3"/>
      <c r="N178" s="3"/>
      <c r="O178" s="3"/>
      <c r="P178" s="3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2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3"/>
      <c r="K179" s="3"/>
      <c r="L179" s="3"/>
      <c r="M179" s="3"/>
      <c r="N179" s="3"/>
      <c r="O179" s="3"/>
      <c r="P179" s="3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2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3"/>
      <c r="K180" s="3"/>
      <c r="L180" s="3"/>
      <c r="M180" s="3"/>
      <c r="N180" s="3"/>
      <c r="O180" s="3"/>
      <c r="P180" s="3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2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3"/>
      <c r="K181" s="3"/>
      <c r="L181" s="3"/>
      <c r="M181" s="3"/>
      <c r="N181" s="3"/>
      <c r="O181" s="3"/>
      <c r="P181" s="3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2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3"/>
      <c r="K182" s="3"/>
      <c r="L182" s="3"/>
      <c r="M182" s="3"/>
      <c r="N182" s="3"/>
      <c r="O182" s="3"/>
      <c r="P182" s="3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2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3"/>
      <c r="K183" s="3"/>
      <c r="L183" s="3"/>
      <c r="M183" s="3"/>
      <c r="N183" s="3"/>
      <c r="O183" s="3"/>
      <c r="P183" s="3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2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3"/>
      <c r="K184" s="3"/>
      <c r="L184" s="3"/>
      <c r="M184" s="3"/>
      <c r="N184" s="3"/>
      <c r="O184" s="3"/>
      <c r="P184" s="3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2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3"/>
      <c r="K185" s="3"/>
      <c r="L185" s="3"/>
      <c r="M185" s="3"/>
      <c r="N185" s="3"/>
      <c r="O185" s="3"/>
      <c r="P185" s="3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2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3"/>
      <c r="K186" s="3"/>
      <c r="L186" s="3"/>
      <c r="M186" s="3"/>
      <c r="N186" s="3"/>
      <c r="O186" s="3"/>
      <c r="P186" s="3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2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3"/>
      <c r="K187" s="3"/>
      <c r="L187" s="3"/>
      <c r="M187" s="3"/>
      <c r="N187" s="3"/>
      <c r="O187" s="3"/>
      <c r="P187" s="3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2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3"/>
      <c r="K188" s="3"/>
      <c r="L188" s="3"/>
      <c r="M188" s="3"/>
      <c r="N188" s="3"/>
      <c r="O188" s="3"/>
      <c r="P188" s="3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2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3"/>
      <c r="K189" s="3"/>
      <c r="L189" s="3"/>
      <c r="M189" s="3"/>
      <c r="N189" s="3"/>
      <c r="O189" s="3"/>
      <c r="P189" s="3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2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3"/>
      <c r="K190" s="3"/>
      <c r="L190" s="3"/>
      <c r="M190" s="3"/>
      <c r="N190" s="3"/>
      <c r="O190" s="3"/>
      <c r="P190" s="3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2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3"/>
      <c r="K191" s="3"/>
      <c r="L191" s="3"/>
      <c r="M191" s="3"/>
      <c r="N191" s="3"/>
      <c r="O191" s="3"/>
      <c r="P191" s="3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3"/>
      <c r="K192" s="3"/>
      <c r="L192" s="3"/>
      <c r="M192" s="3"/>
      <c r="N192" s="3"/>
      <c r="O192" s="3"/>
      <c r="P192" s="3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3"/>
      <c r="K193" s="3"/>
      <c r="L193" s="3"/>
      <c r="M193" s="3"/>
      <c r="N193" s="3"/>
      <c r="O193" s="3"/>
      <c r="P193" s="3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3"/>
      <c r="K194" s="3"/>
      <c r="L194" s="3"/>
      <c r="M194" s="3"/>
      <c r="N194" s="3"/>
      <c r="O194" s="3"/>
      <c r="P194" s="3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3"/>
      <c r="K195" s="3"/>
      <c r="L195" s="3"/>
      <c r="M195" s="3"/>
      <c r="N195" s="3"/>
      <c r="O195" s="3"/>
      <c r="P195" s="3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3"/>
      <c r="K196" s="3"/>
      <c r="L196" s="3"/>
      <c r="M196" s="3"/>
      <c r="N196" s="3"/>
      <c r="O196" s="3"/>
      <c r="P196" s="3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3"/>
      <c r="K197" s="3"/>
      <c r="L197" s="3"/>
      <c r="M197" s="3"/>
      <c r="N197" s="3"/>
      <c r="O197" s="3"/>
      <c r="P197" s="3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3"/>
      <c r="K198" s="3"/>
      <c r="L198" s="3"/>
      <c r="M198" s="3"/>
      <c r="N198" s="3"/>
      <c r="O198" s="3"/>
      <c r="P198" s="3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3"/>
      <c r="K199" s="3"/>
      <c r="L199" s="3"/>
      <c r="M199" s="3"/>
      <c r="N199" s="3"/>
      <c r="O199" s="3"/>
      <c r="P199" s="3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3"/>
      <c r="K200" s="3"/>
      <c r="L200" s="3"/>
      <c r="M200" s="3"/>
      <c r="N200" s="3"/>
      <c r="O200" s="3"/>
      <c r="P200" s="3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3"/>
      <c r="K201" s="3"/>
      <c r="L201" s="3"/>
      <c r="M201" s="3"/>
      <c r="N201" s="3"/>
      <c r="O201" s="3"/>
      <c r="P201" s="3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3"/>
      <c r="K202" s="3"/>
      <c r="L202" s="3"/>
      <c r="M202" s="3"/>
      <c r="N202" s="3"/>
      <c r="O202" s="3"/>
      <c r="P202" s="3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3"/>
      <c r="K203" s="3"/>
      <c r="L203" s="3"/>
      <c r="M203" s="3"/>
      <c r="N203" s="3"/>
      <c r="O203" s="3"/>
      <c r="P203" s="3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3"/>
      <c r="K204" s="3"/>
      <c r="L204" s="3"/>
      <c r="M204" s="3"/>
      <c r="N204" s="3"/>
      <c r="O204" s="3"/>
      <c r="P204" s="3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3"/>
      <c r="K205" s="3"/>
      <c r="L205" s="3"/>
      <c r="M205" s="3"/>
      <c r="N205" s="3"/>
      <c r="O205" s="3"/>
      <c r="P205" s="3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3"/>
      <c r="K206" s="3"/>
      <c r="L206" s="3"/>
      <c r="M206" s="3"/>
      <c r="N206" s="3"/>
      <c r="O206" s="3"/>
      <c r="P206" s="3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3"/>
      <c r="K207" s="3"/>
      <c r="L207" s="3"/>
      <c r="M207" s="3"/>
      <c r="N207" s="3"/>
      <c r="O207" s="3"/>
      <c r="P207" s="3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3"/>
      <c r="K208" s="3"/>
      <c r="L208" s="3"/>
      <c r="M208" s="3"/>
      <c r="N208" s="3"/>
      <c r="O208" s="3"/>
      <c r="P208" s="3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3"/>
      <c r="K209" s="3"/>
      <c r="L209" s="3"/>
      <c r="M209" s="3"/>
      <c r="N209" s="3"/>
      <c r="O209" s="3"/>
      <c r="P209" s="3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3"/>
      <c r="K210" s="3"/>
      <c r="L210" s="3"/>
      <c r="M210" s="3"/>
      <c r="N210" s="3"/>
      <c r="O210" s="3"/>
      <c r="P210" s="3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3"/>
      <c r="K211" s="3"/>
      <c r="L211" s="3"/>
      <c r="M211" s="3"/>
      <c r="N211" s="3"/>
      <c r="O211" s="3"/>
      <c r="P211" s="3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3"/>
      <c r="K212" s="3"/>
      <c r="L212" s="3"/>
      <c r="M212" s="3"/>
      <c r="N212" s="3"/>
      <c r="O212" s="3"/>
      <c r="P212" s="3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3"/>
      <c r="K213" s="3"/>
      <c r="L213" s="3"/>
      <c r="M213" s="3"/>
      <c r="N213" s="3"/>
      <c r="O213" s="3"/>
      <c r="P213" s="3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3"/>
      <c r="K214" s="3"/>
      <c r="L214" s="3"/>
      <c r="M214" s="3"/>
      <c r="N214" s="3"/>
      <c r="O214" s="3"/>
      <c r="P214" s="3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3"/>
      <c r="K215" s="3"/>
      <c r="L215" s="3"/>
      <c r="M215" s="3"/>
      <c r="N215" s="3"/>
      <c r="O215" s="3"/>
      <c r="P215" s="3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3"/>
      <c r="K216" s="3"/>
      <c r="L216" s="3"/>
      <c r="M216" s="3"/>
      <c r="N216" s="3"/>
      <c r="O216" s="3"/>
      <c r="P216" s="3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3"/>
      <c r="K217" s="3"/>
      <c r="L217" s="3"/>
      <c r="M217" s="3"/>
      <c r="N217" s="3"/>
      <c r="O217" s="3"/>
      <c r="P217" s="3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3"/>
      <c r="K218" s="3"/>
      <c r="L218" s="3"/>
      <c r="M218" s="3"/>
      <c r="N218" s="3"/>
      <c r="O218" s="3"/>
      <c r="P218" s="3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3"/>
      <c r="K219" s="3"/>
      <c r="L219" s="3"/>
      <c r="M219" s="3"/>
      <c r="N219" s="3"/>
      <c r="O219" s="3"/>
      <c r="P219" s="3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3"/>
      <c r="K220" s="3"/>
      <c r="L220" s="3"/>
      <c r="M220" s="3"/>
      <c r="N220" s="3"/>
      <c r="O220" s="3"/>
      <c r="P220" s="3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3"/>
      <c r="K221" s="3"/>
      <c r="L221" s="3"/>
      <c r="M221" s="3"/>
      <c r="N221" s="3"/>
      <c r="O221" s="3"/>
      <c r="P221" s="3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3"/>
      <c r="K222" s="3"/>
      <c r="L222" s="3"/>
      <c r="M222" s="3"/>
      <c r="N222" s="3"/>
      <c r="O222" s="3"/>
      <c r="P222" s="3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3"/>
      <c r="K223" s="3"/>
      <c r="L223" s="3"/>
      <c r="M223" s="3"/>
      <c r="N223" s="3"/>
      <c r="O223" s="3"/>
      <c r="P223" s="3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3"/>
      <c r="K224" s="3"/>
      <c r="L224" s="3"/>
      <c r="M224" s="3"/>
      <c r="N224" s="3"/>
      <c r="O224" s="3"/>
      <c r="P224" s="3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3"/>
      <c r="K225" s="3"/>
      <c r="L225" s="3"/>
      <c r="M225" s="3"/>
      <c r="N225" s="3"/>
      <c r="O225" s="3"/>
      <c r="P225" s="3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3"/>
      <c r="K226" s="3"/>
      <c r="L226" s="3"/>
      <c r="M226" s="3"/>
      <c r="N226" s="3"/>
      <c r="O226" s="3"/>
      <c r="P226" s="3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3"/>
      <c r="K227" s="3"/>
      <c r="L227" s="3"/>
      <c r="M227" s="3"/>
      <c r="N227" s="3"/>
      <c r="O227" s="3"/>
      <c r="P227" s="3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3"/>
      <c r="K228" s="3"/>
      <c r="L228" s="3"/>
      <c r="M228" s="3"/>
      <c r="N228" s="3"/>
      <c r="O228" s="3"/>
      <c r="P228" s="3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3"/>
      <c r="K229" s="3"/>
      <c r="L229" s="3"/>
      <c r="M229" s="3"/>
      <c r="N229" s="3"/>
      <c r="O229" s="3"/>
      <c r="P229" s="3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3"/>
      <c r="K230" s="3"/>
      <c r="L230" s="3"/>
      <c r="M230" s="3"/>
      <c r="N230" s="3"/>
      <c r="O230" s="3"/>
      <c r="P230" s="3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3"/>
      <c r="K231" s="3"/>
      <c r="L231" s="3"/>
      <c r="M231" s="3"/>
      <c r="N231" s="3"/>
      <c r="O231" s="3"/>
      <c r="P231" s="3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3"/>
      <c r="K232" s="3"/>
      <c r="L232" s="3"/>
      <c r="M232" s="3"/>
      <c r="N232" s="3"/>
      <c r="O232" s="3"/>
      <c r="P232" s="3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3"/>
      <c r="K233" s="3"/>
      <c r="L233" s="3"/>
      <c r="M233" s="3"/>
      <c r="N233" s="3"/>
      <c r="O233" s="3"/>
      <c r="P233" s="3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3"/>
      <c r="K234" s="3"/>
      <c r="L234" s="3"/>
      <c r="M234" s="3"/>
      <c r="N234" s="3"/>
      <c r="O234" s="3"/>
      <c r="P234" s="3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3"/>
      <c r="K235" s="3"/>
      <c r="L235" s="3"/>
      <c r="M235" s="3"/>
      <c r="N235" s="3"/>
      <c r="O235" s="3"/>
      <c r="P235" s="3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3"/>
      <c r="K236" s="3"/>
      <c r="L236" s="3"/>
      <c r="M236" s="3"/>
      <c r="N236" s="3"/>
      <c r="O236" s="3"/>
      <c r="P236" s="3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3"/>
      <c r="K237" s="3"/>
      <c r="L237" s="3"/>
      <c r="M237" s="3"/>
      <c r="N237" s="3"/>
      <c r="O237" s="3"/>
      <c r="P237" s="3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3"/>
      <c r="K238" s="3"/>
      <c r="L238" s="3"/>
      <c r="M238" s="3"/>
      <c r="N238" s="3"/>
      <c r="O238" s="3"/>
      <c r="P238" s="3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3"/>
      <c r="K239" s="3"/>
      <c r="L239" s="3"/>
      <c r="M239" s="3"/>
      <c r="N239" s="3"/>
      <c r="O239" s="3"/>
      <c r="P239" s="3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3"/>
      <c r="K240" s="3"/>
      <c r="L240" s="3"/>
      <c r="M240" s="3"/>
      <c r="N240" s="3"/>
      <c r="O240" s="3"/>
      <c r="P240" s="3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3"/>
      <c r="K241" s="3"/>
      <c r="L241" s="3"/>
      <c r="M241" s="3"/>
      <c r="N241" s="3"/>
      <c r="O241" s="3"/>
      <c r="P241" s="3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3"/>
      <c r="K242" s="3"/>
      <c r="L242" s="3"/>
      <c r="M242" s="3"/>
      <c r="N242" s="3"/>
      <c r="O242" s="3"/>
      <c r="P242" s="3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3"/>
      <c r="K243" s="3"/>
      <c r="L243" s="3"/>
      <c r="M243" s="3"/>
      <c r="N243" s="3"/>
      <c r="O243" s="3"/>
      <c r="P243" s="3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3"/>
      <c r="K244" s="3"/>
      <c r="L244" s="3"/>
      <c r="M244" s="3"/>
      <c r="N244" s="3"/>
      <c r="O244" s="3"/>
      <c r="P244" s="3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3"/>
      <c r="K245" s="3"/>
      <c r="L245" s="3"/>
      <c r="M245" s="3"/>
      <c r="N245" s="3"/>
      <c r="O245" s="3"/>
      <c r="P245" s="3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3"/>
      <c r="K246" s="3"/>
      <c r="L246" s="3"/>
      <c r="M246" s="3"/>
      <c r="N246" s="3"/>
      <c r="O246" s="3"/>
      <c r="P246" s="3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3"/>
      <c r="K247" s="3"/>
      <c r="L247" s="3"/>
      <c r="M247" s="3"/>
      <c r="N247" s="3"/>
      <c r="O247" s="3"/>
      <c r="P247" s="3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3"/>
      <c r="K248" s="3"/>
      <c r="L248" s="3"/>
      <c r="M248" s="3"/>
      <c r="N248" s="3"/>
      <c r="O248" s="3"/>
      <c r="P248" s="3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3"/>
      <c r="K249" s="3"/>
      <c r="L249" s="3"/>
      <c r="M249" s="3"/>
      <c r="N249" s="3"/>
      <c r="O249" s="3"/>
      <c r="P249" s="3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3"/>
      <c r="K250" s="3"/>
      <c r="L250" s="3"/>
      <c r="M250" s="3"/>
      <c r="N250" s="3"/>
      <c r="O250" s="3"/>
      <c r="P250" s="3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3"/>
      <c r="K251" s="3"/>
      <c r="L251" s="3"/>
      <c r="M251" s="3"/>
      <c r="N251" s="3"/>
      <c r="O251" s="3"/>
      <c r="P251" s="3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3"/>
      <c r="K252" s="3"/>
      <c r="L252" s="3"/>
      <c r="M252" s="3"/>
      <c r="N252" s="3"/>
      <c r="O252" s="3"/>
      <c r="P252" s="3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3"/>
      <c r="K253" s="3"/>
      <c r="L253" s="3"/>
      <c r="M253" s="3"/>
      <c r="N253" s="3"/>
      <c r="O253" s="3"/>
      <c r="P253" s="3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3"/>
      <c r="K254" s="3"/>
      <c r="L254" s="3"/>
      <c r="M254" s="3"/>
      <c r="N254" s="3"/>
      <c r="O254" s="3"/>
      <c r="P254" s="3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3"/>
      <c r="K255" s="3"/>
      <c r="L255" s="3"/>
      <c r="M255" s="3"/>
      <c r="N255" s="3"/>
      <c r="O255" s="3"/>
      <c r="P255" s="3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3"/>
      <c r="K256" s="3"/>
      <c r="L256" s="3"/>
      <c r="M256" s="3"/>
      <c r="N256" s="3"/>
      <c r="O256" s="3"/>
      <c r="P256" s="3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3"/>
      <c r="K257" s="3"/>
      <c r="L257" s="3"/>
      <c r="M257" s="3"/>
      <c r="N257" s="3"/>
      <c r="O257" s="3"/>
      <c r="P257" s="3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3"/>
      <c r="K258" s="3"/>
      <c r="L258" s="3"/>
      <c r="M258" s="3"/>
      <c r="N258" s="3"/>
      <c r="O258" s="3"/>
      <c r="P258" s="3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3"/>
      <c r="K259" s="3"/>
      <c r="L259" s="3"/>
      <c r="M259" s="3"/>
      <c r="N259" s="3"/>
      <c r="O259" s="3"/>
      <c r="P259" s="3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3"/>
      <c r="K260" s="3"/>
      <c r="L260" s="3"/>
      <c r="M260" s="3"/>
      <c r="N260" s="3"/>
      <c r="O260" s="3"/>
      <c r="P260" s="3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3"/>
      <c r="K261" s="3"/>
      <c r="L261" s="3"/>
      <c r="M261" s="3"/>
      <c r="N261" s="3"/>
      <c r="O261" s="3"/>
      <c r="P261" s="3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3"/>
      <c r="K262" s="3"/>
      <c r="L262" s="3"/>
      <c r="M262" s="3"/>
      <c r="N262" s="3"/>
      <c r="O262" s="3"/>
      <c r="P262" s="3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3"/>
      <c r="K263" s="3"/>
      <c r="L263" s="3"/>
      <c r="M263" s="3"/>
      <c r="N263" s="3"/>
      <c r="O263" s="3"/>
      <c r="P263" s="3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3"/>
      <c r="K264" s="3"/>
      <c r="L264" s="3"/>
      <c r="M264" s="3"/>
      <c r="N264" s="3"/>
      <c r="O264" s="3"/>
      <c r="P264" s="3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3"/>
      <c r="K265" s="3"/>
      <c r="L265" s="3"/>
      <c r="M265" s="3"/>
      <c r="N265" s="3"/>
      <c r="O265" s="3"/>
      <c r="P265" s="3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3"/>
      <c r="K266" s="3"/>
      <c r="L266" s="3"/>
      <c r="M266" s="3"/>
      <c r="N266" s="3"/>
      <c r="O266" s="3"/>
      <c r="P266" s="3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3"/>
      <c r="K267" s="3"/>
      <c r="L267" s="3"/>
      <c r="M267" s="3"/>
      <c r="N267" s="3"/>
      <c r="O267" s="3"/>
      <c r="P267" s="3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3"/>
      <c r="K268" s="3"/>
      <c r="L268" s="3"/>
      <c r="M268" s="3"/>
      <c r="N268" s="3"/>
      <c r="O268" s="3"/>
      <c r="P268" s="3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3"/>
      <c r="K269" s="3"/>
      <c r="L269" s="3"/>
      <c r="M269" s="3"/>
      <c r="N269" s="3"/>
      <c r="O269" s="3"/>
      <c r="P269" s="3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3"/>
      <c r="K270" s="3"/>
      <c r="L270" s="3"/>
      <c r="M270" s="3"/>
      <c r="N270" s="3"/>
      <c r="O270" s="3"/>
      <c r="P270" s="3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3"/>
      <c r="K271" s="3"/>
      <c r="L271" s="3"/>
      <c r="M271" s="3"/>
      <c r="N271" s="3"/>
      <c r="O271" s="3"/>
      <c r="P271" s="3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3"/>
      <c r="K272" s="3"/>
      <c r="L272" s="3"/>
      <c r="M272" s="3"/>
      <c r="N272" s="3"/>
      <c r="O272" s="3"/>
      <c r="P272" s="3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3"/>
      <c r="K273" s="3"/>
      <c r="L273" s="3"/>
      <c r="M273" s="3"/>
      <c r="N273" s="3"/>
      <c r="O273" s="3"/>
      <c r="P273" s="3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3"/>
      <c r="K274" s="3"/>
      <c r="L274" s="3"/>
      <c r="M274" s="3"/>
      <c r="N274" s="3"/>
      <c r="O274" s="3"/>
      <c r="P274" s="3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3"/>
      <c r="K275" s="3"/>
      <c r="L275" s="3"/>
      <c r="M275" s="3"/>
      <c r="N275" s="3"/>
      <c r="O275" s="3"/>
      <c r="P275" s="3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3"/>
      <c r="K276" s="3"/>
      <c r="L276" s="3"/>
      <c r="M276" s="3"/>
      <c r="N276" s="3"/>
      <c r="O276" s="3"/>
      <c r="P276" s="3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3"/>
      <c r="K277" s="3"/>
      <c r="L277" s="3"/>
      <c r="M277" s="3"/>
      <c r="N277" s="3"/>
      <c r="O277" s="3"/>
      <c r="P277" s="3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3"/>
      <c r="K278" s="3"/>
      <c r="L278" s="3"/>
      <c r="M278" s="3"/>
      <c r="N278" s="3"/>
      <c r="O278" s="3"/>
      <c r="P278" s="3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3"/>
      <c r="K279" s="3"/>
      <c r="L279" s="3"/>
      <c r="M279" s="3"/>
      <c r="N279" s="3"/>
      <c r="O279" s="3"/>
      <c r="P279" s="3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3"/>
      <c r="K280" s="3"/>
      <c r="L280" s="3"/>
      <c r="M280" s="3"/>
      <c r="N280" s="3"/>
      <c r="O280" s="3"/>
      <c r="P280" s="3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3"/>
      <c r="K281" s="3"/>
      <c r="L281" s="3"/>
      <c r="M281" s="3"/>
      <c r="N281" s="3"/>
      <c r="O281" s="3"/>
      <c r="P281" s="3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3"/>
      <c r="K282" s="3"/>
      <c r="L282" s="3"/>
      <c r="M282" s="3"/>
      <c r="N282" s="3"/>
      <c r="O282" s="3"/>
      <c r="P282" s="3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3"/>
      <c r="K283" s="3"/>
      <c r="L283" s="3"/>
      <c r="M283" s="3"/>
      <c r="N283" s="3"/>
      <c r="O283" s="3"/>
      <c r="P283" s="3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3"/>
      <c r="K284" s="3"/>
      <c r="L284" s="3"/>
      <c r="M284" s="3"/>
      <c r="N284" s="3"/>
      <c r="O284" s="3"/>
      <c r="P284" s="3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3"/>
      <c r="K285" s="3"/>
      <c r="L285" s="3"/>
      <c r="M285" s="3"/>
      <c r="N285" s="3"/>
      <c r="O285" s="3"/>
      <c r="P285" s="3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3"/>
      <c r="K286" s="3"/>
      <c r="L286" s="3"/>
      <c r="M286" s="3"/>
      <c r="N286" s="3"/>
      <c r="O286" s="3"/>
      <c r="P286" s="3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3"/>
      <c r="K287" s="3"/>
      <c r="L287" s="3"/>
      <c r="M287" s="3"/>
      <c r="N287" s="3"/>
      <c r="O287" s="3"/>
      <c r="P287" s="3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3"/>
      <c r="K288" s="3"/>
      <c r="L288" s="3"/>
      <c r="M288" s="3"/>
      <c r="N288" s="3"/>
      <c r="O288" s="3"/>
      <c r="P288" s="3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3"/>
      <c r="K289" s="3"/>
      <c r="L289" s="3"/>
      <c r="M289" s="3"/>
      <c r="N289" s="3"/>
      <c r="O289" s="3"/>
      <c r="P289" s="3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3"/>
      <c r="K290" s="3"/>
      <c r="L290" s="3"/>
      <c r="M290" s="3"/>
      <c r="N290" s="3"/>
      <c r="O290" s="3"/>
      <c r="P290" s="3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3"/>
      <c r="K291" s="3"/>
      <c r="L291" s="3"/>
      <c r="M291" s="3"/>
      <c r="N291" s="3"/>
      <c r="O291" s="3"/>
      <c r="P291" s="3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3"/>
      <c r="K292" s="3"/>
      <c r="L292" s="3"/>
      <c r="M292" s="3"/>
      <c r="N292" s="3"/>
      <c r="O292" s="3"/>
      <c r="P292" s="3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3"/>
      <c r="K293" s="3"/>
      <c r="L293" s="3"/>
      <c r="M293" s="3"/>
      <c r="N293" s="3"/>
      <c r="O293" s="3"/>
      <c r="P293" s="3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3"/>
      <c r="K294" s="3"/>
      <c r="L294" s="3"/>
      <c r="M294" s="3"/>
      <c r="N294" s="3"/>
      <c r="O294" s="3"/>
      <c r="P294" s="3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3"/>
      <c r="K295" s="3"/>
      <c r="L295" s="3"/>
      <c r="M295" s="3"/>
      <c r="N295" s="3"/>
      <c r="O295" s="3"/>
      <c r="P295" s="3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3"/>
      <c r="K296" s="3"/>
      <c r="L296" s="3"/>
      <c r="M296" s="3"/>
      <c r="N296" s="3"/>
      <c r="O296" s="3"/>
      <c r="P296" s="3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3"/>
      <c r="K297" s="3"/>
      <c r="L297" s="3"/>
      <c r="M297" s="3"/>
      <c r="N297" s="3"/>
      <c r="O297" s="3"/>
      <c r="P297" s="3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3"/>
      <c r="K298" s="3"/>
      <c r="L298" s="3"/>
      <c r="M298" s="3"/>
      <c r="N298" s="3"/>
      <c r="O298" s="3"/>
      <c r="P298" s="3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3"/>
      <c r="K299" s="3"/>
      <c r="L299" s="3"/>
      <c r="M299" s="3"/>
      <c r="N299" s="3"/>
      <c r="O299" s="3"/>
      <c r="P299" s="3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3"/>
      <c r="K300" s="3"/>
      <c r="L300" s="3"/>
      <c r="M300" s="3"/>
      <c r="N300" s="3"/>
      <c r="O300" s="3"/>
      <c r="P300" s="3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3"/>
      <c r="K301" s="3"/>
      <c r="L301" s="3"/>
      <c r="M301" s="3"/>
      <c r="N301" s="3"/>
      <c r="O301" s="3"/>
      <c r="P301" s="3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3"/>
      <c r="K302" s="3"/>
      <c r="L302" s="3"/>
      <c r="M302" s="3"/>
      <c r="N302" s="3"/>
      <c r="O302" s="3"/>
      <c r="P302" s="3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3"/>
      <c r="K303" s="3"/>
      <c r="L303" s="3"/>
      <c r="M303" s="3"/>
      <c r="N303" s="3"/>
      <c r="O303" s="3"/>
      <c r="P303" s="3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3"/>
      <c r="K304" s="3"/>
      <c r="L304" s="3"/>
      <c r="M304" s="3"/>
      <c r="N304" s="3"/>
      <c r="O304" s="3"/>
      <c r="P304" s="3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3"/>
      <c r="K305" s="3"/>
      <c r="L305" s="3"/>
      <c r="M305" s="3"/>
      <c r="N305" s="3"/>
      <c r="O305" s="3"/>
      <c r="P305" s="3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3"/>
      <c r="K306" s="3"/>
      <c r="L306" s="3"/>
      <c r="M306" s="3"/>
      <c r="N306" s="3"/>
      <c r="O306" s="3"/>
      <c r="P306" s="3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3"/>
      <c r="K307" s="3"/>
      <c r="L307" s="3"/>
      <c r="M307" s="3"/>
      <c r="N307" s="3"/>
      <c r="O307" s="3"/>
      <c r="P307" s="3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3"/>
      <c r="K308" s="3"/>
      <c r="L308" s="3"/>
      <c r="M308" s="3"/>
      <c r="N308" s="3"/>
      <c r="O308" s="3"/>
      <c r="P308" s="3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3"/>
      <c r="K309" s="3"/>
      <c r="L309" s="3"/>
      <c r="M309" s="3"/>
      <c r="N309" s="3"/>
      <c r="O309" s="3"/>
      <c r="P309" s="3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3"/>
      <c r="K310" s="3"/>
      <c r="L310" s="3"/>
      <c r="M310" s="3"/>
      <c r="N310" s="3"/>
      <c r="O310" s="3"/>
      <c r="P310" s="3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3"/>
      <c r="K311" s="3"/>
      <c r="L311" s="3"/>
      <c r="M311" s="3"/>
      <c r="N311" s="3"/>
      <c r="O311" s="3"/>
      <c r="P311" s="3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3"/>
      <c r="K312" s="3"/>
      <c r="L312" s="3"/>
      <c r="M312" s="3"/>
      <c r="N312" s="3"/>
      <c r="O312" s="3"/>
      <c r="P312" s="3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3"/>
      <c r="K313" s="3"/>
      <c r="L313" s="3"/>
      <c r="M313" s="3"/>
      <c r="N313" s="3"/>
      <c r="O313" s="3"/>
      <c r="P313" s="3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3"/>
      <c r="K314" s="3"/>
      <c r="L314" s="3"/>
      <c r="M314" s="3"/>
      <c r="N314" s="3"/>
      <c r="O314" s="3"/>
      <c r="P314" s="3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3"/>
      <c r="K315" s="3"/>
      <c r="L315" s="3"/>
      <c r="M315" s="3"/>
      <c r="N315" s="3"/>
      <c r="O315" s="3"/>
      <c r="P315" s="3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3"/>
      <c r="K316" s="3"/>
      <c r="L316" s="3"/>
      <c r="M316" s="3"/>
      <c r="N316" s="3"/>
      <c r="O316" s="3"/>
      <c r="P316" s="3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3"/>
      <c r="K317" s="3"/>
      <c r="L317" s="3"/>
      <c r="M317" s="3"/>
      <c r="N317" s="3"/>
      <c r="O317" s="3"/>
      <c r="P317" s="3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3"/>
      <c r="K318" s="3"/>
      <c r="L318" s="3"/>
      <c r="M318" s="3"/>
      <c r="N318" s="3"/>
      <c r="O318" s="3"/>
      <c r="P318" s="3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3"/>
      <c r="K319" s="3"/>
      <c r="L319" s="3"/>
      <c r="M319" s="3"/>
      <c r="N319" s="3"/>
      <c r="O319" s="3"/>
      <c r="P319" s="3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3"/>
      <c r="K320" s="3"/>
      <c r="L320" s="3"/>
      <c r="M320" s="3"/>
      <c r="N320" s="3"/>
      <c r="O320" s="3"/>
      <c r="P320" s="3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3"/>
      <c r="K321" s="3"/>
      <c r="L321" s="3"/>
      <c r="M321" s="3"/>
      <c r="N321" s="3"/>
      <c r="O321" s="3"/>
      <c r="P321" s="3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3"/>
      <c r="K322" s="3"/>
      <c r="L322" s="3"/>
      <c r="M322" s="3"/>
      <c r="N322" s="3"/>
      <c r="O322" s="3"/>
      <c r="P322" s="3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3"/>
      <c r="K323" s="3"/>
      <c r="L323" s="3"/>
      <c r="M323" s="3"/>
      <c r="N323" s="3"/>
      <c r="O323" s="3"/>
      <c r="P323" s="3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3"/>
      <c r="K324" s="3"/>
      <c r="L324" s="3"/>
      <c r="M324" s="3"/>
      <c r="N324" s="3"/>
      <c r="O324" s="3"/>
      <c r="P324" s="3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3"/>
      <c r="K325" s="3"/>
      <c r="L325" s="3"/>
      <c r="M325" s="3"/>
      <c r="N325" s="3"/>
      <c r="O325" s="3"/>
      <c r="P325" s="3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2.5" x14ac:dyDescent="0.25">
      <c r="J326" s="115"/>
      <c r="K326" s="115"/>
      <c r="L326" s="115"/>
      <c r="M326" s="115"/>
      <c r="N326" s="115"/>
      <c r="O326" s="115"/>
      <c r="P326" s="115"/>
    </row>
    <row r="327" spans="1:30" ht="12.5" x14ac:dyDescent="0.25">
      <c r="J327" s="115"/>
      <c r="K327" s="115"/>
      <c r="L327" s="115"/>
      <c r="M327" s="115"/>
      <c r="N327" s="115"/>
      <c r="O327" s="115"/>
      <c r="P327" s="115"/>
    </row>
    <row r="328" spans="1:30" ht="12.5" x14ac:dyDescent="0.25">
      <c r="J328" s="115"/>
      <c r="K328" s="115"/>
      <c r="L328" s="115"/>
      <c r="M328" s="115"/>
      <c r="N328" s="115"/>
      <c r="O328" s="115"/>
      <c r="P328" s="115"/>
    </row>
    <row r="329" spans="1:30" ht="12.5" x14ac:dyDescent="0.25">
      <c r="J329" s="115"/>
      <c r="K329" s="115"/>
      <c r="L329" s="115"/>
      <c r="M329" s="115"/>
      <c r="N329" s="115"/>
      <c r="O329" s="115"/>
      <c r="P329" s="115"/>
    </row>
    <row r="330" spans="1:30" ht="12.5" x14ac:dyDescent="0.25">
      <c r="J330" s="115"/>
      <c r="K330" s="115"/>
      <c r="L330" s="115"/>
      <c r="M330" s="115"/>
      <c r="N330" s="115"/>
      <c r="O330" s="115"/>
      <c r="P330" s="115"/>
    </row>
    <row r="331" spans="1:30" ht="12.5" x14ac:dyDescent="0.25">
      <c r="J331" s="115"/>
      <c r="K331" s="115"/>
      <c r="L331" s="115"/>
      <c r="M331" s="115"/>
      <c r="N331" s="115"/>
      <c r="O331" s="115"/>
      <c r="P331" s="115"/>
    </row>
    <row r="332" spans="1:30" ht="12.5" x14ac:dyDescent="0.25">
      <c r="J332" s="115"/>
      <c r="K332" s="115"/>
      <c r="L332" s="115"/>
      <c r="M332" s="115"/>
      <c r="N332" s="115"/>
      <c r="O332" s="115"/>
      <c r="P332" s="115"/>
    </row>
    <row r="333" spans="1:30" ht="12.5" x14ac:dyDescent="0.25">
      <c r="J333" s="115"/>
      <c r="K333" s="115"/>
      <c r="L333" s="115"/>
      <c r="M333" s="115"/>
      <c r="N333" s="115"/>
      <c r="O333" s="115"/>
      <c r="P333" s="115"/>
    </row>
    <row r="334" spans="1:30" ht="12.5" x14ac:dyDescent="0.25">
      <c r="J334" s="115"/>
      <c r="K334" s="115"/>
      <c r="L334" s="115"/>
      <c r="M334" s="115"/>
      <c r="N334" s="115"/>
      <c r="O334" s="115"/>
      <c r="P334" s="115"/>
    </row>
    <row r="335" spans="1:30" ht="12.5" x14ac:dyDescent="0.25">
      <c r="J335" s="115"/>
      <c r="K335" s="115"/>
      <c r="L335" s="115"/>
      <c r="M335" s="115"/>
      <c r="N335" s="115"/>
      <c r="O335" s="115"/>
      <c r="P335" s="115"/>
    </row>
    <row r="336" spans="1:30" ht="12.5" x14ac:dyDescent="0.25">
      <c r="J336" s="115"/>
      <c r="K336" s="115"/>
      <c r="L336" s="115"/>
      <c r="M336" s="115"/>
      <c r="N336" s="115"/>
      <c r="O336" s="115"/>
      <c r="P336" s="115"/>
    </row>
    <row r="337" spans="10:16" ht="12.5" x14ac:dyDescent="0.25">
      <c r="J337" s="115"/>
      <c r="K337" s="115"/>
      <c r="L337" s="115"/>
      <c r="M337" s="115"/>
      <c r="N337" s="115"/>
      <c r="O337" s="115"/>
      <c r="P337" s="115"/>
    </row>
    <row r="338" spans="10:16" ht="12.5" x14ac:dyDescent="0.25">
      <c r="J338" s="115"/>
      <c r="K338" s="115"/>
      <c r="L338" s="115"/>
      <c r="M338" s="115"/>
      <c r="N338" s="115"/>
      <c r="O338" s="115"/>
      <c r="P338" s="115"/>
    </row>
    <row r="339" spans="10:16" ht="12.5" x14ac:dyDescent="0.25">
      <c r="J339" s="115"/>
      <c r="K339" s="115"/>
      <c r="L339" s="115"/>
      <c r="M339" s="115"/>
      <c r="N339" s="115"/>
      <c r="O339" s="115"/>
      <c r="P339" s="115"/>
    </row>
    <row r="340" spans="10:16" ht="12.5" x14ac:dyDescent="0.25">
      <c r="J340" s="115"/>
      <c r="K340" s="115"/>
      <c r="L340" s="115"/>
      <c r="M340" s="115"/>
      <c r="N340" s="115"/>
      <c r="O340" s="115"/>
      <c r="P340" s="115"/>
    </row>
    <row r="341" spans="10:16" ht="12.5" x14ac:dyDescent="0.25">
      <c r="J341" s="115"/>
      <c r="K341" s="115"/>
      <c r="L341" s="115"/>
      <c r="M341" s="115"/>
      <c r="N341" s="115"/>
      <c r="O341" s="115"/>
      <c r="P341" s="115"/>
    </row>
    <row r="342" spans="10:16" ht="12.5" x14ac:dyDescent="0.25">
      <c r="J342" s="115"/>
      <c r="K342" s="115"/>
      <c r="L342" s="115"/>
      <c r="M342" s="115"/>
      <c r="N342" s="115"/>
      <c r="O342" s="115"/>
      <c r="P342" s="115"/>
    </row>
    <row r="343" spans="10:16" ht="12.5" x14ac:dyDescent="0.25">
      <c r="J343" s="115"/>
      <c r="K343" s="115"/>
      <c r="L343" s="115"/>
      <c r="M343" s="115"/>
      <c r="N343" s="115"/>
      <c r="O343" s="115"/>
      <c r="P343" s="115"/>
    </row>
    <row r="344" spans="10:16" ht="12.5" x14ac:dyDescent="0.25">
      <c r="J344" s="115"/>
      <c r="K344" s="115"/>
      <c r="L344" s="115"/>
      <c r="M344" s="115"/>
      <c r="N344" s="115"/>
      <c r="O344" s="115"/>
      <c r="P344" s="115"/>
    </row>
    <row r="345" spans="10:16" ht="12.5" x14ac:dyDescent="0.25">
      <c r="J345" s="115"/>
      <c r="K345" s="115"/>
      <c r="L345" s="115"/>
      <c r="M345" s="115"/>
      <c r="N345" s="115"/>
      <c r="O345" s="115"/>
      <c r="P345" s="115"/>
    </row>
    <row r="346" spans="10:16" ht="12.5" x14ac:dyDescent="0.25">
      <c r="J346" s="115"/>
      <c r="K346" s="115"/>
      <c r="L346" s="115"/>
      <c r="M346" s="115"/>
      <c r="N346" s="115"/>
      <c r="O346" s="115"/>
      <c r="P346" s="115"/>
    </row>
    <row r="347" spans="10:16" ht="12.5" x14ac:dyDescent="0.25">
      <c r="J347" s="115"/>
      <c r="K347" s="115"/>
      <c r="L347" s="115"/>
      <c r="M347" s="115"/>
      <c r="N347" s="115"/>
      <c r="O347" s="115"/>
      <c r="P347" s="115"/>
    </row>
    <row r="348" spans="10:16" ht="12.5" x14ac:dyDescent="0.25">
      <c r="J348" s="115"/>
      <c r="K348" s="115"/>
      <c r="L348" s="115"/>
      <c r="M348" s="115"/>
      <c r="N348" s="115"/>
      <c r="O348" s="115"/>
      <c r="P348" s="115"/>
    </row>
    <row r="349" spans="10:16" ht="12.5" x14ac:dyDescent="0.25">
      <c r="J349" s="115"/>
      <c r="K349" s="115"/>
      <c r="L349" s="115"/>
      <c r="M349" s="115"/>
      <c r="N349" s="115"/>
      <c r="O349" s="115"/>
      <c r="P349" s="115"/>
    </row>
    <row r="350" spans="10:16" ht="12.5" x14ac:dyDescent="0.25">
      <c r="J350" s="115"/>
      <c r="K350" s="115"/>
      <c r="L350" s="115"/>
      <c r="M350" s="115"/>
      <c r="N350" s="115"/>
      <c r="O350" s="115"/>
      <c r="P350" s="115"/>
    </row>
    <row r="351" spans="10:16" ht="12.5" x14ac:dyDescent="0.25">
      <c r="J351" s="115"/>
      <c r="K351" s="115"/>
      <c r="L351" s="115"/>
      <c r="M351" s="115"/>
      <c r="N351" s="115"/>
      <c r="O351" s="115"/>
      <c r="P351" s="115"/>
    </row>
    <row r="352" spans="10:16" ht="12.5" x14ac:dyDescent="0.25">
      <c r="J352" s="115"/>
      <c r="K352" s="115"/>
      <c r="L352" s="115"/>
      <c r="M352" s="115"/>
      <c r="N352" s="115"/>
      <c r="O352" s="115"/>
      <c r="P352" s="115"/>
    </row>
    <row r="353" spans="10:16" ht="12.5" x14ac:dyDescent="0.25">
      <c r="J353" s="115"/>
      <c r="K353" s="115"/>
      <c r="L353" s="115"/>
      <c r="M353" s="115"/>
      <c r="N353" s="115"/>
      <c r="O353" s="115"/>
      <c r="P353" s="115"/>
    </row>
    <row r="354" spans="10:16" ht="12.5" x14ac:dyDescent="0.25">
      <c r="J354" s="115"/>
      <c r="K354" s="115"/>
      <c r="L354" s="115"/>
      <c r="M354" s="115"/>
      <c r="N354" s="115"/>
      <c r="O354" s="115"/>
      <c r="P354" s="115"/>
    </row>
    <row r="355" spans="10:16" ht="12.5" x14ac:dyDescent="0.25">
      <c r="J355" s="115"/>
      <c r="K355" s="115"/>
      <c r="L355" s="115"/>
      <c r="M355" s="115"/>
      <c r="N355" s="115"/>
      <c r="O355" s="115"/>
      <c r="P355" s="115"/>
    </row>
    <row r="356" spans="10:16" ht="12.5" x14ac:dyDescent="0.25">
      <c r="J356" s="115"/>
      <c r="K356" s="115"/>
      <c r="L356" s="115"/>
      <c r="M356" s="115"/>
      <c r="N356" s="115"/>
      <c r="O356" s="115"/>
      <c r="P356" s="115"/>
    </row>
    <row r="357" spans="10:16" ht="12.5" x14ac:dyDescent="0.25">
      <c r="J357" s="115"/>
      <c r="K357" s="115"/>
      <c r="L357" s="115"/>
      <c r="M357" s="115"/>
      <c r="N357" s="115"/>
      <c r="O357" s="115"/>
      <c r="P357" s="115"/>
    </row>
    <row r="358" spans="10:16" ht="12.5" x14ac:dyDescent="0.25">
      <c r="J358" s="115"/>
      <c r="K358" s="115"/>
      <c r="L358" s="115"/>
      <c r="M358" s="115"/>
      <c r="N358" s="115"/>
      <c r="O358" s="115"/>
      <c r="P358" s="115"/>
    </row>
    <row r="359" spans="10:16" ht="12.5" x14ac:dyDescent="0.25">
      <c r="J359" s="115"/>
      <c r="K359" s="115"/>
      <c r="L359" s="115"/>
      <c r="M359" s="115"/>
      <c r="N359" s="115"/>
      <c r="O359" s="115"/>
      <c r="P359" s="115"/>
    </row>
    <row r="360" spans="10:16" ht="12.5" x14ac:dyDescent="0.25">
      <c r="J360" s="115"/>
      <c r="K360" s="115"/>
      <c r="L360" s="115"/>
      <c r="M360" s="115"/>
      <c r="N360" s="115"/>
      <c r="O360" s="115"/>
      <c r="P360" s="115"/>
    </row>
    <row r="361" spans="10:16" ht="12.5" x14ac:dyDescent="0.25">
      <c r="J361" s="115"/>
      <c r="K361" s="115"/>
      <c r="L361" s="115"/>
      <c r="M361" s="115"/>
      <c r="N361" s="115"/>
      <c r="O361" s="115"/>
      <c r="P361" s="115"/>
    </row>
    <row r="362" spans="10:16" ht="12.5" x14ac:dyDescent="0.25">
      <c r="J362" s="115"/>
      <c r="K362" s="115"/>
      <c r="L362" s="115"/>
      <c r="M362" s="115"/>
      <c r="N362" s="115"/>
      <c r="O362" s="115"/>
      <c r="P362" s="115"/>
    </row>
    <row r="363" spans="10:16" ht="12.5" x14ac:dyDescent="0.25">
      <c r="J363" s="115"/>
      <c r="K363" s="115"/>
      <c r="L363" s="115"/>
      <c r="M363" s="115"/>
      <c r="N363" s="115"/>
      <c r="O363" s="115"/>
      <c r="P363" s="115"/>
    </row>
    <row r="364" spans="10:16" ht="12.5" x14ac:dyDescent="0.25">
      <c r="J364" s="115"/>
      <c r="K364" s="115"/>
      <c r="L364" s="115"/>
      <c r="M364" s="115"/>
      <c r="N364" s="115"/>
      <c r="O364" s="115"/>
      <c r="P364" s="115"/>
    </row>
    <row r="365" spans="10:16" ht="12.5" x14ac:dyDescent="0.25">
      <c r="J365" s="115"/>
      <c r="K365" s="115"/>
      <c r="L365" s="115"/>
      <c r="M365" s="115"/>
      <c r="N365" s="115"/>
      <c r="O365" s="115"/>
      <c r="P365" s="115"/>
    </row>
    <row r="366" spans="10:16" ht="12.5" x14ac:dyDescent="0.25">
      <c r="J366" s="115"/>
      <c r="K366" s="115"/>
      <c r="L366" s="115"/>
      <c r="M366" s="115"/>
      <c r="N366" s="115"/>
      <c r="O366" s="115"/>
      <c r="P366" s="115"/>
    </row>
    <row r="367" spans="10:16" ht="12.5" x14ac:dyDescent="0.25">
      <c r="J367" s="115"/>
      <c r="K367" s="115"/>
      <c r="L367" s="115"/>
      <c r="M367" s="115"/>
      <c r="N367" s="115"/>
      <c r="O367" s="115"/>
      <c r="P367" s="115"/>
    </row>
    <row r="368" spans="10:16" ht="12.5" x14ac:dyDescent="0.25">
      <c r="J368" s="115"/>
      <c r="K368" s="115"/>
      <c r="L368" s="115"/>
      <c r="M368" s="115"/>
      <c r="N368" s="115"/>
      <c r="O368" s="115"/>
      <c r="P368" s="115"/>
    </row>
    <row r="369" spans="10:16" ht="12.5" x14ac:dyDescent="0.25">
      <c r="J369" s="115"/>
      <c r="K369" s="115"/>
      <c r="L369" s="115"/>
      <c r="M369" s="115"/>
      <c r="N369" s="115"/>
      <c r="O369" s="115"/>
      <c r="P369" s="115"/>
    </row>
    <row r="370" spans="10:16" ht="12.5" x14ac:dyDescent="0.25">
      <c r="J370" s="115"/>
      <c r="K370" s="115"/>
      <c r="L370" s="115"/>
      <c r="M370" s="115"/>
      <c r="N370" s="115"/>
      <c r="O370" s="115"/>
      <c r="P370" s="115"/>
    </row>
    <row r="371" spans="10:16" ht="12.5" x14ac:dyDescent="0.25">
      <c r="J371" s="115"/>
      <c r="K371" s="115"/>
      <c r="L371" s="115"/>
      <c r="M371" s="115"/>
      <c r="N371" s="115"/>
      <c r="O371" s="115"/>
      <c r="P371" s="115"/>
    </row>
    <row r="372" spans="10:16" ht="12.5" x14ac:dyDescent="0.25">
      <c r="J372" s="115"/>
      <c r="K372" s="115"/>
      <c r="L372" s="115"/>
      <c r="M372" s="115"/>
      <c r="N372" s="115"/>
      <c r="O372" s="115"/>
      <c r="P372" s="115"/>
    </row>
    <row r="373" spans="10:16" ht="12.5" x14ac:dyDescent="0.25">
      <c r="J373" s="115"/>
      <c r="K373" s="115"/>
      <c r="L373" s="115"/>
      <c r="M373" s="115"/>
      <c r="N373" s="115"/>
      <c r="O373" s="115"/>
      <c r="P373" s="115"/>
    </row>
    <row r="374" spans="10:16" ht="12.5" x14ac:dyDescent="0.25">
      <c r="J374" s="115"/>
      <c r="K374" s="115"/>
      <c r="L374" s="115"/>
      <c r="M374" s="115"/>
      <c r="N374" s="115"/>
      <c r="O374" s="115"/>
      <c r="P374" s="115"/>
    </row>
    <row r="375" spans="10:16" ht="12.5" x14ac:dyDescent="0.25">
      <c r="J375" s="115"/>
      <c r="K375" s="115"/>
      <c r="L375" s="115"/>
      <c r="M375" s="115"/>
      <c r="N375" s="115"/>
      <c r="O375" s="115"/>
      <c r="P375" s="115"/>
    </row>
    <row r="376" spans="10:16" ht="12.5" x14ac:dyDescent="0.25">
      <c r="J376" s="115"/>
      <c r="K376" s="115"/>
      <c r="L376" s="115"/>
      <c r="M376" s="115"/>
      <c r="N376" s="115"/>
      <c r="O376" s="115"/>
      <c r="P376" s="115"/>
    </row>
    <row r="377" spans="10:16" ht="12.5" x14ac:dyDescent="0.25">
      <c r="J377" s="115"/>
      <c r="K377" s="115"/>
      <c r="L377" s="115"/>
      <c r="M377" s="115"/>
      <c r="N377" s="115"/>
      <c r="O377" s="115"/>
      <c r="P377" s="115"/>
    </row>
    <row r="378" spans="10:16" ht="12.5" x14ac:dyDescent="0.25">
      <c r="J378" s="115"/>
      <c r="K378" s="115"/>
      <c r="L378" s="115"/>
      <c r="M378" s="115"/>
      <c r="N378" s="115"/>
      <c r="O378" s="115"/>
      <c r="P378" s="115"/>
    </row>
    <row r="379" spans="10:16" ht="12.5" x14ac:dyDescent="0.25">
      <c r="J379" s="115"/>
      <c r="K379" s="115"/>
      <c r="L379" s="115"/>
      <c r="M379" s="115"/>
      <c r="N379" s="115"/>
      <c r="O379" s="115"/>
      <c r="P379" s="115"/>
    </row>
    <row r="380" spans="10:16" ht="12.5" x14ac:dyDescent="0.25">
      <c r="J380" s="115"/>
      <c r="K380" s="115"/>
      <c r="L380" s="115"/>
      <c r="M380" s="115"/>
      <c r="N380" s="115"/>
      <c r="O380" s="115"/>
      <c r="P380" s="115"/>
    </row>
    <row r="381" spans="10:16" ht="12.5" x14ac:dyDescent="0.25">
      <c r="J381" s="115"/>
      <c r="K381" s="115"/>
      <c r="L381" s="115"/>
      <c r="M381" s="115"/>
      <c r="N381" s="115"/>
      <c r="O381" s="115"/>
      <c r="P381" s="115"/>
    </row>
    <row r="382" spans="10:16" ht="12.5" x14ac:dyDescent="0.25">
      <c r="J382" s="115"/>
      <c r="K382" s="115"/>
      <c r="L382" s="115"/>
      <c r="M382" s="115"/>
      <c r="N382" s="115"/>
      <c r="O382" s="115"/>
      <c r="P382" s="115"/>
    </row>
    <row r="383" spans="10:16" ht="12.5" x14ac:dyDescent="0.25">
      <c r="J383" s="115"/>
      <c r="K383" s="115"/>
      <c r="L383" s="115"/>
      <c r="M383" s="115"/>
      <c r="N383" s="115"/>
      <c r="O383" s="115"/>
      <c r="P383" s="115"/>
    </row>
    <row r="384" spans="10:16" ht="12.5" x14ac:dyDescent="0.25">
      <c r="J384" s="115"/>
      <c r="K384" s="115"/>
      <c r="L384" s="115"/>
      <c r="M384" s="115"/>
      <c r="N384" s="115"/>
      <c r="O384" s="115"/>
      <c r="P384" s="115"/>
    </row>
    <row r="385" spans="10:16" ht="12.5" x14ac:dyDescent="0.25">
      <c r="J385" s="115"/>
      <c r="K385" s="115"/>
      <c r="L385" s="115"/>
      <c r="M385" s="115"/>
      <c r="N385" s="115"/>
      <c r="O385" s="115"/>
      <c r="P385" s="115"/>
    </row>
    <row r="386" spans="10:16" ht="12.5" x14ac:dyDescent="0.25">
      <c r="J386" s="115"/>
      <c r="K386" s="115"/>
      <c r="L386" s="115"/>
      <c r="M386" s="115"/>
      <c r="N386" s="115"/>
      <c r="O386" s="115"/>
      <c r="P386" s="115"/>
    </row>
    <row r="387" spans="10:16" ht="12.5" x14ac:dyDescent="0.25">
      <c r="J387" s="115"/>
      <c r="K387" s="115"/>
      <c r="L387" s="115"/>
      <c r="M387" s="115"/>
      <c r="N387" s="115"/>
      <c r="O387" s="115"/>
      <c r="P387" s="115"/>
    </row>
    <row r="388" spans="10:16" ht="12.5" x14ac:dyDescent="0.25">
      <c r="J388" s="115"/>
      <c r="K388" s="115"/>
      <c r="L388" s="115"/>
      <c r="M388" s="115"/>
      <c r="N388" s="115"/>
      <c r="O388" s="115"/>
      <c r="P388" s="115"/>
    </row>
    <row r="389" spans="10:16" ht="12.5" x14ac:dyDescent="0.25">
      <c r="J389" s="115"/>
      <c r="K389" s="115"/>
      <c r="L389" s="115"/>
      <c r="M389" s="115"/>
      <c r="N389" s="115"/>
      <c r="O389" s="115"/>
      <c r="P389" s="115"/>
    </row>
    <row r="390" spans="10:16" ht="12.5" x14ac:dyDescent="0.25">
      <c r="J390" s="115"/>
      <c r="K390" s="115"/>
      <c r="L390" s="115"/>
      <c r="M390" s="115"/>
      <c r="N390" s="115"/>
      <c r="O390" s="115"/>
      <c r="P390" s="115"/>
    </row>
    <row r="391" spans="10:16" ht="12.5" x14ac:dyDescent="0.25">
      <c r="J391" s="115"/>
      <c r="K391" s="115"/>
      <c r="L391" s="115"/>
      <c r="M391" s="115"/>
      <c r="N391" s="115"/>
      <c r="O391" s="115"/>
      <c r="P391" s="115"/>
    </row>
    <row r="392" spans="10:16" ht="12.5" x14ac:dyDescent="0.25">
      <c r="J392" s="115"/>
      <c r="K392" s="115"/>
      <c r="L392" s="115"/>
      <c r="M392" s="115"/>
      <c r="N392" s="115"/>
      <c r="O392" s="115"/>
      <c r="P392" s="115"/>
    </row>
    <row r="393" spans="10:16" ht="12.5" x14ac:dyDescent="0.25">
      <c r="J393" s="115"/>
      <c r="K393" s="115"/>
      <c r="L393" s="115"/>
      <c r="M393" s="115"/>
      <c r="N393" s="115"/>
      <c r="O393" s="115"/>
      <c r="P393" s="115"/>
    </row>
    <row r="394" spans="10:16" ht="12.5" x14ac:dyDescent="0.25">
      <c r="J394" s="115"/>
      <c r="K394" s="115"/>
      <c r="L394" s="115"/>
      <c r="M394" s="115"/>
      <c r="N394" s="115"/>
      <c r="O394" s="115"/>
      <c r="P394" s="115"/>
    </row>
    <row r="395" spans="10:16" ht="12.5" x14ac:dyDescent="0.25">
      <c r="J395" s="115"/>
      <c r="K395" s="115"/>
      <c r="L395" s="115"/>
      <c r="M395" s="115"/>
      <c r="N395" s="115"/>
      <c r="O395" s="115"/>
      <c r="P395" s="115"/>
    </row>
    <row r="396" spans="10:16" ht="12.5" x14ac:dyDescent="0.25">
      <c r="J396" s="115"/>
      <c r="K396" s="115"/>
      <c r="L396" s="115"/>
      <c r="M396" s="115"/>
      <c r="N396" s="115"/>
      <c r="O396" s="115"/>
      <c r="P396" s="115"/>
    </row>
    <row r="397" spans="10:16" ht="12.5" x14ac:dyDescent="0.25">
      <c r="J397" s="115"/>
      <c r="K397" s="115"/>
      <c r="L397" s="115"/>
      <c r="M397" s="115"/>
      <c r="N397" s="115"/>
      <c r="O397" s="115"/>
      <c r="P397" s="115"/>
    </row>
    <row r="398" spans="10:16" ht="12.5" x14ac:dyDescent="0.25">
      <c r="J398" s="115"/>
      <c r="K398" s="115"/>
      <c r="L398" s="115"/>
      <c r="M398" s="115"/>
      <c r="N398" s="115"/>
      <c r="O398" s="115"/>
      <c r="P398" s="115"/>
    </row>
    <row r="399" spans="10:16" ht="12.5" x14ac:dyDescent="0.25">
      <c r="J399" s="115"/>
      <c r="K399" s="115"/>
      <c r="L399" s="115"/>
      <c r="M399" s="115"/>
      <c r="N399" s="115"/>
      <c r="O399" s="115"/>
      <c r="P399" s="115"/>
    </row>
    <row r="400" spans="10:16" ht="12.5" x14ac:dyDescent="0.25">
      <c r="J400" s="115"/>
      <c r="K400" s="115"/>
      <c r="L400" s="115"/>
      <c r="M400" s="115"/>
      <c r="N400" s="115"/>
      <c r="O400" s="115"/>
      <c r="P400" s="115"/>
    </row>
    <row r="401" spans="10:16" ht="12.5" x14ac:dyDescent="0.25">
      <c r="J401" s="115"/>
      <c r="K401" s="115"/>
      <c r="L401" s="115"/>
      <c r="M401" s="115"/>
      <c r="N401" s="115"/>
      <c r="O401" s="115"/>
      <c r="P401" s="115"/>
    </row>
    <row r="402" spans="10:16" ht="12.5" x14ac:dyDescent="0.25">
      <c r="J402" s="115"/>
      <c r="K402" s="115"/>
      <c r="L402" s="115"/>
      <c r="M402" s="115"/>
      <c r="N402" s="115"/>
      <c r="O402" s="115"/>
      <c r="P402" s="115"/>
    </row>
    <row r="403" spans="10:16" ht="12.5" x14ac:dyDescent="0.25">
      <c r="J403" s="115"/>
      <c r="K403" s="115"/>
      <c r="L403" s="115"/>
      <c r="M403" s="115"/>
      <c r="N403" s="115"/>
      <c r="O403" s="115"/>
      <c r="P403" s="115"/>
    </row>
    <row r="404" spans="10:16" ht="12.5" x14ac:dyDescent="0.25">
      <c r="J404" s="115"/>
      <c r="K404" s="115"/>
      <c r="L404" s="115"/>
      <c r="M404" s="115"/>
      <c r="N404" s="115"/>
      <c r="O404" s="115"/>
      <c r="P404" s="115"/>
    </row>
    <row r="405" spans="10:16" ht="12.5" x14ac:dyDescent="0.25">
      <c r="J405" s="115"/>
      <c r="K405" s="115"/>
      <c r="L405" s="115"/>
      <c r="M405" s="115"/>
      <c r="N405" s="115"/>
      <c r="O405" s="115"/>
      <c r="P405" s="115"/>
    </row>
    <row r="406" spans="10:16" ht="12.5" x14ac:dyDescent="0.25">
      <c r="J406" s="115"/>
      <c r="K406" s="115"/>
      <c r="L406" s="115"/>
      <c r="M406" s="115"/>
      <c r="N406" s="115"/>
      <c r="O406" s="115"/>
      <c r="P406" s="115"/>
    </row>
    <row r="407" spans="10:16" ht="12.5" x14ac:dyDescent="0.25">
      <c r="J407" s="115"/>
      <c r="K407" s="115"/>
      <c r="L407" s="115"/>
      <c r="M407" s="115"/>
      <c r="N407" s="115"/>
      <c r="O407" s="115"/>
      <c r="P407" s="115"/>
    </row>
    <row r="408" spans="10:16" ht="12.5" x14ac:dyDescent="0.25">
      <c r="J408" s="115"/>
      <c r="K408" s="115"/>
      <c r="L408" s="115"/>
      <c r="M408" s="115"/>
      <c r="N408" s="115"/>
      <c r="O408" s="115"/>
      <c r="P408" s="115"/>
    </row>
    <row r="409" spans="10:16" ht="12.5" x14ac:dyDescent="0.25">
      <c r="J409" s="115"/>
      <c r="K409" s="115"/>
      <c r="L409" s="115"/>
      <c r="M409" s="115"/>
      <c r="N409" s="115"/>
      <c r="O409" s="115"/>
      <c r="P409" s="115"/>
    </row>
    <row r="410" spans="10:16" ht="12.5" x14ac:dyDescent="0.25">
      <c r="J410" s="115"/>
      <c r="K410" s="115"/>
      <c r="L410" s="115"/>
      <c r="M410" s="115"/>
      <c r="N410" s="115"/>
      <c r="O410" s="115"/>
      <c r="P410" s="115"/>
    </row>
    <row r="411" spans="10:16" ht="12.5" x14ac:dyDescent="0.25">
      <c r="J411" s="115"/>
      <c r="K411" s="115"/>
      <c r="L411" s="115"/>
      <c r="M411" s="115"/>
      <c r="N411" s="115"/>
      <c r="O411" s="115"/>
      <c r="P411" s="115"/>
    </row>
    <row r="412" spans="10:16" ht="12.5" x14ac:dyDescent="0.25">
      <c r="J412" s="115"/>
      <c r="K412" s="115"/>
      <c r="L412" s="115"/>
      <c r="M412" s="115"/>
      <c r="N412" s="115"/>
      <c r="O412" s="115"/>
      <c r="P412" s="115"/>
    </row>
    <row r="413" spans="10:16" ht="12.5" x14ac:dyDescent="0.25">
      <c r="J413" s="115"/>
      <c r="K413" s="115"/>
      <c r="L413" s="115"/>
      <c r="M413" s="115"/>
      <c r="N413" s="115"/>
      <c r="O413" s="115"/>
      <c r="P413" s="115"/>
    </row>
    <row r="414" spans="10:16" ht="12.5" x14ac:dyDescent="0.25">
      <c r="J414" s="115"/>
      <c r="K414" s="115"/>
      <c r="L414" s="115"/>
      <c r="M414" s="115"/>
      <c r="N414" s="115"/>
      <c r="O414" s="115"/>
      <c r="P414" s="115"/>
    </row>
    <row r="415" spans="10:16" ht="12.5" x14ac:dyDescent="0.25">
      <c r="J415" s="115"/>
      <c r="K415" s="115"/>
      <c r="L415" s="115"/>
      <c r="M415" s="115"/>
      <c r="N415" s="115"/>
      <c r="O415" s="115"/>
      <c r="P415" s="115"/>
    </row>
    <row r="416" spans="10:16" ht="12.5" x14ac:dyDescent="0.25">
      <c r="J416" s="115"/>
      <c r="K416" s="115"/>
      <c r="L416" s="115"/>
      <c r="M416" s="115"/>
      <c r="N416" s="115"/>
      <c r="O416" s="115"/>
      <c r="P416" s="115"/>
    </row>
    <row r="417" spans="10:16" ht="12.5" x14ac:dyDescent="0.25">
      <c r="J417" s="115"/>
      <c r="K417" s="115"/>
      <c r="L417" s="115"/>
      <c r="M417" s="115"/>
      <c r="N417" s="115"/>
      <c r="O417" s="115"/>
      <c r="P417" s="115"/>
    </row>
    <row r="418" spans="10:16" ht="12.5" x14ac:dyDescent="0.25">
      <c r="J418" s="115"/>
      <c r="K418" s="115"/>
      <c r="L418" s="115"/>
      <c r="M418" s="115"/>
      <c r="N418" s="115"/>
      <c r="O418" s="115"/>
      <c r="P418" s="115"/>
    </row>
    <row r="419" spans="10:16" ht="12.5" x14ac:dyDescent="0.25">
      <c r="J419" s="115"/>
      <c r="K419" s="115"/>
      <c r="L419" s="115"/>
      <c r="M419" s="115"/>
      <c r="N419" s="115"/>
      <c r="O419" s="115"/>
      <c r="P419" s="115"/>
    </row>
    <row r="420" spans="10:16" ht="12.5" x14ac:dyDescent="0.25">
      <c r="J420" s="115"/>
      <c r="K420" s="115"/>
      <c r="L420" s="115"/>
      <c r="M420" s="115"/>
      <c r="N420" s="115"/>
      <c r="O420" s="115"/>
      <c r="P420" s="115"/>
    </row>
    <row r="421" spans="10:16" ht="12.5" x14ac:dyDescent="0.25">
      <c r="J421" s="115"/>
      <c r="K421" s="115"/>
      <c r="L421" s="115"/>
      <c r="M421" s="115"/>
      <c r="N421" s="115"/>
      <c r="O421" s="115"/>
      <c r="P421" s="115"/>
    </row>
    <row r="422" spans="10:16" ht="12.5" x14ac:dyDescent="0.25">
      <c r="J422" s="115"/>
      <c r="K422" s="115"/>
      <c r="L422" s="115"/>
      <c r="M422" s="115"/>
      <c r="N422" s="115"/>
      <c r="O422" s="115"/>
      <c r="P422" s="115"/>
    </row>
    <row r="423" spans="10:16" ht="12.5" x14ac:dyDescent="0.25">
      <c r="J423" s="115"/>
      <c r="K423" s="115"/>
      <c r="L423" s="115"/>
      <c r="M423" s="115"/>
      <c r="N423" s="115"/>
      <c r="O423" s="115"/>
      <c r="P423" s="115"/>
    </row>
    <row r="424" spans="10:16" ht="12.5" x14ac:dyDescent="0.25">
      <c r="J424" s="115"/>
      <c r="K424" s="115"/>
      <c r="L424" s="115"/>
      <c r="M424" s="115"/>
      <c r="N424" s="115"/>
      <c r="O424" s="115"/>
      <c r="P424" s="115"/>
    </row>
    <row r="425" spans="10:16" ht="12.5" x14ac:dyDescent="0.25">
      <c r="J425" s="115"/>
      <c r="K425" s="115"/>
      <c r="L425" s="115"/>
      <c r="M425" s="115"/>
      <c r="N425" s="115"/>
      <c r="O425" s="115"/>
      <c r="P425" s="115"/>
    </row>
    <row r="426" spans="10:16" ht="12.5" x14ac:dyDescent="0.25">
      <c r="J426" s="115"/>
      <c r="K426" s="115"/>
      <c r="L426" s="115"/>
      <c r="M426" s="115"/>
      <c r="N426" s="115"/>
      <c r="O426" s="115"/>
      <c r="P426" s="115"/>
    </row>
    <row r="427" spans="10:16" ht="12.5" x14ac:dyDescent="0.25">
      <c r="J427" s="115"/>
      <c r="K427" s="115"/>
      <c r="L427" s="115"/>
      <c r="M427" s="115"/>
      <c r="N427" s="115"/>
      <c r="O427" s="115"/>
      <c r="P427" s="115"/>
    </row>
    <row r="428" spans="10:16" ht="12.5" x14ac:dyDescent="0.25">
      <c r="J428" s="115"/>
      <c r="K428" s="115"/>
      <c r="L428" s="115"/>
      <c r="M428" s="115"/>
      <c r="N428" s="115"/>
      <c r="O428" s="115"/>
      <c r="P428" s="115"/>
    </row>
    <row r="429" spans="10:16" ht="12.5" x14ac:dyDescent="0.25">
      <c r="J429" s="115"/>
      <c r="K429" s="115"/>
      <c r="L429" s="115"/>
      <c r="M429" s="115"/>
      <c r="N429" s="115"/>
      <c r="O429" s="115"/>
      <c r="P429" s="115"/>
    </row>
    <row r="430" spans="10:16" ht="12.5" x14ac:dyDescent="0.25">
      <c r="J430" s="115"/>
      <c r="K430" s="115"/>
      <c r="L430" s="115"/>
      <c r="M430" s="115"/>
      <c r="N430" s="115"/>
      <c r="O430" s="115"/>
      <c r="P430" s="115"/>
    </row>
    <row r="431" spans="10:16" ht="12.5" x14ac:dyDescent="0.25">
      <c r="J431" s="115"/>
      <c r="K431" s="115"/>
      <c r="L431" s="115"/>
      <c r="M431" s="115"/>
      <c r="N431" s="115"/>
      <c r="O431" s="115"/>
      <c r="P431" s="115"/>
    </row>
    <row r="432" spans="10:16" ht="12.5" x14ac:dyDescent="0.25">
      <c r="J432" s="115"/>
      <c r="K432" s="115"/>
      <c r="L432" s="115"/>
      <c r="M432" s="115"/>
      <c r="N432" s="115"/>
      <c r="O432" s="115"/>
      <c r="P432" s="115"/>
    </row>
    <row r="433" spans="10:16" ht="12.5" x14ac:dyDescent="0.25">
      <c r="J433" s="115"/>
      <c r="K433" s="115"/>
      <c r="L433" s="115"/>
      <c r="M433" s="115"/>
      <c r="N433" s="115"/>
      <c r="O433" s="115"/>
      <c r="P433" s="115"/>
    </row>
    <row r="434" spans="10:16" ht="12.5" x14ac:dyDescent="0.25">
      <c r="J434" s="115"/>
      <c r="K434" s="115"/>
      <c r="L434" s="115"/>
      <c r="M434" s="115"/>
      <c r="N434" s="115"/>
      <c r="O434" s="115"/>
      <c r="P434" s="115"/>
    </row>
    <row r="435" spans="10:16" ht="12.5" x14ac:dyDescent="0.25">
      <c r="J435" s="115"/>
      <c r="K435" s="115"/>
      <c r="L435" s="115"/>
      <c r="M435" s="115"/>
      <c r="N435" s="115"/>
      <c r="O435" s="115"/>
      <c r="P435" s="115"/>
    </row>
    <row r="436" spans="10:16" ht="12.5" x14ac:dyDescent="0.25">
      <c r="J436" s="115"/>
      <c r="K436" s="115"/>
      <c r="L436" s="115"/>
      <c r="M436" s="115"/>
      <c r="N436" s="115"/>
      <c r="O436" s="115"/>
      <c r="P436" s="115"/>
    </row>
    <row r="437" spans="10:16" ht="12.5" x14ac:dyDescent="0.25">
      <c r="J437" s="115"/>
      <c r="K437" s="115"/>
      <c r="L437" s="115"/>
      <c r="M437" s="115"/>
      <c r="N437" s="115"/>
      <c r="O437" s="115"/>
      <c r="P437" s="115"/>
    </row>
    <row r="438" spans="10:16" ht="12.5" x14ac:dyDescent="0.25">
      <c r="J438" s="115"/>
      <c r="K438" s="115"/>
      <c r="L438" s="115"/>
      <c r="M438" s="115"/>
      <c r="N438" s="115"/>
      <c r="O438" s="115"/>
      <c r="P438" s="115"/>
    </row>
    <row r="439" spans="10:16" ht="12.5" x14ac:dyDescent="0.25">
      <c r="J439" s="115"/>
      <c r="K439" s="115"/>
      <c r="L439" s="115"/>
      <c r="M439" s="115"/>
      <c r="N439" s="115"/>
      <c r="O439" s="115"/>
      <c r="P439" s="115"/>
    </row>
    <row r="440" spans="10:16" ht="12.5" x14ac:dyDescent="0.25">
      <c r="J440" s="115"/>
      <c r="K440" s="115"/>
      <c r="L440" s="115"/>
      <c r="M440" s="115"/>
      <c r="N440" s="115"/>
      <c r="O440" s="115"/>
      <c r="P440" s="115"/>
    </row>
    <row r="441" spans="10:16" ht="12.5" x14ac:dyDescent="0.25">
      <c r="J441" s="115"/>
      <c r="K441" s="115"/>
      <c r="L441" s="115"/>
      <c r="M441" s="115"/>
      <c r="N441" s="115"/>
      <c r="O441" s="115"/>
      <c r="P441" s="115"/>
    </row>
    <row r="442" spans="10:16" ht="12.5" x14ac:dyDescent="0.25">
      <c r="J442" s="115"/>
      <c r="K442" s="115"/>
      <c r="L442" s="115"/>
      <c r="M442" s="115"/>
      <c r="N442" s="115"/>
      <c r="O442" s="115"/>
      <c r="P442" s="115"/>
    </row>
    <row r="443" spans="10:16" ht="12.5" x14ac:dyDescent="0.25">
      <c r="J443" s="115"/>
      <c r="K443" s="115"/>
      <c r="L443" s="115"/>
      <c r="M443" s="115"/>
      <c r="N443" s="115"/>
      <c r="O443" s="115"/>
      <c r="P443" s="115"/>
    </row>
    <row r="444" spans="10:16" ht="12.5" x14ac:dyDescent="0.25">
      <c r="J444" s="115"/>
      <c r="K444" s="115"/>
      <c r="L444" s="115"/>
      <c r="M444" s="115"/>
      <c r="N444" s="115"/>
      <c r="O444" s="115"/>
      <c r="P444" s="115"/>
    </row>
    <row r="445" spans="10:16" ht="12.5" x14ac:dyDescent="0.25">
      <c r="J445" s="115"/>
      <c r="K445" s="115"/>
      <c r="L445" s="115"/>
      <c r="M445" s="115"/>
      <c r="N445" s="115"/>
      <c r="O445" s="115"/>
      <c r="P445" s="115"/>
    </row>
    <row r="446" spans="10:16" ht="12.5" x14ac:dyDescent="0.25">
      <c r="J446" s="115"/>
      <c r="K446" s="115"/>
      <c r="L446" s="115"/>
      <c r="M446" s="115"/>
      <c r="N446" s="115"/>
      <c r="O446" s="115"/>
      <c r="P446" s="115"/>
    </row>
    <row r="447" spans="10:16" ht="12.5" x14ac:dyDescent="0.25">
      <c r="J447" s="115"/>
      <c r="K447" s="115"/>
      <c r="L447" s="115"/>
      <c r="M447" s="115"/>
      <c r="N447" s="115"/>
      <c r="O447" s="115"/>
      <c r="P447" s="115"/>
    </row>
    <row r="448" spans="10:16" ht="12.5" x14ac:dyDescent="0.25">
      <c r="J448" s="115"/>
      <c r="K448" s="115"/>
      <c r="L448" s="115"/>
      <c r="M448" s="115"/>
      <c r="N448" s="115"/>
      <c r="O448" s="115"/>
      <c r="P448" s="115"/>
    </row>
    <row r="449" spans="10:16" ht="12.5" x14ac:dyDescent="0.25">
      <c r="J449" s="115"/>
      <c r="K449" s="115"/>
      <c r="L449" s="115"/>
      <c r="M449" s="115"/>
      <c r="N449" s="115"/>
      <c r="O449" s="115"/>
      <c r="P449" s="115"/>
    </row>
    <row r="450" spans="10:16" ht="12.5" x14ac:dyDescent="0.25">
      <c r="J450" s="115"/>
      <c r="K450" s="115"/>
      <c r="L450" s="115"/>
      <c r="M450" s="115"/>
      <c r="N450" s="115"/>
      <c r="O450" s="115"/>
      <c r="P450" s="115"/>
    </row>
    <row r="451" spans="10:16" ht="12.5" x14ac:dyDescent="0.25">
      <c r="J451" s="115"/>
      <c r="K451" s="115"/>
      <c r="L451" s="115"/>
      <c r="M451" s="115"/>
      <c r="N451" s="115"/>
      <c r="O451" s="115"/>
      <c r="P451" s="115"/>
    </row>
    <row r="452" spans="10:16" ht="12.5" x14ac:dyDescent="0.25">
      <c r="J452" s="115"/>
      <c r="K452" s="115"/>
      <c r="L452" s="115"/>
      <c r="M452" s="115"/>
      <c r="N452" s="115"/>
      <c r="O452" s="115"/>
      <c r="P452" s="115"/>
    </row>
    <row r="453" spans="10:16" ht="12.5" x14ac:dyDescent="0.25">
      <c r="J453" s="115"/>
      <c r="K453" s="115"/>
      <c r="L453" s="115"/>
      <c r="M453" s="115"/>
      <c r="N453" s="115"/>
      <c r="O453" s="115"/>
      <c r="P453" s="115"/>
    </row>
    <row r="454" spans="10:16" ht="12.5" x14ac:dyDescent="0.25">
      <c r="J454" s="115"/>
      <c r="K454" s="115"/>
      <c r="L454" s="115"/>
      <c r="M454" s="115"/>
      <c r="N454" s="115"/>
      <c r="O454" s="115"/>
      <c r="P454" s="115"/>
    </row>
    <row r="455" spans="10:16" ht="12.5" x14ac:dyDescent="0.25">
      <c r="J455" s="115"/>
      <c r="K455" s="115"/>
      <c r="L455" s="115"/>
      <c r="M455" s="115"/>
      <c r="N455" s="115"/>
      <c r="O455" s="115"/>
      <c r="P455" s="115"/>
    </row>
    <row r="456" spans="10:16" ht="12.5" x14ac:dyDescent="0.25">
      <c r="J456" s="115"/>
      <c r="K456" s="115"/>
      <c r="L456" s="115"/>
      <c r="M456" s="115"/>
      <c r="N456" s="115"/>
      <c r="O456" s="115"/>
      <c r="P456" s="115"/>
    </row>
    <row r="457" spans="10:16" ht="12.5" x14ac:dyDescent="0.25">
      <c r="J457" s="115"/>
      <c r="K457" s="115"/>
      <c r="L457" s="115"/>
      <c r="M457" s="115"/>
      <c r="N457" s="115"/>
      <c r="O457" s="115"/>
      <c r="P457" s="115"/>
    </row>
    <row r="458" spans="10:16" ht="12.5" x14ac:dyDescent="0.25">
      <c r="J458" s="115"/>
      <c r="K458" s="115"/>
      <c r="L458" s="115"/>
      <c r="M458" s="115"/>
      <c r="N458" s="115"/>
      <c r="O458" s="115"/>
      <c r="P458" s="115"/>
    </row>
    <row r="459" spans="10:16" ht="12.5" x14ac:dyDescent="0.25">
      <c r="J459" s="115"/>
      <c r="K459" s="115"/>
      <c r="L459" s="115"/>
      <c r="M459" s="115"/>
      <c r="N459" s="115"/>
      <c r="O459" s="115"/>
      <c r="P459" s="115"/>
    </row>
    <row r="460" spans="10:16" ht="12.5" x14ac:dyDescent="0.25">
      <c r="J460" s="115"/>
      <c r="K460" s="115"/>
      <c r="L460" s="115"/>
      <c r="M460" s="115"/>
      <c r="N460" s="115"/>
      <c r="O460" s="115"/>
      <c r="P460" s="115"/>
    </row>
    <row r="461" spans="10:16" ht="12.5" x14ac:dyDescent="0.25">
      <c r="J461" s="115"/>
      <c r="K461" s="115"/>
      <c r="L461" s="115"/>
      <c r="M461" s="115"/>
      <c r="N461" s="115"/>
      <c r="O461" s="115"/>
      <c r="P461" s="115"/>
    </row>
    <row r="462" spans="10:16" ht="12.5" x14ac:dyDescent="0.25">
      <c r="J462" s="115"/>
      <c r="K462" s="115"/>
      <c r="L462" s="115"/>
      <c r="M462" s="115"/>
      <c r="N462" s="115"/>
      <c r="O462" s="115"/>
      <c r="P462" s="115"/>
    </row>
    <row r="463" spans="10:16" ht="12.5" x14ac:dyDescent="0.25">
      <c r="J463" s="115"/>
      <c r="K463" s="115"/>
      <c r="L463" s="115"/>
      <c r="M463" s="115"/>
      <c r="N463" s="115"/>
      <c r="O463" s="115"/>
      <c r="P463" s="115"/>
    </row>
    <row r="464" spans="10:16" ht="12.5" x14ac:dyDescent="0.25">
      <c r="J464" s="115"/>
      <c r="K464" s="115"/>
      <c r="L464" s="115"/>
      <c r="M464" s="115"/>
      <c r="N464" s="115"/>
      <c r="O464" s="115"/>
      <c r="P464" s="115"/>
    </row>
    <row r="465" spans="10:16" ht="12.5" x14ac:dyDescent="0.25">
      <c r="J465" s="115"/>
      <c r="K465" s="115"/>
      <c r="L465" s="115"/>
      <c r="M465" s="115"/>
      <c r="N465" s="115"/>
      <c r="O465" s="115"/>
      <c r="P465" s="115"/>
    </row>
    <row r="466" spans="10:16" ht="12.5" x14ac:dyDescent="0.25">
      <c r="J466" s="115"/>
      <c r="K466" s="115"/>
      <c r="L466" s="115"/>
      <c r="M466" s="115"/>
      <c r="N466" s="115"/>
      <c r="O466" s="115"/>
      <c r="P466" s="115"/>
    </row>
    <row r="467" spans="10:16" ht="12.5" x14ac:dyDescent="0.25">
      <c r="J467" s="115"/>
      <c r="K467" s="115"/>
      <c r="L467" s="115"/>
      <c r="M467" s="115"/>
      <c r="N467" s="115"/>
      <c r="O467" s="115"/>
      <c r="P467" s="115"/>
    </row>
    <row r="468" spans="10:16" ht="12.5" x14ac:dyDescent="0.25">
      <c r="J468" s="115"/>
      <c r="K468" s="115"/>
      <c r="L468" s="115"/>
      <c r="M468" s="115"/>
      <c r="N468" s="115"/>
      <c r="O468" s="115"/>
      <c r="P468" s="115"/>
    </row>
    <row r="469" spans="10:16" ht="12.5" x14ac:dyDescent="0.25">
      <c r="J469" s="115"/>
      <c r="K469" s="115"/>
      <c r="L469" s="115"/>
      <c r="M469" s="115"/>
      <c r="N469" s="115"/>
      <c r="O469" s="115"/>
      <c r="P469" s="115"/>
    </row>
    <row r="470" spans="10:16" ht="12.5" x14ac:dyDescent="0.25">
      <c r="J470" s="115"/>
      <c r="K470" s="115"/>
      <c r="L470" s="115"/>
      <c r="M470" s="115"/>
      <c r="N470" s="115"/>
      <c r="O470" s="115"/>
      <c r="P470" s="115"/>
    </row>
    <row r="471" spans="10:16" ht="12.5" x14ac:dyDescent="0.25">
      <c r="J471" s="115"/>
      <c r="K471" s="115"/>
      <c r="L471" s="115"/>
      <c r="M471" s="115"/>
      <c r="N471" s="115"/>
      <c r="O471" s="115"/>
      <c r="P471" s="115"/>
    </row>
    <row r="472" spans="10:16" ht="12.5" x14ac:dyDescent="0.25">
      <c r="J472" s="115"/>
      <c r="K472" s="115"/>
      <c r="L472" s="115"/>
      <c r="M472" s="115"/>
      <c r="N472" s="115"/>
      <c r="O472" s="115"/>
      <c r="P472" s="115"/>
    </row>
    <row r="473" spans="10:16" ht="12.5" x14ac:dyDescent="0.25">
      <c r="J473" s="115"/>
      <c r="K473" s="115"/>
      <c r="L473" s="115"/>
      <c r="M473" s="115"/>
      <c r="N473" s="115"/>
      <c r="O473" s="115"/>
      <c r="P473" s="115"/>
    </row>
    <row r="474" spans="10:16" ht="12.5" x14ac:dyDescent="0.25">
      <c r="J474" s="115"/>
      <c r="K474" s="115"/>
      <c r="L474" s="115"/>
      <c r="M474" s="115"/>
      <c r="N474" s="115"/>
      <c r="O474" s="115"/>
      <c r="P474" s="115"/>
    </row>
    <row r="475" spans="10:16" ht="12.5" x14ac:dyDescent="0.25">
      <c r="J475" s="115"/>
      <c r="K475" s="115"/>
      <c r="L475" s="115"/>
      <c r="M475" s="115"/>
      <c r="N475" s="115"/>
      <c r="O475" s="115"/>
      <c r="P475" s="115"/>
    </row>
    <row r="476" spans="10:16" ht="12.5" x14ac:dyDescent="0.25">
      <c r="J476" s="115"/>
      <c r="K476" s="115"/>
      <c r="L476" s="115"/>
      <c r="M476" s="115"/>
      <c r="N476" s="115"/>
      <c r="O476" s="115"/>
      <c r="P476" s="115"/>
    </row>
    <row r="477" spans="10:16" ht="12.5" x14ac:dyDescent="0.25">
      <c r="J477" s="115"/>
      <c r="K477" s="115"/>
      <c r="L477" s="115"/>
      <c r="M477" s="115"/>
      <c r="N477" s="115"/>
      <c r="O477" s="115"/>
      <c r="P477" s="115"/>
    </row>
    <row r="478" spans="10:16" ht="12.5" x14ac:dyDescent="0.25">
      <c r="J478" s="115"/>
      <c r="K478" s="115"/>
      <c r="L478" s="115"/>
      <c r="M478" s="115"/>
      <c r="N478" s="115"/>
      <c r="O478" s="115"/>
      <c r="P478" s="115"/>
    </row>
    <row r="479" spans="10:16" ht="12.5" x14ac:dyDescent="0.25">
      <c r="J479" s="115"/>
      <c r="K479" s="115"/>
      <c r="L479" s="115"/>
      <c r="M479" s="115"/>
      <c r="N479" s="115"/>
      <c r="O479" s="115"/>
      <c r="P479" s="115"/>
    </row>
    <row r="480" spans="10:16" ht="12.5" x14ac:dyDescent="0.25">
      <c r="J480" s="115"/>
      <c r="K480" s="115"/>
      <c r="L480" s="115"/>
      <c r="M480" s="115"/>
      <c r="N480" s="115"/>
      <c r="O480" s="115"/>
      <c r="P480" s="115"/>
    </row>
    <row r="481" spans="10:16" ht="12.5" x14ac:dyDescent="0.25">
      <c r="J481" s="115"/>
      <c r="K481" s="115"/>
      <c r="L481" s="115"/>
      <c r="M481" s="115"/>
      <c r="N481" s="115"/>
      <c r="O481" s="115"/>
      <c r="P481" s="115"/>
    </row>
    <row r="482" spans="10:16" ht="12.5" x14ac:dyDescent="0.25">
      <c r="J482" s="115"/>
      <c r="K482" s="115"/>
      <c r="L482" s="115"/>
      <c r="M482" s="115"/>
      <c r="N482" s="115"/>
      <c r="O482" s="115"/>
      <c r="P482" s="115"/>
    </row>
    <row r="483" spans="10:16" ht="12.5" x14ac:dyDescent="0.25">
      <c r="J483" s="115"/>
      <c r="K483" s="115"/>
      <c r="L483" s="115"/>
      <c r="M483" s="115"/>
      <c r="N483" s="115"/>
      <c r="O483" s="115"/>
      <c r="P483" s="115"/>
    </row>
    <row r="484" spans="10:16" ht="12.5" x14ac:dyDescent="0.25">
      <c r="J484" s="115"/>
      <c r="K484" s="115"/>
      <c r="L484" s="115"/>
      <c r="M484" s="115"/>
      <c r="N484" s="115"/>
      <c r="O484" s="115"/>
      <c r="P484" s="115"/>
    </row>
    <row r="485" spans="10:16" ht="12.5" x14ac:dyDescent="0.25">
      <c r="J485" s="115"/>
      <c r="K485" s="115"/>
      <c r="L485" s="115"/>
      <c r="M485" s="115"/>
      <c r="N485" s="115"/>
      <c r="O485" s="115"/>
      <c r="P485" s="115"/>
    </row>
    <row r="486" spans="10:16" ht="12.5" x14ac:dyDescent="0.25">
      <c r="J486" s="115"/>
      <c r="K486" s="115"/>
      <c r="L486" s="115"/>
      <c r="M486" s="115"/>
      <c r="N486" s="115"/>
      <c r="O486" s="115"/>
      <c r="P486" s="115"/>
    </row>
    <row r="487" spans="10:16" ht="12.5" x14ac:dyDescent="0.25">
      <c r="J487" s="115"/>
      <c r="K487" s="115"/>
      <c r="L487" s="115"/>
      <c r="M487" s="115"/>
      <c r="N487" s="115"/>
      <c r="O487" s="115"/>
      <c r="P487" s="115"/>
    </row>
    <row r="488" spans="10:16" ht="12.5" x14ac:dyDescent="0.25">
      <c r="J488" s="115"/>
      <c r="K488" s="115"/>
      <c r="L488" s="115"/>
      <c r="M488" s="115"/>
      <c r="N488" s="115"/>
      <c r="O488" s="115"/>
      <c r="P488" s="115"/>
    </row>
    <row r="489" spans="10:16" ht="12.5" x14ac:dyDescent="0.25">
      <c r="J489" s="115"/>
      <c r="K489" s="115"/>
      <c r="L489" s="115"/>
      <c r="M489" s="115"/>
      <c r="N489" s="115"/>
      <c r="O489" s="115"/>
      <c r="P489" s="115"/>
    </row>
    <row r="490" spans="10:16" ht="12.5" x14ac:dyDescent="0.25">
      <c r="J490" s="115"/>
      <c r="K490" s="115"/>
      <c r="L490" s="115"/>
      <c r="M490" s="115"/>
      <c r="N490" s="115"/>
      <c r="O490" s="115"/>
      <c r="P490" s="115"/>
    </row>
    <row r="491" spans="10:16" ht="12.5" x14ac:dyDescent="0.25">
      <c r="J491" s="115"/>
      <c r="K491" s="115"/>
      <c r="L491" s="115"/>
      <c r="M491" s="115"/>
      <c r="N491" s="115"/>
      <c r="O491" s="115"/>
      <c r="P491" s="115"/>
    </row>
    <row r="492" spans="10:16" ht="12.5" x14ac:dyDescent="0.25">
      <c r="J492" s="115"/>
      <c r="K492" s="115"/>
      <c r="L492" s="115"/>
      <c r="M492" s="115"/>
      <c r="N492" s="115"/>
      <c r="O492" s="115"/>
      <c r="P492" s="115"/>
    </row>
    <row r="493" spans="10:16" ht="12.5" x14ac:dyDescent="0.25">
      <c r="J493" s="115"/>
      <c r="K493" s="115"/>
      <c r="L493" s="115"/>
      <c r="M493" s="115"/>
      <c r="N493" s="115"/>
      <c r="O493" s="115"/>
      <c r="P493" s="115"/>
    </row>
    <row r="494" spans="10:16" ht="12.5" x14ac:dyDescent="0.25">
      <c r="J494" s="115"/>
      <c r="K494" s="115"/>
      <c r="L494" s="115"/>
      <c r="M494" s="115"/>
      <c r="N494" s="115"/>
      <c r="O494" s="115"/>
      <c r="P494" s="115"/>
    </row>
    <row r="495" spans="10:16" ht="12.5" x14ac:dyDescent="0.25">
      <c r="J495" s="115"/>
      <c r="K495" s="115"/>
      <c r="L495" s="115"/>
      <c r="M495" s="115"/>
      <c r="N495" s="115"/>
      <c r="O495" s="115"/>
      <c r="P495" s="115"/>
    </row>
    <row r="496" spans="10:16" ht="12.5" x14ac:dyDescent="0.25">
      <c r="J496" s="115"/>
      <c r="K496" s="115"/>
      <c r="L496" s="115"/>
      <c r="M496" s="115"/>
      <c r="N496" s="115"/>
      <c r="O496" s="115"/>
      <c r="P496" s="115"/>
    </row>
    <row r="497" spans="10:16" ht="12.5" x14ac:dyDescent="0.25">
      <c r="J497" s="115"/>
      <c r="K497" s="115"/>
      <c r="L497" s="115"/>
      <c r="M497" s="115"/>
      <c r="N497" s="115"/>
      <c r="O497" s="115"/>
      <c r="P497" s="115"/>
    </row>
    <row r="498" spans="10:16" ht="12.5" x14ac:dyDescent="0.25">
      <c r="J498" s="115"/>
      <c r="K498" s="115"/>
      <c r="L498" s="115"/>
      <c r="M498" s="115"/>
      <c r="N498" s="115"/>
      <c r="O498" s="115"/>
      <c r="P498" s="115"/>
    </row>
    <row r="499" spans="10:16" ht="12.5" x14ac:dyDescent="0.25">
      <c r="J499" s="115"/>
      <c r="K499" s="115"/>
      <c r="L499" s="115"/>
      <c r="M499" s="115"/>
      <c r="N499" s="115"/>
      <c r="O499" s="115"/>
      <c r="P499" s="115"/>
    </row>
    <row r="500" spans="10:16" ht="12.5" x14ac:dyDescent="0.25">
      <c r="J500" s="115"/>
      <c r="K500" s="115"/>
      <c r="L500" s="115"/>
      <c r="M500" s="115"/>
      <c r="N500" s="115"/>
      <c r="O500" s="115"/>
      <c r="P500" s="115"/>
    </row>
    <row r="501" spans="10:16" ht="12.5" x14ac:dyDescent="0.25">
      <c r="J501" s="115"/>
      <c r="K501" s="115"/>
      <c r="L501" s="115"/>
      <c r="M501" s="115"/>
      <c r="N501" s="115"/>
      <c r="O501" s="115"/>
      <c r="P501" s="115"/>
    </row>
    <row r="502" spans="10:16" ht="12.5" x14ac:dyDescent="0.25">
      <c r="J502" s="115"/>
      <c r="K502" s="115"/>
      <c r="L502" s="115"/>
      <c r="M502" s="115"/>
      <c r="N502" s="115"/>
      <c r="O502" s="115"/>
      <c r="P502" s="115"/>
    </row>
    <row r="503" spans="10:16" ht="12.5" x14ac:dyDescent="0.25">
      <c r="J503" s="115"/>
      <c r="K503" s="115"/>
      <c r="L503" s="115"/>
      <c r="M503" s="115"/>
      <c r="N503" s="115"/>
      <c r="O503" s="115"/>
      <c r="P503" s="115"/>
    </row>
    <row r="504" spans="10:16" ht="12.5" x14ac:dyDescent="0.25">
      <c r="J504" s="115"/>
      <c r="K504" s="115"/>
      <c r="L504" s="115"/>
      <c r="M504" s="115"/>
      <c r="N504" s="115"/>
      <c r="O504" s="115"/>
      <c r="P504" s="115"/>
    </row>
    <row r="505" spans="10:16" ht="12.5" x14ac:dyDescent="0.25">
      <c r="J505" s="115"/>
      <c r="K505" s="115"/>
      <c r="L505" s="115"/>
      <c r="M505" s="115"/>
      <c r="N505" s="115"/>
      <c r="O505" s="115"/>
      <c r="P505" s="115"/>
    </row>
    <row r="506" spans="10:16" ht="12.5" x14ac:dyDescent="0.25">
      <c r="J506" s="115"/>
      <c r="K506" s="115"/>
      <c r="L506" s="115"/>
      <c r="M506" s="115"/>
      <c r="N506" s="115"/>
      <c r="O506" s="115"/>
      <c r="P506" s="115"/>
    </row>
    <row r="507" spans="10:16" ht="12.5" x14ac:dyDescent="0.25">
      <c r="J507" s="115"/>
      <c r="K507" s="115"/>
      <c r="L507" s="115"/>
      <c r="M507" s="115"/>
      <c r="N507" s="115"/>
      <c r="O507" s="115"/>
      <c r="P507" s="115"/>
    </row>
    <row r="508" spans="10:16" ht="12.5" x14ac:dyDescent="0.25">
      <c r="J508" s="115"/>
      <c r="K508" s="115"/>
      <c r="L508" s="115"/>
      <c r="M508" s="115"/>
      <c r="N508" s="115"/>
      <c r="O508" s="115"/>
      <c r="P508" s="115"/>
    </row>
    <row r="509" spans="10:16" ht="12.5" x14ac:dyDescent="0.25">
      <c r="J509" s="115"/>
      <c r="K509" s="115"/>
      <c r="L509" s="115"/>
      <c r="M509" s="115"/>
      <c r="N509" s="115"/>
      <c r="O509" s="115"/>
      <c r="P509" s="115"/>
    </row>
    <row r="510" spans="10:16" ht="12.5" x14ac:dyDescent="0.25">
      <c r="J510" s="115"/>
      <c r="K510" s="115"/>
      <c r="L510" s="115"/>
      <c r="M510" s="115"/>
      <c r="N510" s="115"/>
      <c r="O510" s="115"/>
      <c r="P510" s="115"/>
    </row>
    <row r="511" spans="10:16" ht="12.5" x14ac:dyDescent="0.25">
      <c r="J511" s="115"/>
      <c r="K511" s="115"/>
      <c r="L511" s="115"/>
      <c r="M511" s="115"/>
      <c r="N511" s="115"/>
      <c r="O511" s="115"/>
      <c r="P511" s="115"/>
    </row>
    <row r="512" spans="10:16" ht="12.5" x14ac:dyDescent="0.25">
      <c r="J512" s="115"/>
      <c r="K512" s="115"/>
      <c r="L512" s="115"/>
      <c r="M512" s="115"/>
      <c r="N512" s="115"/>
      <c r="O512" s="115"/>
      <c r="P512" s="115"/>
    </row>
    <row r="513" spans="10:16" ht="12.5" x14ac:dyDescent="0.25">
      <c r="J513" s="115"/>
      <c r="K513" s="115"/>
      <c r="L513" s="115"/>
      <c r="M513" s="115"/>
      <c r="N513" s="115"/>
      <c r="O513" s="115"/>
      <c r="P513" s="115"/>
    </row>
    <row r="514" spans="10:16" ht="12.5" x14ac:dyDescent="0.25">
      <c r="J514" s="115"/>
      <c r="K514" s="115"/>
      <c r="L514" s="115"/>
      <c r="M514" s="115"/>
      <c r="N514" s="115"/>
      <c r="O514" s="115"/>
      <c r="P514" s="115"/>
    </row>
    <row r="515" spans="10:16" ht="12.5" x14ac:dyDescent="0.25">
      <c r="J515" s="115"/>
      <c r="K515" s="115"/>
      <c r="L515" s="115"/>
      <c r="M515" s="115"/>
      <c r="N515" s="115"/>
      <c r="O515" s="115"/>
      <c r="P515" s="115"/>
    </row>
    <row r="516" spans="10:16" ht="12.5" x14ac:dyDescent="0.25">
      <c r="J516" s="115"/>
      <c r="K516" s="115"/>
      <c r="L516" s="115"/>
      <c r="M516" s="115"/>
      <c r="N516" s="115"/>
      <c r="O516" s="115"/>
      <c r="P516" s="115"/>
    </row>
    <row r="517" spans="10:16" ht="12.5" x14ac:dyDescent="0.25">
      <c r="J517" s="115"/>
      <c r="K517" s="115"/>
      <c r="L517" s="115"/>
      <c r="M517" s="115"/>
      <c r="N517" s="115"/>
      <c r="O517" s="115"/>
      <c r="P517" s="115"/>
    </row>
    <row r="518" spans="10:16" ht="12.5" x14ac:dyDescent="0.25">
      <c r="J518" s="115"/>
      <c r="K518" s="115"/>
      <c r="L518" s="115"/>
      <c r="M518" s="115"/>
      <c r="N518" s="115"/>
      <c r="O518" s="115"/>
      <c r="P518" s="115"/>
    </row>
    <row r="519" spans="10:16" ht="12.5" x14ac:dyDescent="0.25">
      <c r="J519" s="115"/>
      <c r="K519" s="115"/>
      <c r="L519" s="115"/>
      <c r="M519" s="115"/>
      <c r="N519" s="115"/>
      <c r="O519" s="115"/>
      <c r="P519" s="115"/>
    </row>
    <row r="520" spans="10:16" ht="12.5" x14ac:dyDescent="0.25">
      <c r="J520" s="115"/>
      <c r="K520" s="115"/>
      <c r="L520" s="115"/>
      <c r="M520" s="115"/>
      <c r="N520" s="115"/>
      <c r="O520" s="115"/>
      <c r="P520" s="115"/>
    </row>
    <row r="521" spans="10:16" ht="12.5" x14ac:dyDescent="0.25">
      <c r="J521" s="115"/>
      <c r="K521" s="115"/>
      <c r="L521" s="115"/>
      <c r="M521" s="115"/>
      <c r="N521" s="115"/>
      <c r="O521" s="115"/>
      <c r="P521" s="115"/>
    </row>
    <row r="522" spans="10:16" ht="12.5" x14ac:dyDescent="0.25">
      <c r="J522" s="115"/>
      <c r="K522" s="115"/>
      <c r="L522" s="115"/>
      <c r="M522" s="115"/>
      <c r="N522" s="115"/>
      <c r="O522" s="115"/>
      <c r="P522" s="115"/>
    </row>
    <row r="523" spans="10:16" ht="12.5" x14ac:dyDescent="0.25">
      <c r="J523" s="115"/>
      <c r="K523" s="115"/>
      <c r="L523" s="115"/>
      <c r="M523" s="115"/>
      <c r="N523" s="115"/>
      <c r="O523" s="115"/>
      <c r="P523" s="115"/>
    </row>
    <row r="524" spans="10:16" ht="12.5" x14ac:dyDescent="0.25">
      <c r="J524" s="115"/>
      <c r="K524" s="115"/>
      <c r="L524" s="115"/>
      <c r="M524" s="115"/>
      <c r="N524" s="115"/>
      <c r="O524" s="115"/>
      <c r="P524" s="115"/>
    </row>
    <row r="525" spans="10:16" ht="12.5" x14ac:dyDescent="0.25">
      <c r="J525" s="115"/>
      <c r="K525" s="115"/>
      <c r="L525" s="115"/>
      <c r="M525" s="115"/>
      <c r="N525" s="115"/>
      <c r="O525" s="115"/>
      <c r="P525" s="115"/>
    </row>
    <row r="526" spans="10:16" ht="12.5" x14ac:dyDescent="0.25">
      <c r="J526" s="115"/>
      <c r="K526" s="115"/>
      <c r="L526" s="115"/>
      <c r="M526" s="115"/>
      <c r="N526" s="115"/>
      <c r="O526" s="115"/>
      <c r="P526" s="115"/>
    </row>
    <row r="527" spans="10:16" ht="12.5" x14ac:dyDescent="0.25">
      <c r="J527" s="115"/>
      <c r="K527" s="115"/>
      <c r="L527" s="115"/>
      <c r="M527" s="115"/>
      <c r="N527" s="115"/>
      <c r="O527" s="115"/>
      <c r="P527" s="115"/>
    </row>
    <row r="528" spans="10:16" ht="12.5" x14ac:dyDescent="0.25">
      <c r="J528" s="115"/>
      <c r="K528" s="115"/>
      <c r="L528" s="115"/>
      <c r="M528" s="115"/>
      <c r="N528" s="115"/>
      <c r="O528" s="115"/>
      <c r="P528" s="115"/>
    </row>
    <row r="529" spans="10:16" ht="12.5" x14ac:dyDescent="0.25">
      <c r="J529" s="115"/>
      <c r="K529" s="115"/>
      <c r="L529" s="115"/>
      <c r="M529" s="115"/>
      <c r="N529" s="115"/>
      <c r="O529" s="115"/>
      <c r="P529" s="115"/>
    </row>
    <row r="530" spans="10:16" ht="12.5" x14ac:dyDescent="0.25">
      <c r="J530" s="115"/>
      <c r="K530" s="115"/>
      <c r="L530" s="115"/>
      <c r="M530" s="115"/>
      <c r="N530" s="115"/>
      <c r="O530" s="115"/>
      <c r="P530" s="115"/>
    </row>
    <row r="531" spans="10:16" ht="12.5" x14ac:dyDescent="0.25">
      <c r="J531" s="115"/>
      <c r="K531" s="115"/>
      <c r="L531" s="115"/>
      <c r="M531" s="115"/>
      <c r="N531" s="115"/>
      <c r="O531" s="115"/>
      <c r="P531" s="115"/>
    </row>
    <row r="532" spans="10:16" ht="12.5" x14ac:dyDescent="0.25">
      <c r="J532" s="115"/>
      <c r="K532" s="115"/>
      <c r="L532" s="115"/>
      <c r="M532" s="115"/>
      <c r="N532" s="115"/>
      <c r="O532" s="115"/>
      <c r="P532" s="115"/>
    </row>
    <row r="533" spans="10:16" ht="12.5" x14ac:dyDescent="0.25">
      <c r="J533" s="115"/>
      <c r="K533" s="115"/>
      <c r="L533" s="115"/>
      <c r="M533" s="115"/>
      <c r="N533" s="115"/>
      <c r="O533" s="115"/>
      <c r="P533" s="115"/>
    </row>
    <row r="534" spans="10:16" ht="12.5" x14ac:dyDescent="0.25">
      <c r="J534" s="115"/>
      <c r="K534" s="115"/>
      <c r="L534" s="115"/>
      <c r="M534" s="115"/>
      <c r="N534" s="115"/>
      <c r="O534" s="115"/>
      <c r="P534" s="115"/>
    </row>
    <row r="535" spans="10:16" ht="12.5" x14ac:dyDescent="0.25">
      <c r="J535" s="115"/>
      <c r="K535" s="115"/>
      <c r="L535" s="115"/>
      <c r="M535" s="115"/>
      <c r="N535" s="115"/>
      <c r="O535" s="115"/>
      <c r="P535" s="115"/>
    </row>
    <row r="536" spans="10:16" ht="12.5" x14ac:dyDescent="0.25">
      <c r="J536" s="115"/>
      <c r="K536" s="115"/>
      <c r="L536" s="115"/>
      <c r="M536" s="115"/>
      <c r="N536" s="115"/>
      <c r="O536" s="115"/>
      <c r="P536" s="115"/>
    </row>
    <row r="537" spans="10:16" ht="12.5" x14ac:dyDescent="0.25">
      <c r="J537" s="115"/>
      <c r="K537" s="115"/>
      <c r="L537" s="115"/>
      <c r="M537" s="115"/>
      <c r="N537" s="115"/>
      <c r="O537" s="115"/>
      <c r="P537" s="115"/>
    </row>
    <row r="538" spans="10:16" ht="12.5" x14ac:dyDescent="0.25">
      <c r="J538" s="115"/>
      <c r="K538" s="115"/>
      <c r="L538" s="115"/>
      <c r="M538" s="115"/>
      <c r="N538" s="115"/>
      <c r="O538" s="115"/>
      <c r="P538" s="115"/>
    </row>
    <row r="539" spans="10:16" ht="12.5" x14ac:dyDescent="0.25">
      <c r="J539" s="115"/>
      <c r="K539" s="115"/>
      <c r="L539" s="115"/>
      <c r="M539" s="115"/>
      <c r="N539" s="115"/>
      <c r="O539" s="115"/>
      <c r="P539" s="115"/>
    </row>
    <row r="540" spans="10:16" ht="12.5" x14ac:dyDescent="0.25">
      <c r="J540" s="115"/>
      <c r="K540" s="115"/>
      <c r="L540" s="115"/>
      <c r="M540" s="115"/>
      <c r="N540" s="115"/>
      <c r="O540" s="115"/>
      <c r="P540" s="115"/>
    </row>
    <row r="541" spans="10:16" ht="12.5" x14ac:dyDescent="0.25">
      <c r="J541" s="115"/>
      <c r="K541" s="115"/>
      <c r="L541" s="115"/>
      <c r="M541" s="115"/>
      <c r="N541" s="115"/>
      <c r="O541" s="115"/>
      <c r="P541" s="115"/>
    </row>
    <row r="542" spans="10:16" ht="12.5" x14ac:dyDescent="0.25">
      <c r="J542" s="115"/>
      <c r="K542" s="115"/>
      <c r="L542" s="115"/>
      <c r="M542" s="115"/>
      <c r="N542" s="115"/>
      <c r="O542" s="115"/>
      <c r="P542" s="115"/>
    </row>
    <row r="543" spans="10:16" ht="12.5" x14ac:dyDescent="0.25">
      <c r="J543" s="115"/>
      <c r="K543" s="115"/>
      <c r="L543" s="115"/>
      <c r="M543" s="115"/>
      <c r="N543" s="115"/>
      <c r="O543" s="115"/>
      <c r="P543" s="115"/>
    </row>
    <row r="544" spans="10:16" ht="12.5" x14ac:dyDescent="0.25">
      <c r="J544" s="115"/>
      <c r="K544" s="115"/>
      <c r="L544" s="115"/>
      <c r="M544" s="115"/>
      <c r="N544" s="115"/>
      <c r="O544" s="115"/>
      <c r="P544" s="115"/>
    </row>
    <row r="545" spans="10:16" ht="12.5" x14ac:dyDescent="0.25">
      <c r="J545" s="115"/>
      <c r="K545" s="115"/>
      <c r="L545" s="115"/>
      <c r="M545" s="115"/>
      <c r="N545" s="115"/>
      <c r="O545" s="115"/>
      <c r="P545" s="115"/>
    </row>
    <row r="546" spans="10:16" ht="12.5" x14ac:dyDescent="0.25">
      <c r="J546" s="115"/>
      <c r="K546" s="115"/>
      <c r="L546" s="115"/>
      <c r="M546" s="115"/>
      <c r="N546" s="115"/>
      <c r="O546" s="115"/>
      <c r="P546" s="115"/>
    </row>
    <row r="547" spans="10:16" ht="12.5" x14ac:dyDescent="0.25">
      <c r="J547" s="115"/>
      <c r="K547" s="115"/>
      <c r="L547" s="115"/>
      <c r="M547" s="115"/>
      <c r="N547" s="115"/>
      <c r="O547" s="115"/>
      <c r="P547" s="115"/>
    </row>
    <row r="548" spans="10:16" ht="12.5" x14ac:dyDescent="0.25">
      <c r="J548" s="115"/>
      <c r="K548" s="115"/>
      <c r="L548" s="115"/>
      <c r="M548" s="115"/>
      <c r="N548" s="115"/>
      <c r="O548" s="115"/>
      <c r="P548" s="115"/>
    </row>
    <row r="549" spans="10:16" ht="12.5" x14ac:dyDescent="0.25">
      <c r="J549" s="115"/>
      <c r="K549" s="115"/>
      <c r="L549" s="115"/>
      <c r="M549" s="115"/>
      <c r="N549" s="115"/>
      <c r="O549" s="115"/>
      <c r="P549" s="115"/>
    </row>
    <row r="550" spans="10:16" ht="12.5" x14ac:dyDescent="0.25">
      <c r="J550" s="115"/>
      <c r="K550" s="115"/>
      <c r="L550" s="115"/>
      <c r="M550" s="115"/>
      <c r="N550" s="115"/>
      <c r="O550" s="115"/>
      <c r="P550" s="115"/>
    </row>
    <row r="551" spans="10:16" ht="12.5" x14ac:dyDescent="0.25">
      <c r="J551" s="115"/>
      <c r="K551" s="115"/>
      <c r="L551" s="115"/>
      <c r="M551" s="115"/>
      <c r="N551" s="115"/>
      <c r="O551" s="115"/>
      <c r="P551" s="115"/>
    </row>
    <row r="552" spans="10:16" ht="12.5" x14ac:dyDescent="0.25">
      <c r="J552" s="115"/>
      <c r="K552" s="115"/>
      <c r="L552" s="115"/>
      <c r="M552" s="115"/>
      <c r="N552" s="115"/>
      <c r="O552" s="115"/>
      <c r="P552" s="115"/>
    </row>
    <row r="553" spans="10:16" ht="12.5" x14ac:dyDescent="0.25">
      <c r="J553" s="115"/>
      <c r="K553" s="115"/>
      <c r="L553" s="115"/>
      <c r="M553" s="115"/>
      <c r="N553" s="115"/>
      <c r="O553" s="115"/>
      <c r="P553" s="115"/>
    </row>
    <row r="554" spans="10:16" ht="12.5" x14ac:dyDescent="0.25">
      <c r="J554" s="115"/>
      <c r="K554" s="115"/>
      <c r="L554" s="115"/>
      <c r="M554" s="115"/>
      <c r="N554" s="115"/>
      <c r="O554" s="115"/>
      <c r="P554" s="115"/>
    </row>
    <row r="555" spans="10:16" ht="12.5" x14ac:dyDescent="0.25">
      <c r="J555" s="115"/>
      <c r="K555" s="115"/>
      <c r="L555" s="115"/>
      <c r="M555" s="115"/>
      <c r="N555" s="115"/>
      <c r="O555" s="115"/>
      <c r="P555" s="115"/>
    </row>
    <row r="556" spans="10:16" ht="12.5" x14ac:dyDescent="0.25">
      <c r="J556" s="115"/>
      <c r="K556" s="115"/>
      <c r="L556" s="115"/>
      <c r="M556" s="115"/>
      <c r="N556" s="115"/>
      <c r="O556" s="115"/>
      <c r="P556" s="115"/>
    </row>
    <row r="557" spans="10:16" ht="12.5" x14ac:dyDescent="0.25">
      <c r="J557" s="115"/>
      <c r="K557" s="115"/>
      <c r="L557" s="115"/>
      <c r="M557" s="115"/>
      <c r="N557" s="115"/>
      <c r="O557" s="115"/>
      <c r="P557" s="115"/>
    </row>
    <row r="558" spans="10:16" ht="12.5" x14ac:dyDescent="0.25">
      <c r="J558" s="115"/>
      <c r="K558" s="115"/>
      <c r="L558" s="115"/>
      <c r="M558" s="115"/>
      <c r="N558" s="115"/>
      <c r="O558" s="115"/>
      <c r="P558" s="115"/>
    </row>
    <row r="559" spans="10:16" ht="12.5" x14ac:dyDescent="0.25">
      <c r="J559" s="115"/>
      <c r="K559" s="115"/>
      <c r="L559" s="115"/>
      <c r="M559" s="115"/>
      <c r="N559" s="115"/>
      <c r="O559" s="115"/>
      <c r="P559" s="115"/>
    </row>
    <row r="560" spans="10:16" ht="12.5" x14ac:dyDescent="0.25">
      <c r="J560" s="115"/>
      <c r="K560" s="115"/>
      <c r="L560" s="115"/>
      <c r="M560" s="115"/>
      <c r="N560" s="115"/>
      <c r="O560" s="115"/>
      <c r="P560" s="115"/>
    </row>
    <row r="561" spans="10:16" ht="12.5" x14ac:dyDescent="0.25">
      <c r="J561" s="115"/>
      <c r="K561" s="115"/>
      <c r="L561" s="115"/>
      <c r="M561" s="115"/>
      <c r="N561" s="115"/>
      <c r="O561" s="115"/>
      <c r="P561" s="115"/>
    </row>
    <row r="562" spans="10:16" ht="12.5" x14ac:dyDescent="0.25">
      <c r="J562" s="115"/>
      <c r="K562" s="115"/>
      <c r="L562" s="115"/>
      <c r="M562" s="115"/>
      <c r="N562" s="115"/>
      <c r="O562" s="115"/>
      <c r="P562" s="115"/>
    </row>
    <row r="563" spans="10:16" ht="12.5" x14ac:dyDescent="0.25">
      <c r="J563" s="115"/>
      <c r="K563" s="115"/>
      <c r="L563" s="115"/>
      <c r="M563" s="115"/>
      <c r="N563" s="115"/>
      <c r="O563" s="115"/>
      <c r="P563" s="115"/>
    </row>
    <row r="564" spans="10:16" ht="12.5" x14ac:dyDescent="0.25">
      <c r="J564" s="115"/>
      <c r="K564" s="115"/>
      <c r="L564" s="115"/>
      <c r="M564" s="115"/>
      <c r="N564" s="115"/>
      <c r="O564" s="115"/>
      <c r="P564" s="115"/>
    </row>
    <row r="565" spans="10:16" ht="12.5" x14ac:dyDescent="0.25">
      <c r="J565" s="115"/>
      <c r="K565" s="115"/>
      <c r="L565" s="115"/>
      <c r="M565" s="115"/>
      <c r="N565" s="115"/>
      <c r="O565" s="115"/>
      <c r="P565" s="115"/>
    </row>
    <row r="566" spans="10:16" ht="12.5" x14ac:dyDescent="0.25">
      <c r="J566" s="115"/>
      <c r="K566" s="115"/>
      <c r="L566" s="115"/>
      <c r="M566" s="115"/>
      <c r="N566" s="115"/>
      <c r="O566" s="115"/>
      <c r="P566" s="115"/>
    </row>
    <row r="567" spans="10:16" ht="12.5" x14ac:dyDescent="0.25">
      <c r="J567" s="115"/>
      <c r="K567" s="115"/>
      <c r="L567" s="115"/>
      <c r="M567" s="115"/>
      <c r="N567" s="115"/>
      <c r="O567" s="115"/>
      <c r="P567" s="115"/>
    </row>
    <row r="568" spans="10:16" ht="12.5" x14ac:dyDescent="0.25">
      <c r="J568" s="115"/>
      <c r="K568" s="115"/>
      <c r="L568" s="115"/>
      <c r="M568" s="115"/>
      <c r="N568" s="115"/>
      <c r="O568" s="115"/>
      <c r="P568" s="115"/>
    </row>
    <row r="569" spans="10:16" ht="12.5" x14ac:dyDescent="0.25">
      <c r="J569" s="115"/>
      <c r="K569" s="115"/>
      <c r="L569" s="115"/>
      <c r="M569" s="115"/>
      <c r="N569" s="115"/>
      <c r="O569" s="115"/>
      <c r="P569" s="115"/>
    </row>
    <row r="570" spans="10:16" ht="12.5" x14ac:dyDescent="0.25">
      <c r="J570" s="115"/>
      <c r="K570" s="115"/>
      <c r="L570" s="115"/>
      <c r="M570" s="115"/>
      <c r="N570" s="115"/>
      <c r="O570" s="115"/>
      <c r="P570" s="115"/>
    </row>
    <row r="571" spans="10:16" ht="12.5" x14ac:dyDescent="0.25">
      <c r="J571" s="115"/>
      <c r="K571" s="115"/>
      <c r="L571" s="115"/>
      <c r="M571" s="115"/>
      <c r="N571" s="115"/>
      <c r="O571" s="115"/>
      <c r="P571" s="115"/>
    </row>
    <row r="572" spans="10:16" ht="12.5" x14ac:dyDescent="0.25">
      <c r="J572" s="115"/>
      <c r="K572" s="115"/>
      <c r="L572" s="115"/>
      <c r="M572" s="115"/>
      <c r="N572" s="115"/>
      <c r="O572" s="115"/>
      <c r="P572" s="115"/>
    </row>
    <row r="573" spans="10:16" ht="12.5" x14ac:dyDescent="0.25">
      <c r="J573" s="115"/>
      <c r="K573" s="115"/>
      <c r="L573" s="115"/>
      <c r="M573" s="115"/>
      <c r="N573" s="115"/>
      <c r="O573" s="115"/>
      <c r="P573" s="115"/>
    </row>
    <row r="574" spans="10:16" ht="12.5" x14ac:dyDescent="0.25">
      <c r="J574" s="115"/>
      <c r="K574" s="115"/>
      <c r="L574" s="115"/>
      <c r="M574" s="115"/>
      <c r="N574" s="115"/>
      <c r="O574" s="115"/>
      <c r="P574" s="115"/>
    </row>
    <row r="575" spans="10:16" ht="12.5" x14ac:dyDescent="0.25">
      <c r="J575" s="115"/>
      <c r="K575" s="115"/>
      <c r="L575" s="115"/>
      <c r="M575" s="115"/>
      <c r="N575" s="115"/>
      <c r="O575" s="115"/>
      <c r="P575" s="115"/>
    </row>
    <row r="576" spans="10:16" ht="12.5" x14ac:dyDescent="0.25">
      <c r="J576" s="115"/>
      <c r="K576" s="115"/>
      <c r="L576" s="115"/>
      <c r="M576" s="115"/>
      <c r="N576" s="115"/>
      <c r="O576" s="115"/>
      <c r="P576" s="115"/>
    </row>
    <row r="577" spans="10:16" ht="12.5" x14ac:dyDescent="0.25">
      <c r="J577" s="115"/>
      <c r="K577" s="115"/>
      <c r="L577" s="115"/>
      <c r="M577" s="115"/>
      <c r="N577" s="115"/>
      <c r="O577" s="115"/>
      <c r="P577" s="115"/>
    </row>
    <row r="578" spans="10:16" ht="12.5" x14ac:dyDescent="0.25">
      <c r="J578" s="115"/>
      <c r="K578" s="115"/>
      <c r="L578" s="115"/>
      <c r="M578" s="115"/>
      <c r="N578" s="115"/>
      <c r="O578" s="115"/>
      <c r="P578" s="115"/>
    </row>
    <row r="579" spans="10:16" ht="12.5" x14ac:dyDescent="0.25">
      <c r="J579" s="115"/>
      <c r="K579" s="115"/>
      <c r="L579" s="115"/>
      <c r="M579" s="115"/>
      <c r="N579" s="115"/>
      <c r="O579" s="115"/>
      <c r="P579" s="115"/>
    </row>
    <row r="580" spans="10:16" ht="12.5" x14ac:dyDescent="0.25">
      <c r="J580" s="115"/>
      <c r="K580" s="115"/>
      <c r="L580" s="115"/>
      <c r="M580" s="115"/>
      <c r="N580" s="115"/>
      <c r="O580" s="115"/>
      <c r="P580" s="115"/>
    </row>
    <row r="581" spans="10:16" ht="12.5" x14ac:dyDescent="0.25">
      <c r="J581" s="115"/>
      <c r="K581" s="115"/>
      <c r="L581" s="115"/>
      <c r="M581" s="115"/>
      <c r="N581" s="115"/>
      <c r="O581" s="115"/>
      <c r="P581" s="115"/>
    </row>
    <row r="582" spans="10:16" ht="12.5" x14ac:dyDescent="0.25">
      <c r="J582" s="115"/>
      <c r="K582" s="115"/>
      <c r="L582" s="115"/>
      <c r="M582" s="115"/>
      <c r="N582" s="115"/>
      <c r="O582" s="115"/>
      <c r="P582" s="115"/>
    </row>
    <row r="583" spans="10:16" ht="12.5" x14ac:dyDescent="0.25">
      <c r="J583" s="115"/>
      <c r="K583" s="115"/>
      <c r="L583" s="115"/>
      <c r="M583" s="115"/>
      <c r="N583" s="115"/>
      <c r="O583" s="115"/>
      <c r="P583" s="115"/>
    </row>
    <row r="584" spans="10:16" ht="12.5" x14ac:dyDescent="0.25">
      <c r="J584" s="115"/>
      <c r="K584" s="115"/>
      <c r="L584" s="115"/>
      <c r="M584" s="115"/>
      <c r="N584" s="115"/>
      <c r="O584" s="115"/>
      <c r="P584" s="115"/>
    </row>
    <row r="585" spans="10:16" ht="12.5" x14ac:dyDescent="0.25">
      <c r="J585" s="115"/>
      <c r="K585" s="115"/>
      <c r="L585" s="115"/>
      <c r="M585" s="115"/>
      <c r="N585" s="115"/>
      <c r="O585" s="115"/>
      <c r="P585" s="115"/>
    </row>
    <row r="586" spans="10:16" ht="12.5" x14ac:dyDescent="0.25">
      <c r="J586" s="115"/>
      <c r="K586" s="115"/>
      <c r="L586" s="115"/>
      <c r="M586" s="115"/>
      <c r="N586" s="115"/>
      <c r="O586" s="115"/>
      <c r="P586" s="115"/>
    </row>
    <row r="587" spans="10:16" ht="12.5" x14ac:dyDescent="0.25">
      <c r="J587" s="115"/>
      <c r="K587" s="115"/>
      <c r="L587" s="115"/>
      <c r="M587" s="115"/>
      <c r="N587" s="115"/>
      <c r="O587" s="115"/>
      <c r="P587" s="115"/>
    </row>
    <row r="588" spans="10:16" ht="12.5" x14ac:dyDescent="0.25">
      <c r="J588" s="115"/>
      <c r="K588" s="115"/>
      <c r="L588" s="115"/>
      <c r="M588" s="115"/>
      <c r="N588" s="115"/>
      <c r="O588" s="115"/>
      <c r="P588" s="115"/>
    </row>
    <row r="589" spans="10:16" ht="12.5" x14ac:dyDescent="0.25">
      <c r="J589" s="115"/>
      <c r="K589" s="115"/>
      <c r="L589" s="115"/>
      <c r="M589" s="115"/>
      <c r="N589" s="115"/>
      <c r="O589" s="115"/>
      <c r="P589" s="115"/>
    </row>
    <row r="590" spans="10:16" ht="12.5" x14ac:dyDescent="0.25">
      <c r="J590" s="115"/>
      <c r="K590" s="115"/>
      <c r="L590" s="115"/>
      <c r="M590" s="115"/>
      <c r="N590" s="115"/>
      <c r="O590" s="115"/>
      <c r="P590" s="115"/>
    </row>
    <row r="591" spans="10:16" ht="12.5" x14ac:dyDescent="0.25">
      <c r="J591" s="115"/>
      <c r="K591" s="115"/>
      <c r="L591" s="115"/>
      <c r="M591" s="115"/>
      <c r="N591" s="115"/>
      <c r="O591" s="115"/>
      <c r="P591" s="115"/>
    </row>
    <row r="592" spans="10:16" ht="12.5" x14ac:dyDescent="0.25">
      <c r="J592" s="115"/>
      <c r="K592" s="115"/>
      <c r="L592" s="115"/>
      <c r="M592" s="115"/>
      <c r="N592" s="115"/>
      <c r="O592" s="115"/>
      <c r="P592" s="115"/>
    </row>
    <row r="593" spans="10:16" ht="12.5" x14ac:dyDescent="0.25">
      <c r="J593" s="115"/>
      <c r="K593" s="115"/>
      <c r="L593" s="115"/>
      <c r="M593" s="115"/>
      <c r="N593" s="115"/>
      <c r="O593" s="115"/>
      <c r="P593" s="115"/>
    </row>
    <row r="594" spans="10:16" ht="12.5" x14ac:dyDescent="0.25">
      <c r="J594" s="115"/>
      <c r="K594" s="115"/>
      <c r="L594" s="115"/>
      <c r="M594" s="115"/>
      <c r="N594" s="115"/>
      <c r="O594" s="115"/>
      <c r="P594" s="115"/>
    </row>
    <row r="595" spans="10:16" ht="12.5" x14ac:dyDescent="0.25">
      <c r="J595" s="115"/>
      <c r="K595" s="115"/>
      <c r="L595" s="115"/>
      <c r="M595" s="115"/>
      <c r="N595" s="115"/>
      <c r="O595" s="115"/>
      <c r="P595" s="115"/>
    </row>
    <row r="596" spans="10:16" ht="12.5" x14ac:dyDescent="0.25">
      <c r="J596" s="115"/>
      <c r="K596" s="115"/>
      <c r="L596" s="115"/>
      <c r="M596" s="115"/>
      <c r="N596" s="115"/>
      <c r="O596" s="115"/>
      <c r="P596" s="115"/>
    </row>
    <row r="597" spans="10:16" ht="12.5" x14ac:dyDescent="0.25">
      <c r="J597" s="115"/>
      <c r="K597" s="115"/>
      <c r="L597" s="115"/>
      <c r="M597" s="115"/>
      <c r="N597" s="115"/>
      <c r="O597" s="115"/>
      <c r="P597" s="115"/>
    </row>
    <row r="598" spans="10:16" ht="12.5" x14ac:dyDescent="0.25">
      <c r="J598" s="115"/>
      <c r="K598" s="115"/>
      <c r="L598" s="115"/>
      <c r="M598" s="115"/>
      <c r="N598" s="115"/>
      <c r="O598" s="115"/>
      <c r="P598" s="115"/>
    </row>
    <row r="599" spans="10:16" ht="12.5" x14ac:dyDescent="0.25">
      <c r="J599" s="115"/>
      <c r="K599" s="115"/>
      <c r="L599" s="115"/>
      <c r="M599" s="115"/>
      <c r="N599" s="115"/>
      <c r="O599" s="115"/>
      <c r="P599" s="115"/>
    </row>
    <row r="600" spans="10:16" ht="12.5" x14ac:dyDescent="0.25">
      <c r="J600" s="115"/>
      <c r="K600" s="115"/>
      <c r="L600" s="115"/>
      <c r="M600" s="115"/>
      <c r="N600" s="115"/>
      <c r="O600" s="115"/>
      <c r="P600" s="115"/>
    </row>
    <row r="601" spans="10:16" ht="12.5" x14ac:dyDescent="0.25">
      <c r="J601" s="115"/>
      <c r="K601" s="115"/>
      <c r="L601" s="115"/>
      <c r="M601" s="115"/>
      <c r="N601" s="115"/>
      <c r="O601" s="115"/>
      <c r="P601" s="115"/>
    </row>
    <row r="602" spans="10:16" ht="12.5" x14ac:dyDescent="0.25">
      <c r="J602" s="115"/>
      <c r="K602" s="115"/>
      <c r="L602" s="115"/>
      <c r="M602" s="115"/>
      <c r="N602" s="115"/>
      <c r="O602" s="115"/>
      <c r="P602" s="115"/>
    </row>
    <row r="603" spans="10:16" ht="12.5" x14ac:dyDescent="0.25">
      <c r="J603" s="115"/>
      <c r="K603" s="115"/>
      <c r="L603" s="115"/>
      <c r="M603" s="115"/>
      <c r="N603" s="115"/>
      <c r="O603" s="115"/>
      <c r="P603" s="115"/>
    </row>
    <row r="604" spans="10:16" ht="12.5" x14ac:dyDescent="0.25">
      <c r="J604" s="115"/>
      <c r="K604" s="115"/>
      <c r="L604" s="115"/>
      <c r="M604" s="115"/>
      <c r="N604" s="115"/>
      <c r="O604" s="115"/>
      <c r="P604" s="115"/>
    </row>
    <row r="605" spans="10:16" ht="12.5" x14ac:dyDescent="0.25">
      <c r="J605" s="115"/>
      <c r="K605" s="115"/>
      <c r="L605" s="115"/>
      <c r="M605" s="115"/>
      <c r="N605" s="115"/>
      <c r="O605" s="115"/>
      <c r="P605" s="115"/>
    </row>
    <row r="606" spans="10:16" ht="12.5" x14ac:dyDescent="0.25">
      <c r="J606" s="115"/>
      <c r="K606" s="115"/>
      <c r="L606" s="115"/>
      <c r="M606" s="115"/>
      <c r="N606" s="115"/>
      <c r="O606" s="115"/>
      <c r="P606" s="115"/>
    </row>
    <row r="607" spans="10:16" ht="12.5" x14ac:dyDescent="0.25">
      <c r="J607" s="115"/>
      <c r="K607" s="115"/>
      <c r="L607" s="115"/>
      <c r="M607" s="115"/>
      <c r="N607" s="115"/>
      <c r="O607" s="115"/>
      <c r="P607" s="115"/>
    </row>
    <row r="608" spans="10:16" ht="12.5" x14ac:dyDescent="0.25">
      <c r="J608" s="115"/>
      <c r="K608" s="115"/>
      <c r="L608" s="115"/>
      <c r="M608" s="115"/>
      <c r="N608" s="115"/>
      <c r="O608" s="115"/>
      <c r="P608" s="115"/>
    </row>
    <row r="609" spans="10:16" ht="12.5" x14ac:dyDescent="0.25">
      <c r="J609" s="115"/>
      <c r="K609" s="115"/>
      <c r="L609" s="115"/>
      <c r="M609" s="115"/>
      <c r="N609" s="115"/>
      <c r="O609" s="115"/>
      <c r="P609" s="115"/>
    </row>
    <row r="610" spans="10:16" ht="12.5" x14ac:dyDescent="0.25">
      <c r="J610" s="115"/>
      <c r="K610" s="115"/>
      <c r="L610" s="115"/>
      <c r="M610" s="115"/>
      <c r="N610" s="115"/>
      <c r="O610" s="115"/>
      <c r="P610" s="115"/>
    </row>
    <row r="611" spans="10:16" ht="12.5" x14ac:dyDescent="0.25">
      <c r="J611" s="115"/>
      <c r="K611" s="115"/>
      <c r="L611" s="115"/>
      <c r="M611" s="115"/>
      <c r="N611" s="115"/>
      <c r="O611" s="115"/>
      <c r="P611" s="115"/>
    </row>
    <row r="612" spans="10:16" ht="12.5" x14ac:dyDescent="0.25">
      <c r="J612" s="115"/>
      <c r="K612" s="115"/>
      <c r="L612" s="115"/>
      <c r="M612" s="115"/>
      <c r="N612" s="115"/>
      <c r="O612" s="115"/>
      <c r="P612" s="115"/>
    </row>
    <row r="613" spans="10:16" ht="12.5" x14ac:dyDescent="0.25">
      <c r="J613" s="115"/>
      <c r="K613" s="115"/>
      <c r="L613" s="115"/>
      <c r="M613" s="115"/>
      <c r="N613" s="115"/>
      <c r="O613" s="115"/>
      <c r="P613" s="115"/>
    </row>
    <row r="614" spans="10:16" ht="12.5" x14ac:dyDescent="0.25">
      <c r="J614" s="115"/>
      <c r="K614" s="115"/>
      <c r="L614" s="115"/>
      <c r="M614" s="115"/>
      <c r="N614" s="115"/>
      <c r="O614" s="115"/>
      <c r="P614" s="115"/>
    </row>
    <row r="615" spans="10:16" ht="12.5" x14ac:dyDescent="0.25">
      <c r="J615" s="115"/>
      <c r="K615" s="115"/>
      <c r="L615" s="115"/>
      <c r="M615" s="115"/>
      <c r="N615" s="115"/>
      <c r="O615" s="115"/>
      <c r="P615" s="115"/>
    </row>
    <row r="616" spans="10:16" ht="12.5" x14ac:dyDescent="0.25">
      <c r="J616" s="115"/>
      <c r="K616" s="115"/>
      <c r="L616" s="115"/>
      <c r="M616" s="115"/>
      <c r="N616" s="115"/>
      <c r="O616" s="115"/>
      <c r="P616" s="115"/>
    </row>
    <row r="617" spans="10:16" ht="12.5" x14ac:dyDescent="0.25">
      <c r="J617" s="115"/>
      <c r="K617" s="115"/>
      <c r="L617" s="115"/>
      <c r="M617" s="115"/>
      <c r="N617" s="115"/>
      <c r="O617" s="115"/>
      <c r="P617" s="115"/>
    </row>
    <row r="618" spans="10:16" ht="12.5" x14ac:dyDescent="0.25">
      <c r="J618" s="115"/>
      <c r="K618" s="115"/>
      <c r="L618" s="115"/>
      <c r="M618" s="115"/>
      <c r="N618" s="115"/>
      <c r="O618" s="115"/>
      <c r="P618" s="115"/>
    </row>
    <row r="619" spans="10:16" ht="12.5" x14ac:dyDescent="0.25">
      <c r="J619" s="115"/>
      <c r="K619" s="115"/>
      <c r="L619" s="115"/>
      <c r="M619" s="115"/>
      <c r="N619" s="115"/>
      <c r="O619" s="115"/>
      <c r="P619" s="115"/>
    </row>
    <row r="620" spans="10:16" ht="12.5" x14ac:dyDescent="0.25">
      <c r="J620" s="115"/>
      <c r="K620" s="115"/>
      <c r="L620" s="115"/>
      <c r="M620" s="115"/>
      <c r="N620" s="115"/>
      <c r="O620" s="115"/>
      <c r="P620" s="115"/>
    </row>
    <row r="621" spans="10:16" ht="12.5" x14ac:dyDescent="0.25">
      <c r="J621" s="115"/>
      <c r="K621" s="115"/>
      <c r="L621" s="115"/>
      <c r="M621" s="115"/>
      <c r="N621" s="115"/>
      <c r="O621" s="115"/>
      <c r="P621" s="115"/>
    </row>
    <row r="622" spans="10:16" ht="12.5" x14ac:dyDescent="0.25">
      <c r="J622" s="115"/>
      <c r="K622" s="115"/>
      <c r="L622" s="115"/>
      <c r="M622" s="115"/>
      <c r="N622" s="115"/>
      <c r="O622" s="115"/>
      <c r="P622" s="115"/>
    </row>
    <row r="623" spans="10:16" ht="12.5" x14ac:dyDescent="0.25">
      <c r="J623" s="115"/>
      <c r="K623" s="115"/>
      <c r="L623" s="115"/>
      <c r="M623" s="115"/>
      <c r="N623" s="115"/>
      <c r="O623" s="115"/>
      <c r="P623" s="115"/>
    </row>
    <row r="624" spans="10:16" ht="12.5" x14ac:dyDescent="0.25">
      <c r="J624" s="115"/>
      <c r="K624" s="115"/>
      <c r="L624" s="115"/>
      <c r="M624" s="115"/>
      <c r="N624" s="115"/>
      <c r="O624" s="115"/>
      <c r="P624" s="115"/>
    </row>
    <row r="625" spans="10:16" ht="12.5" x14ac:dyDescent="0.25">
      <c r="J625" s="115"/>
      <c r="K625" s="115"/>
      <c r="L625" s="115"/>
      <c r="M625" s="115"/>
      <c r="N625" s="115"/>
      <c r="O625" s="115"/>
      <c r="P625" s="115"/>
    </row>
    <row r="626" spans="10:16" ht="12.5" x14ac:dyDescent="0.25">
      <c r="J626" s="115"/>
      <c r="K626" s="115"/>
      <c r="L626" s="115"/>
      <c r="M626" s="115"/>
      <c r="N626" s="115"/>
      <c r="O626" s="115"/>
      <c r="P626" s="115"/>
    </row>
    <row r="627" spans="10:16" ht="12.5" x14ac:dyDescent="0.25">
      <c r="J627" s="115"/>
      <c r="K627" s="115"/>
      <c r="L627" s="115"/>
      <c r="M627" s="115"/>
      <c r="N627" s="115"/>
      <c r="O627" s="115"/>
      <c r="P627" s="115"/>
    </row>
    <row r="628" spans="10:16" ht="12.5" x14ac:dyDescent="0.25">
      <c r="J628" s="115"/>
      <c r="K628" s="115"/>
      <c r="L628" s="115"/>
      <c r="M628" s="115"/>
      <c r="N628" s="115"/>
      <c r="O628" s="115"/>
      <c r="P628" s="115"/>
    </row>
    <row r="629" spans="10:16" ht="12.5" x14ac:dyDescent="0.25">
      <c r="J629" s="115"/>
      <c r="K629" s="115"/>
      <c r="L629" s="115"/>
      <c r="M629" s="115"/>
      <c r="N629" s="115"/>
      <c r="O629" s="115"/>
      <c r="P629" s="115"/>
    </row>
    <row r="630" spans="10:16" ht="12.5" x14ac:dyDescent="0.25">
      <c r="J630" s="115"/>
      <c r="K630" s="115"/>
      <c r="L630" s="115"/>
      <c r="M630" s="115"/>
      <c r="N630" s="115"/>
      <c r="O630" s="115"/>
      <c r="P630" s="115"/>
    </row>
    <row r="631" spans="10:16" ht="12.5" x14ac:dyDescent="0.25">
      <c r="J631" s="115"/>
      <c r="K631" s="115"/>
      <c r="L631" s="115"/>
      <c r="M631" s="115"/>
      <c r="N631" s="115"/>
      <c r="O631" s="115"/>
      <c r="P631" s="115"/>
    </row>
    <row r="632" spans="10:16" ht="12.5" x14ac:dyDescent="0.25">
      <c r="J632" s="115"/>
      <c r="K632" s="115"/>
      <c r="L632" s="115"/>
      <c r="M632" s="115"/>
      <c r="N632" s="115"/>
      <c r="O632" s="115"/>
      <c r="P632" s="115"/>
    </row>
    <row r="633" spans="10:16" ht="12.5" x14ac:dyDescent="0.25">
      <c r="J633" s="115"/>
      <c r="K633" s="115"/>
      <c r="L633" s="115"/>
      <c r="M633" s="115"/>
      <c r="N633" s="115"/>
      <c r="O633" s="115"/>
      <c r="P633" s="115"/>
    </row>
    <row r="634" spans="10:16" ht="12.5" x14ac:dyDescent="0.25">
      <c r="J634" s="115"/>
      <c r="K634" s="115"/>
      <c r="L634" s="115"/>
      <c r="M634" s="115"/>
      <c r="N634" s="115"/>
      <c r="O634" s="115"/>
      <c r="P634" s="115"/>
    </row>
    <row r="635" spans="10:16" ht="12.5" x14ac:dyDescent="0.25">
      <c r="J635" s="115"/>
      <c r="K635" s="115"/>
      <c r="L635" s="115"/>
      <c r="M635" s="115"/>
      <c r="N635" s="115"/>
      <c r="O635" s="115"/>
      <c r="P635" s="115"/>
    </row>
    <row r="636" spans="10:16" ht="12.5" x14ac:dyDescent="0.25">
      <c r="J636" s="115"/>
      <c r="K636" s="115"/>
      <c r="L636" s="115"/>
      <c r="M636" s="115"/>
      <c r="N636" s="115"/>
      <c r="O636" s="115"/>
      <c r="P636" s="115"/>
    </row>
    <row r="637" spans="10:16" ht="12.5" x14ac:dyDescent="0.25">
      <c r="J637" s="115"/>
      <c r="K637" s="115"/>
      <c r="L637" s="115"/>
      <c r="M637" s="115"/>
      <c r="N637" s="115"/>
      <c r="O637" s="115"/>
      <c r="P637" s="115"/>
    </row>
    <row r="638" spans="10:16" ht="12.5" x14ac:dyDescent="0.25">
      <c r="J638" s="115"/>
      <c r="K638" s="115"/>
      <c r="L638" s="115"/>
      <c r="M638" s="115"/>
      <c r="N638" s="115"/>
      <c r="O638" s="115"/>
      <c r="P638" s="115"/>
    </row>
    <row r="639" spans="10:16" ht="12.5" x14ac:dyDescent="0.25">
      <c r="J639" s="115"/>
      <c r="K639" s="115"/>
      <c r="L639" s="115"/>
      <c r="M639" s="115"/>
      <c r="N639" s="115"/>
      <c r="O639" s="115"/>
      <c r="P639" s="115"/>
    </row>
    <row r="640" spans="10:16" ht="12.5" x14ac:dyDescent="0.25">
      <c r="J640" s="115"/>
      <c r="K640" s="115"/>
      <c r="L640" s="115"/>
      <c r="M640" s="115"/>
      <c r="N640" s="115"/>
      <c r="O640" s="115"/>
      <c r="P640" s="115"/>
    </row>
    <row r="641" spans="10:16" ht="12.5" x14ac:dyDescent="0.25">
      <c r="J641" s="115"/>
      <c r="K641" s="115"/>
      <c r="L641" s="115"/>
      <c r="M641" s="115"/>
      <c r="N641" s="115"/>
      <c r="O641" s="115"/>
      <c r="P641" s="115"/>
    </row>
    <row r="642" spans="10:16" ht="12.5" x14ac:dyDescent="0.25">
      <c r="J642" s="115"/>
      <c r="K642" s="115"/>
      <c r="L642" s="115"/>
      <c r="M642" s="115"/>
      <c r="N642" s="115"/>
      <c r="O642" s="115"/>
      <c r="P642" s="115"/>
    </row>
    <row r="643" spans="10:16" ht="12.5" x14ac:dyDescent="0.25">
      <c r="J643" s="115"/>
      <c r="K643" s="115"/>
      <c r="L643" s="115"/>
      <c r="M643" s="115"/>
      <c r="N643" s="115"/>
      <c r="O643" s="115"/>
      <c r="P643" s="115"/>
    </row>
    <row r="644" spans="10:16" ht="12.5" x14ac:dyDescent="0.25">
      <c r="J644" s="115"/>
      <c r="K644" s="115"/>
      <c r="L644" s="115"/>
      <c r="M644" s="115"/>
      <c r="N644" s="115"/>
      <c r="O644" s="115"/>
      <c r="P644" s="115"/>
    </row>
    <row r="645" spans="10:16" ht="12.5" x14ac:dyDescent="0.25">
      <c r="J645" s="115"/>
      <c r="K645" s="115"/>
      <c r="L645" s="115"/>
      <c r="M645" s="115"/>
      <c r="N645" s="115"/>
      <c r="O645" s="115"/>
      <c r="P645" s="115"/>
    </row>
    <row r="646" spans="10:16" ht="12.5" x14ac:dyDescent="0.25">
      <c r="J646" s="115"/>
      <c r="K646" s="115"/>
      <c r="L646" s="115"/>
      <c r="M646" s="115"/>
      <c r="N646" s="115"/>
      <c r="O646" s="115"/>
      <c r="P646" s="115"/>
    </row>
    <row r="647" spans="10:16" ht="12.5" x14ac:dyDescent="0.25">
      <c r="J647" s="115"/>
      <c r="K647" s="115"/>
      <c r="L647" s="115"/>
      <c r="M647" s="115"/>
      <c r="N647" s="115"/>
      <c r="O647" s="115"/>
      <c r="P647" s="115"/>
    </row>
    <row r="648" spans="10:16" ht="12.5" x14ac:dyDescent="0.25">
      <c r="J648" s="115"/>
      <c r="K648" s="115"/>
      <c r="L648" s="115"/>
      <c r="M648" s="115"/>
      <c r="N648" s="115"/>
      <c r="O648" s="115"/>
      <c r="P648" s="115"/>
    </row>
    <row r="649" spans="10:16" ht="12.5" x14ac:dyDescent="0.25">
      <c r="J649" s="115"/>
      <c r="K649" s="115"/>
      <c r="L649" s="115"/>
      <c r="M649" s="115"/>
      <c r="N649" s="115"/>
      <c r="O649" s="115"/>
      <c r="P649" s="115"/>
    </row>
    <row r="650" spans="10:16" ht="12.5" x14ac:dyDescent="0.25">
      <c r="J650" s="115"/>
      <c r="K650" s="115"/>
      <c r="L650" s="115"/>
      <c r="M650" s="115"/>
      <c r="N650" s="115"/>
      <c r="O650" s="115"/>
      <c r="P650" s="115"/>
    </row>
    <row r="651" spans="10:16" ht="12.5" x14ac:dyDescent="0.25">
      <c r="J651" s="115"/>
      <c r="K651" s="115"/>
      <c r="L651" s="115"/>
      <c r="M651" s="115"/>
      <c r="N651" s="115"/>
      <c r="O651" s="115"/>
      <c r="P651" s="115"/>
    </row>
    <row r="652" spans="10:16" ht="12.5" x14ac:dyDescent="0.25">
      <c r="J652" s="115"/>
      <c r="K652" s="115"/>
      <c r="L652" s="115"/>
      <c r="M652" s="115"/>
      <c r="N652" s="115"/>
      <c r="O652" s="115"/>
      <c r="P652" s="115"/>
    </row>
    <row r="653" spans="10:16" ht="12.5" x14ac:dyDescent="0.25">
      <c r="J653" s="115"/>
      <c r="K653" s="115"/>
      <c r="L653" s="115"/>
      <c r="M653" s="115"/>
      <c r="N653" s="115"/>
      <c r="O653" s="115"/>
      <c r="P653" s="115"/>
    </row>
    <row r="654" spans="10:16" ht="12.5" x14ac:dyDescent="0.25">
      <c r="J654" s="115"/>
      <c r="K654" s="115"/>
      <c r="L654" s="115"/>
      <c r="M654" s="115"/>
      <c r="N654" s="115"/>
      <c r="O654" s="115"/>
      <c r="P654" s="115"/>
    </row>
    <row r="655" spans="10:16" ht="12.5" x14ac:dyDescent="0.25">
      <c r="J655" s="115"/>
      <c r="K655" s="115"/>
      <c r="L655" s="115"/>
      <c r="M655" s="115"/>
      <c r="N655" s="115"/>
      <c r="O655" s="115"/>
      <c r="P655" s="115"/>
    </row>
    <row r="656" spans="10:16" ht="12.5" x14ac:dyDescent="0.25">
      <c r="J656" s="115"/>
      <c r="K656" s="115"/>
      <c r="L656" s="115"/>
      <c r="M656" s="115"/>
      <c r="N656" s="115"/>
      <c r="O656" s="115"/>
      <c r="P656" s="115"/>
    </row>
    <row r="657" spans="10:16" ht="12.5" x14ac:dyDescent="0.25">
      <c r="J657" s="115"/>
      <c r="K657" s="115"/>
      <c r="L657" s="115"/>
      <c r="M657" s="115"/>
      <c r="N657" s="115"/>
      <c r="O657" s="115"/>
      <c r="P657" s="115"/>
    </row>
    <row r="658" spans="10:16" ht="12.5" x14ac:dyDescent="0.25">
      <c r="J658" s="115"/>
      <c r="K658" s="115"/>
      <c r="L658" s="115"/>
      <c r="M658" s="115"/>
      <c r="N658" s="115"/>
      <c r="O658" s="115"/>
      <c r="P658" s="115"/>
    </row>
    <row r="659" spans="10:16" ht="12.5" x14ac:dyDescent="0.25">
      <c r="J659" s="115"/>
      <c r="K659" s="115"/>
      <c r="L659" s="115"/>
      <c r="M659" s="115"/>
      <c r="N659" s="115"/>
      <c r="O659" s="115"/>
      <c r="P659" s="115"/>
    </row>
    <row r="660" spans="10:16" ht="12.5" x14ac:dyDescent="0.25">
      <c r="J660" s="115"/>
      <c r="K660" s="115"/>
      <c r="L660" s="115"/>
      <c r="M660" s="115"/>
      <c r="N660" s="115"/>
      <c r="O660" s="115"/>
      <c r="P660" s="115"/>
    </row>
    <row r="661" spans="10:16" ht="12.5" x14ac:dyDescent="0.25">
      <c r="J661" s="115"/>
      <c r="K661" s="115"/>
      <c r="L661" s="115"/>
      <c r="M661" s="115"/>
      <c r="N661" s="115"/>
      <c r="O661" s="115"/>
      <c r="P661" s="115"/>
    </row>
    <row r="662" spans="10:16" ht="12.5" x14ac:dyDescent="0.25">
      <c r="J662" s="115"/>
      <c r="K662" s="115"/>
      <c r="L662" s="115"/>
      <c r="M662" s="115"/>
      <c r="N662" s="115"/>
      <c r="O662" s="115"/>
      <c r="P662" s="115"/>
    </row>
    <row r="663" spans="10:16" ht="12.5" x14ac:dyDescent="0.25">
      <c r="J663" s="115"/>
      <c r="K663" s="115"/>
      <c r="L663" s="115"/>
      <c r="M663" s="115"/>
      <c r="N663" s="115"/>
      <c r="O663" s="115"/>
      <c r="P663" s="115"/>
    </row>
    <row r="664" spans="10:16" ht="12.5" x14ac:dyDescent="0.25">
      <c r="J664" s="115"/>
      <c r="K664" s="115"/>
      <c r="L664" s="115"/>
      <c r="M664" s="115"/>
      <c r="N664" s="115"/>
      <c r="O664" s="115"/>
      <c r="P664" s="115"/>
    </row>
    <row r="665" spans="10:16" ht="12.5" x14ac:dyDescent="0.25">
      <c r="J665" s="115"/>
      <c r="K665" s="115"/>
      <c r="L665" s="115"/>
      <c r="M665" s="115"/>
      <c r="N665" s="115"/>
      <c r="O665" s="115"/>
      <c r="P665" s="115"/>
    </row>
    <row r="666" spans="10:16" ht="12.5" x14ac:dyDescent="0.25">
      <c r="J666" s="115"/>
      <c r="K666" s="115"/>
      <c r="L666" s="115"/>
      <c r="M666" s="115"/>
      <c r="N666" s="115"/>
      <c r="O666" s="115"/>
      <c r="P666" s="115"/>
    </row>
    <row r="667" spans="10:16" ht="12.5" x14ac:dyDescent="0.25">
      <c r="J667" s="115"/>
      <c r="K667" s="115"/>
      <c r="L667" s="115"/>
      <c r="M667" s="115"/>
      <c r="N667" s="115"/>
      <c r="O667" s="115"/>
      <c r="P667" s="115"/>
    </row>
    <row r="668" spans="10:16" ht="12.5" x14ac:dyDescent="0.25">
      <c r="J668" s="115"/>
      <c r="K668" s="115"/>
      <c r="L668" s="115"/>
      <c r="M668" s="115"/>
      <c r="N668" s="115"/>
      <c r="O668" s="115"/>
      <c r="P668" s="115"/>
    </row>
    <row r="669" spans="10:16" ht="12.5" x14ac:dyDescent="0.25">
      <c r="J669" s="115"/>
      <c r="K669" s="115"/>
      <c r="L669" s="115"/>
      <c r="M669" s="115"/>
      <c r="N669" s="115"/>
      <c r="O669" s="115"/>
      <c r="P669" s="115"/>
    </row>
    <row r="670" spans="10:16" ht="12.5" x14ac:dyDescent="0.25">
      <c r="J670" s="115"/>
      <c r="K670" s="115"/>
      <c r="L670" s="115"/>
      <c r="M670" s="115"/>
      <c r="N670" s="115"/>
      <c r="O670" s="115"/>
      <c r="P670" s="115"/>
    </row>
    <row r="671" spans="10:16" ht="12.5" x14ac:dyDescent="0.25">
      <c r="J671" s="115"/>
      <c r="K671" s="115"/>
      <c r="L671" s="115"/>
      <c r="M671" s="115"/>
      <c r="N671" s="115"/>
      <c r="O671" s="115"/>
      <c r="P671" s="115"/>
    </row>
    <row r="672" spans="10:16" ht="12.5" x14ac:dyDescent="0.25">
      <c r="J672" s="115"/>
      <c r="K672" s="115"/>
      <c r="L672" s="115"/>
      <c r="M672" s="115"/>
      <c r="N672" s="115"/>
      <c r="O672" s="115"/>
      <c r="P672" s="115"/>
    </row>
    <row r="673" spans="10:16" ht="12.5" x14ac:dyDescent="0.25">
      <c r="J673" s="115"/>
      <c r="K673" s="115"/>
      <c r="L673" s="115"/>
      <c r="M673" s="115"/>
      <c r="N673" s="115"/>
      <c r="O673" s="115"/>
      <c r="P673" s="115"/>
    </row>
    <row r="674" spans="10:16" ht="12.5" x14ac:dyDescent="0.25">
      <c r="J674" s="115"/>
      <c r="K674" s="115"/>
      <c r="L674" s="115"/>
      <c r="M674" s="115"/>
      <c r="N674" s="115"/>
      <c r="O674" s="115"/>
      <c r="P674" s="115"/>
    </row>
    <row r="675" spans="10:16" ht="12.5" x14ac:dyDescent="0.25">
      <c r="J675" s="115"/>
      <c r="K675" s="115"/>
      <c r="L675" s="115"/>
      <c r="M675" s="115"/>
      <c r="N675" s="115"/>
      <c r="O675" s="115"/>
      <c r="P675" s="115"/>
    </row>
    <row r="676" spans="10:16" ht="12.5" x14ac:dyDescent="0.25">
      <c r="J676" s="115"/>
      <c r="K676" s="115"/>
      <c r="L676" s="115"/>
      <c r="M676" s="115"/>
      <c r="N676" s="115"/>
      <c r="O676" s="115"/>
      <c r="P676" s="115"/>
    </row>
    <row r="677" spans="10:16" ht="12.5" x14ac:dyDescent="0.25">
      <c r="J677" s="115"/>
      <c r="K677" s="115"/>
      <c r="L677" s="115"/>
      <c r="M677" s="115"/>
      <c r="N677" s="115"/>
      <c r="O677" s="115"/>
      <c r="P677" s="115"/>
    </row>
    <row r="678" spans="10:16" ht="12.5" x14ac:dyDescent="0.25">
      <c r="J678" s="115"/>
      <c r="K678" s="115"/>
      <c r="L678" s="115"/>
      <c r="M678" s="115"/>
      <c r="N678" s="115"/>
      <c r="O678" s="115"/>
      <c r="P678" s="115"/>
    </row>
    <row r="679" spans="10:16" ht="12.5" x14ac:dyDescent="0.25">
      <c r="J679" s="115"/>
      <c r="K679" s="115"/>
      <c r="L679" s="115"/>
      <c r="M679" s="115"/>
      <c r="N679" s="115"/>
      <c r="O679" s="115"/>
      <c r="P679" s="115"/>
    </row>
    <row r="680" spans="10:16" ht="12.5" x14ac:dyDescent="0.25">
      <c r="J680" s="115"/>
      <c r="K680" s="115"/>
      <c r="L680" s="115"/>
      <c r="M680" s="115"/>
      <c r="N680" s="115"/>
      <c r="O680" s="115"/>
      <c r="P680" s="115"/>
    </row>
    <row r="681" spans="10:16" ht="12.5" x14ac:dyDescent="0.25">
      <c r="J681" s="115"/>
      <c r="K681" s="115"/>
      <c r="L681" s="115"/>
      <c r="M681" s="115"/>
      <c r="N681" s="115"/>
      <c r="O681" s="115"/>
      <c r="P681" s="115"/>
    </row>
    <row r="682" spans="10:16" ht="12.5" x14ac:dyDescent="0.25">
      <c r="J682" s="115"/>
      <c r="K682" s="115"/>
      <c r="L682" s="115"/>
      <c r="M682" s="115"/>
      <c r="N682" s="115"/>
      <c r="O682" s="115"/>
      <c r="P682" s="115"/>
    </row>
    <row r="683" spans="10:16" ht="12.5" x14ac:dyDescent="0.25">
      <c r="J683" s="115"/>
      <c r="K683" s="115"/>
      <c r="L683" s="115"/>
      <c r="M683" s="115"/>
      <c r="N683" s="115"/>
      <c r="O683" s="115"/>
      <c r="P683" s="115"/>
    </row>
    <row r="684" spans="10:16" ht="12.5" x14ac:dyDescent="0.25">
      <c r="J684" s="115"/>
      <c r="K684" s="115"/>
      <c r="L684" s="115"/>
      <c r="M684" s="115"/>
      <c r="N684" s="115"/>
      <c r="O684" s="115"/>
      <c r="P684" s="115"/>
    </row>
    <row r="685" spans="10:16" ht="12.5" x14ac:dyDescent="0.25">
      <c r="J685" s="115"/>
      <c r="K685" s="115"/>
      <c r="L685" s="115"/>
      <c r="M685" s="115"/>
      <c r="N685" s="115"/>
      <c r="O685" s="115"/>
      <c r="P685" s="115"/>
    </row>
    <row r="686" spans="10:16" ht="12.5" x14ac:dyDescent="0.25">
      <c r="J686" s="115"/>
      <c r="K686" s="115"/>
      <c r="L686" s="115"/>
      <c r="M686" s="115"/>
      <c r="N686" s="115"/>
      <c r="O686" s="115"/>
      <c r="P686" s="115"/>
    </row>
    <row r="687" spans="10:16" ht="12.5" x14ac:dyDescent="0.25">
      <c r="J687" s="115"/>
      <c r="K687" s="115"/>
      <c r="L687" s="115"/>
      <c r="M687" s="115"/>
      <c r="N687" s="115"/>
      <c r="O687" s="115"/>
      <c r="P687" s="115"/>
    </row>
    <row r="688" spans="10:16" ht="12.5" x14ac:dyDescent="0.25">
      <c r="J688" s="115"/>
      <c r="K688" s="115"/>
      <c r="L688" s="115"/>
      <c r="M688" s="115"/>
      <c r="N688" s="115"/>
      <c r="O688" s="115"/>
      <c r="P688" s="115"/>
    </row>
    <row r="689" spans="10:16" ht="12.5" x14ac:dyDescent="0.25">
      <c r="J689" s="115"/>
      <c r="K689" s="115"/>
      <c r="L689" s="115"/>
      <c r="M689" s="115"/>
      <c r="N689" s="115"/>
      <c r="O689" s="115"/>
      <c r="P689" s="115"/>
    </row>
    <row r="690" spans="10:16" ht="12.5" x14ac:dyDescent="0.25">
      <c r="J690" s="115"/>
      <c r="K690" s="115"/>
      <c r="L690" s="115"/>
      <c r="M690" s="115"/>
      <c r="N690" s="115"/>
      <c r="O690" s="115"/>
      <c r="P690" s="115"/>
    </row>
    <row r="691" spans="10:16" ht="12.5" x14ac:dyDescent="0.25">
      <c r="J691" s="115"/>
      <c r="K691" s="115"/>
      <c r="L691" s="115"/>
      <c r="M691" s="115"/>
      <c r="N691" s="115"/>
      <c r="O691" s="115"/>
      <c r="P691" s="115"/>
    </row>
    <row r="692" spans="10:16" ht="12.5" x14ac:dyDescent="0.25">
      <c r="J692" s="115"/>
      <c r="K692" s="115"/>
      <c r="L692" s="115"/>
      <c r="M692" s="115"/>
      <c r="N692" s="115"/>
      <c r="O692" s="115"/>
      <c r="P692" s="115"/>
    </row>
    <row r="693" spans="10:16" ht="12.5" x14ac:dyDescent="0.25">
      <c r="J693" s="115"/>
      <c r="K693" s="115"/>
      <c r="L693" s="115"/>
      <c r="M693" s="115"/>
      <c r="N693" s="115"/>
      <c r="O693" s="115"/>
      <c r="P693" s="115"/>
    </row>
    <row r="694" spans="10:16" ht="12.5" x14ac:dyDescent="0.25">
      <c r="J694" s="115"/>
      <c r="K694" s="115"/>
      <c r="L694" s="115"/>
      <c r="M694" s="115"/>
      <c r="N694" s="115"/>
      <c r="O694" s="115"/>
      <c r="P694" s="115"/>
    </row>
    <row r="695" spans="10:16" ht="12.5" x14ac:dyDescent="0.25">
      <c r="J695" s="115"/>
      <c r="K695" s="115"/>
      <c r="L695" s="115"/>
      <c r="M695" s="115"/>
      <c r="N695" s="115"/>
      <c r="O695" s="115"/>
      <c r="P695" s="115"/>
    </row>
    <row r="696" spans="10:16" ht="12.5" x14ac:dyDescent="0.25">
      <c r="J696" s="115"/>
      <c r="K696" s="115"/>
      <c r="L696" s="115"/>
      <c r="M696" s="115"/>
      <c r="N696" s="115"/>
      <c r="O696" s="115"/>
      <c r="P696" s="115"/>
    </row>
    <row r="697" spans="10:16" ht="12.5" x14ac:dyDescent="0.25">
      <c r="J697" s="115"/>
      <c r="K697" s="115"/>
      <c r="L697" s="115"/>
      <c r="M697" s="115"/>
      <c r="N697" s="115"/>
      <c r="O697" s="115"/>
      <c r="P697" s="115"/>
    </row>
    <row r="698" spans="10:16" ht="12.5" x14ac:dyDescent="0.25">
      <c r="J698" s="115"/>
      <c r="K698" s="115"/>
      <c r="L698" s="115"/>
      <c r="M698" s="115"/>
      <c r="N698" s="115"/>
      <c r="O698" s="115"/>
      <c r="P698" s="115"/>
    </row>
    <row r="699" spans="10:16" ht="12.5" x14ac:dyDescent="0.25">
      <c r="J699" s="115"/>
      <c r="K699" s="115"/>
      <c r="L699" s="115"/>
      <c r="M699" s="115"/>
      <c r="N699" s="115"/>
      <c r="O699" s="115"/>
      <c r="P699" s="115"/>
    </row>
    <row r="700" spans="10:16" ht="12.5" x14ac:dyDescent="0.25">
      <c r="J700" s="115"/>
      <c r="K700" s="115"/>
      <c r="L700" s="115"/>
      <c r="M700" s="115"/>
      <c r="N700" s="115"/>
      <c r="O700" s="115"/>
      <c r="P700" s="115"/>
    </row>
    <row r="701" spans="10:16" ht="12.5" x14ac:dyDescent="0.25">
      <c r="J701" s="115"/>
      <c r="K701" s="115"/>
      <c r="L701" s="115"/>
      <c r="M701" s="115"/>
      <c r="N701" s="115"/>
      <c r="O701" s="115"/>
      <c r="P701" s="115"/>
    </row>
    <row r="702" spans="10:16" ht="12.5" x14ac:dyDescent="0.25">
      <c r="J702" s="115"/>
      <c r="K702" s="115"/>
      <c r="L702" s="115"/>
      <c r="M702" s="115"/>
      <c r="N702" s="115"/>
      <c r="O702" s="115"/>
      <c r="P702" s="115"/>
    </row>
    <row r="703" spans="10:16" ht="12.5" x14ac:dyDescent="0.25">
      <c r="J703" s="115"/>
      <c r="K703" s="115"/>
      <c r="L703" s="115"/>
      <c r="M703" s="115"/>
      <c r="N703" s="115"/>
      <c r="O703" s="115"/>
      <c r="P703" s="115"/>
    </row>
    <row r="704" spans="10:16" ht="12.5" x14ac:dyDescent="0.25">
      <c r="J704" s="115"/>
      <c r="K704" s="115"/>
      <c r="L704" s="115"/>
      <c r="M704" s="115"/>
      <c r="N704" s="115"/>
      <c r="O704" s="115"/>
      <c r="P704" s="115"/>
    </row>
    <row r="705" spans="10:16" ht="12.5" x14ac:dyDescent="0.25">
      <c r="J705" s="115"/>
      <c r="K705" s="115"/>
      <c r="L705" s="115"/>
      <c r="M705" s="115"/>
      <c r="N705" s="115"/>
      <c r="O705" s="115"/>
      <c r="P705" s="115"/>
    </row>
    <row r="706" spans="10:16" ht="12.5" x14ac:dyDescent="0.25">
      <c r="J706" s="115"/>
      <c r="K706" s="115"/>
      <c r="L706" s="115"/>
      <c r="M706" s="115"/>
      <c r="N706" s="115"/>
      <c r="O706" s="115"/>
      <c r="P706" s="115"/>
    </row>
    <row r="707" spans="10:16" ht="12.5" x14ac:dyDescent="0.25">
      <c r="J707" s="115"/>
      <c r="K707" s="115"/>
      <c r="L707" s="115"/>
      <c r="M707" s="115"/>
      <c r="N707" s="115"/>
      <c r="O707" s="115"/>
      <c r="P707" s="115"/>
    </row>
    <row r="708" spans="10:16" ht="12.5" x14ac:dyDescent="0.25">
      <c r="J708" s="115"/>
      <c r="K708" s="115"/>
      <c r="L708" s="115"/>
      <c r="M708" s="115"/>
      <c r="N708" s="115"/>
      <c r="O708" s="115"/>
      <c r="P708" s="115"/>
    </row>
    <row r="709" spans="10:16" ht="12.5" x14ac:dyDescent="0.25">
      <c r="J709" s="115"/>
      <c r="K709" s="115"/>
      <c r="L709" s="115"/>
      <c r="M709" s="115"/>
      <c r="N709" s="115"/>
      <c r="O709" s="115"/>
      <c r="P709" s="115"/>
    </row>
    <row r="710" spans="10:16" ht="12.5" x14ac:dyDescent="0.25">
      <c r="J710" s="115"/>
      <c r="K710" s="115"/>
      <c r="L710" s="115"/>
      <c r="M710" s="115"/>
      <c r="N710" s="115"/>
      <c r="O710" s="115"/>
      <c r="P710" s="115"/>
    </row>
    <row r="711" spans="10:16" ht="12.5" x14ac:dyDescent="0.25">
      <c r="J711" s="115"/>
      <c r="K711" s="115"/>
      <c r="L711" s="115"/>
      <c r="M711" s="115"/>
      <c r="N711" s="115"/>
      <c r="O711" s="115"/>
      <c r="P711" s="115"/>
    </row>
    <row r="712" spans="10:16" ht="12.5" x14ac:dyDescent="0.25">
      <c r="J712" s="115"/>
      <c r="K712" s="115"/>
      <c r="L712" s="115"/>
      <c r="M712" s="115"/>
      <c r="N712" s="115"/>
      <c r="O712" s="115"/>
      <c r="P712" s="115"/>
    </row>
    <row r="713" spans="10:16" ht="12.5" x14ac:dyDescent="0.25">
      <c r="J713" s="115"/>
      <c r="K713" s="115"/>
      <c r="L713" s="115"/>
      <c r="M713" s="115"/>
      <c r="N713" s="115"/>
      <c r="O713" s="115"/>
      <c r="P713" s="115"/>
    </row>
    <row r="714" spans="10:16" ht="12.5" x14ac:dyDescent="0.25">
      <c r="J714" s="115"/>
      <c r="K714" s="115"/>
      <c r="L714" s="115"/>
      <c r="M714" s="115"/>
      <c r="N714" s="115"/>
      <c r="O714" s="115"/>
      <c r="P714" s="115"/>
    </row>
    <row r="715" spans="10:16" ht="12.5" x14ac:dyDescent="0.25">
      <c r="J715" s="115"/>
      <c r="K715" s="115"/>
      <c r="L715" s="115"/>
      <c r="M715" s="115"/>
      <c r="N715" s="115"/>
      <c r="O715" s="115"/>
      <c r="P715" s="115"/>
    </row>
    <row r="716" spans="10:16" ht="12.5" x14ac:dyDescent="0.25">
      <c r="J716" s="115"/>
      <c r="K716" s="115"/>
      <c r="L716" s="115"/>
      <c r="M716" s="115"/>
      <c r="N716" s="115"/>
      <c r="O716" s="115"/>
      <c r="P716" s="115"/>
    </row>
    <row r="717" spans="10:16" ht="12.5" x14ac:dyDescent="0.25">
      <c r="J717" s="115"/>
      <c r="K717" s="115"/>
      <c r="L717" s="115"/>
      <c r="M717" s="115"/>
      <c r="N717" s="115"/>
      <c r="O717" s="115"/>
      <c r="P717" s="115"/>
    </row>
    <row r="718" spans="10:16" ht="12.5" x14ac:dyDescent="0.25">
      <c r="J718" s="115"/>
      <c r="K718" s="115"/>
      <c r="L718" s="115"/>
      <c r="M718" s="115"/>
      <c r="N718" s="115"/>
      <c r="O718" s="115"/>
      <c r="P718" s="115"/>
    </row>
    <row r="719" spans="10:16" ht="12.5" x14ac:dyDescent="0.25">
      <c r="J719" s="115"/>
      <c r="K719" s="115"/>
      <c r="L719" s="115"/>
      <c r="M719" s="115"/>
      <c r="N719" s="115"/>
      <c r="O719" s="115"/>
      <c r="P719" s="115"/>
    </row>
    <row r="720" spans="10:16" ht="12.5" x14ac:dyDescent="0.25">
      <c r="J720" s="115"/>
      <c r="K720" s="115"/>
      <c r="L720" s="115"/>
      <c r="M720" s="115"/>
      <c r="N720" s="115"/>
      <c r="O720" s="115"/>
      <c r="P720" s="115"/>
    </row>
    <row r="721" spans="10:16" ht="12.5" x14ac:dyDescent="0.25">
      <c r="J721" s="115"/>
      <c r="K721" s="115"/>
      <c r="L721" s="115"/>
      <c r="M721" s="115"/>
      <c r="N721" s="115"/>
      <c r="O721" s="115"/>
      <c r="P721" s="115"/>
    </row>
    <row r="722" spans="10:16" ht="12.5" x14ac:dyDescent="0.25">
      <c r="J722" s="115"/>
      <c r="K722" s="115"/>
      <c r="L722" s="115"/>
      <c r="M722" s="115"/>
      <c r="N722" s="115"/>
      <c r="O722" s="115"/>
      <c r="P722" s="115"/>
    </row>
    <row r="723" spans="10:16" ht="12.5" x14ac:dyDescent="0.25">
      <c r="J723" s="115"/>
      <c r="K723" s="115"/>
      <c r="L723" s="115"/>
      <c r="M723" s="115"/>
      <c r="N723" s="115"/>
      <c r="O723" s="115"/>
      <c r="P723" s="115"/>
    </row>
    <row r="724" spans="10:16" ht="12.5" x14ac:dyDescent="0.25">
      <c r="J724" s="115"/>
      <c r="K724" s="115"/>
      <c r="L724" s="115"/>
      <c r="M724" s="115"/>
      <c r="N724" s="115"/>
      <c r="O724" s="115"/>
      <c r="P724" s="115"/>
    </row>
    <row r="725" spans="10:16" ht="12.5" x14ac:dyDescent="0.25">
      <c r="J725" s="115"/>
      <c r="K725" s="115"/>
      <c r="L725" s="115"/>
      <c r="M725" s="115"/>
      <c r="N725" s="115"/>
      <c r="O725" s="115"/>
      <c r="P725" s="115"/>
    </row>
    <row r="726" spans="10:16" ht="12.5" x14ac:dyDescent="0.25">
      <c r="J726" s="115"/>
      <c r="K726" s="115"/>
      <c r="L726" s="115"/>
      <c r="M726" s="115"/>
      <c r="N726" s="115"/>
      <c r="O726" s="115"/>
      <c r="P726" s="115"/>
    </row>
    <row r="727" spans="10:16" ht="12.5" x14ac:dyDescent="0.25">
      <c r="J727" s="115"/>
      <c r="K727" s="115"/>
      <c r="L727" s="115"/>
      <c r="M727" s="115"/>
      <c r="N727" s="115"/>
      <c r="O727" s="115"/>
      <c r="P727" s="115"/>
    </row>
    <row r="728" spans="10:16" ht="12.5" x14ac:dyDescent="0.25">
      <c r="J728" s="115"/>
      <c r="K728" s="115"/>
      <c r="L728" s="115"/>
      <c r="M728" s="115"/>
      <c r="N728" s="115"/>
      <c r="O728" s="115"/>
      <c r="P728" s="115"/>
    </row>
    <row r="729" spans="10:16" ht="12.5" x14ac:dyDescent="0.25">
      <c r="J729" s="115"/>
      <c r="K729" s="115"/>
      <c r="L729" s="115"/>
      <c r="M729" s="115"/>
      <c r="N729" s="115"/>
      <c r="O729" s="115"/>
      <c r="P729" s="115"/>
    </row>
    <row r="730" spans="10:16" ht="12.5" x14ac:dyDescent="0.25">
      <c r="J730" s="115"/>
      <c r="K730" s="115"/>
      <c r="L730" s="115"/>
      <c r="M730" s="115"/>
      <c r="N730" s="115"/>
      <c r="O730" s="115"/>
      <c r="P730" s="115"/>
    </row>
    <row r="731" spans="10:16" ht="12.5" x14ac:dyDescent="0.25">
      <c r="J731" s="115"/>
      <c r="K731" s="115"/>
      <c r="L731" s="115"/>
      <c r="M731" s="115"/>
      <c r="N731" s="115"/>
      <c r="O731" s="115"/>
      <c r="P731" s="115"/>
    </row>
    <row r="732" spans="10:16" ht="12.5" x14ac:dyDescent="0.25">
      <c r="J732" s="115"/>
      <c r="K732" s="115"/>
      <c r="L732" s="115"/>
      <c r="M732" s="115"/>
      <c r="N732" s="115"/>
      <c r="O732" s="115"/>
      <c r="P732" s="115"/>
    </row>
    <row r="733" spans="10:16" ht="12.5" x14ac:dyDescent="0.25">
      <c r="J733" s="115"/>
      <c r="K733" s="115"/>
      <c r="L733" s="115"/>
      <c r="M733" s="115"/>
      <c r="N733" s="115"/>
      <c r="O733" s="115"/>
      <c r="P733" s="115"/>
    </row>
    <row r="734" spans="10:16" ht="12.5" x14ac:dyDescent="0.25">
      <c r="J734" s="115"/>
      <c r="K734" s="115"/>
      <c r="L734" s="115"/>
      <c r="M734" s="115"/>
      <c r="N734" s="115"/>
      <c r="O734" s="115"/>
      <c r="P734" s="115"/>
    </row>
    <row r="735" spans="10:16" ht="12.5" x14ac:dyDescent="0.25">
      <c r="J735" s="115"/>
      <c r="K735" s="115"/>
      <c r="L735" s="115"/>
      <c r="M735" s="115"/>
      <c r="N735" s="115"/>
      <c r="O735" s="115"/>
      <c r="P735" s="115"/>
    </row>
    <row r="736" spans="10:16" ht="12.5" x14ac:dyDescent="0.25">
      <c r="J736" s="115"/>
      <c r="K736" s="115"/>
      <c r="L736" s="115"/>
      <c r="M736" s="115"/>
      <c r="N736" s="115"/>
      <c r="O736" s="115"/>
      <c r="P736" s="115"/>
    </row>
    <row r="737" spans="10:16" ht="12.5" x14ac:dyDescent="0.25">
      <c r="J737" s="115"/>
      <c r="K737" s="115"/>
      <c r="L737" s="115"/>
      <c r="M737" s="115"/>
      <c r="N737" s="115"/>
      <c r="O737" s="115"/>
      <c r="P737" s="115"/>
    </row>
    <row r="738" spans="10:16" ht="12.5" x14ac:dyDescent="0.25">
      <c r="J738" s="115"/>
      <c r="K738" s="115"/>
      <c r="L738" s="115"/>
      <c r="M738" s="115"/>
      <c r="N738" s="115"/>
      <c r="O738" s="115"/>
      <c r="P738" s="115"/>
    </row>
    <row r="739" spans="10:16" ht="12.5" x14ac:dyDescent="0.25">
      <c r="J739" s="115"/>
      <c r="K739" s="115"/>
      <c r="L739" s="115"/>
      <c r="M739" s="115"/>
      <c r="N739" s="115"/>
      <c r="O739" s="115"/>
      <c r="P739" s="115"/>
    </row>
    <row r="740" spans="10:16" ht="12.5" x14ac:dyDescent="0.25">
      <c r="J740" s="115"/>
      <c r="K740" s="115"/>
      <c r="L740" s="115"/>
      <c r="M740" s="115"/>
      <c r="N740" s="115"/>
      <c r="O740" s="115"/>
      <c r="P740" s="115"/>
    </row>
    <row r="741" spans="10:16" ht="12.5" x14ac:dyDescent="0.25">
      <c r="J741" s="115"/>
      <c r="K741" s="115"/>
      <c r="L741" s="115"/>
      <c r="M741" s="115"/>
      <c r="N741" s="115"/>
      <c r="O741" s="115"/>
      <c r="P741" s="115"/>
    </row>
    <row r="742" spans="10:16" ht="12.5" x14ac:dyDescent="0.25">
      <c r="J742" s="115"/>
      <c r="K742" s="115"/>
      <c r="L742" s="115"/>
      <c r="M742" s="115"/>
      <c r="N742" s="115"/>
      <c r="O742" s="115"/>
      <c r="P742" s="115"/>
    </row>
    <row r="743" spans="10:16" ht="12.5" x14ac:dyDescent="0.25">
      <c r="J743" s="115"/>
      <c r="K743" s="115"/>
      <c r="L743" s="115"/>
      <c r="M743" s="115"/>
      <c r="N743" s="115"/>
      <c r="O743" s="115"/>
      <c r="P743" s="115"/>
    </row>
    <row r="744" spans="10:16" ht="12.5" x14ac:dyDescent="0.25">
      <c r="J744" s="115"/>
      <c r="K744" s="115"/>
      <c r="L744" s="115"/>
      <c r="M744" s="115"/>
      <c r="N744" s="115"/>
      <c r="O744" s="115"/>
      <c r="P744" s="115"/>
    </row>
    <row r="745" spans="10:16" ht="12.5" x14ac:dyDescent="0.25">
      <c r="J745" s="115"/>
      <c r="K745" s="115"/>
      <c r="L745" s="115"/>
      <c r="M745" s="115"/>
      <c r="N745" s="115"/>
      <c r="O745" s="115"/>
      <c r="P745" s="115"/>
    </row>
    <row r="746" spans="10:16" ht="12.5" x14ac:dyDescent="0.25">
      <c r="J746" s="115"/>
      <c r="K746" s="115"/>
      <c r="L746" s="115"/>
      <c r="M746" s="115"/>
      <c r="N746" s="115"/>
      <c r="O746" s="115"/>
      <c r="P746" s="115"/>
    </row>
    <row r="747" spans="10:16" ht="12.5" x14ac:dyDescent="0.25">
      <c r="J747" s="115"/>
      <c r="K747" s="115"/>
      <c r="L747" s="115"/>
      <c r="M747" s="115"/>
      <c r="N747" s="115"/>
      <c r="O747" s="115"/>
      <c r="P747" s="115"/>
    </row>
    <row r="748" spans="10:16" ht="12.5" x14ac:dyDescent="0.25">
      <c r="J748" s="115"/>
      <c r="K748" s="115"/>
      <c r="L748" s="115"/>
      <c r="M748" s="115"/>
      <c r="N748" s="115"/>
      <c r="O748" s="115"/>
      <c r="P748" s="115"/>
    </row>
    <row r="749" spans="10:16" ht="12.5" x14ac:dyDescent="0.25">
      <c r="J749" s="115"/>
      <c r="K749" s="115"/>
      <c r="L749" s="115"/>
      <c r="M749" s="115"/>
      <c r="N749" s="115"/>
      <c r="O749" s="115"/>
      <c r="P749" s="115"/>
    </row>
    <row r="750" spans="10:16" ht="12.5" x14ac:dyDescent="0.25">
      <c r="J750" s="115"/>
      <c r="K750" s="115"/>
      <c r="L750" s="115"/>
      <c r="M750" s="115"/>
      <c r="N750" s="115"/>
      <c r="O750" s="115"/>
      <c r="P750" s="115"/>
    </row>
    <row r="751" spans="10:16" ht="12.5" x14ac:dyDescent="0.25">
      <c r="J751" s="115"/>
      <c r="K751" s="115"/>
      <c r="L751" s="115"/>
      <c r="M751" s="115"/>
      <c r="N751" s="115"/>
      <c r="O751" s="115"/>
      <c r="P751" s="115"/>
    </row>
    <row r="752" spans="10:16" ht="12.5" x14ac:dyDescent="0.25">
      <c r="J752" s="115"/>
      <c r="K752" s="115"/>
      <c r="L752" s="115"/>
      <c r="M752" s="115"/>
      <c r="N752" s="115"/>
      <c r="O752" s="115"/>
      <c r="P752" s="115"/>
    </row>
    <row r="753" spans="10:16" ht="12.5" x14ac:dyDescent="0.25">
      <c r="J753" s="115"/>
      <c r="K753" s="115"/>
      <c r="L753" s="115"/>
      <c r="M753" s="115"/>
      <c r="N753" s="115"/>
      <c r="O753" s="115"/>
      <c r="P753" s="115"/>
    </row>
    <row r="754" spans="10:16" ht="12.5" x14ac:dyDescent="0.25">
      <c r="J754" s="115"/>
      <c r="K754" s="115"/>
      <c r="L754" s="115"/>
      <c r="M754" s="115"/>
      <c r="N754" s="115"/>
      <c r="O754" s="115"/>
      <c r="P754" s="115"/>
    </row>
    <row r="755" spans="10:16" ht="12.5" x14ac:dyDescent="0.25">
      <c r="J755" s="115"/>
      <c r="K755" s="115"/>
      <c r="L755" s="115"/>
      <c r="M755" s="115"/>
      <c r="N755" s="115"/>
      <c r="O755" s="115"/>
      <c r="P755" s="115"/>
    </row>
    <row r="756" spans="10:16" ht="12.5" x14ac:dyDescent="0.25">
      <c r="J756" s="115"/>
      <c r="K756" s="115"/>
      <c r="L756" s="115"/>
      <c r="M756" s="115"/>
      <c r="N756" s="115"/>
      <c r="O756" s="115"/>
      <c r="P756" s="115"/>
    </row>
    <row r="757" spans="10:16" ht="12.5" x14ac:dyDescent="0.25">
      <c r="J757" s="115"/>
      <c r="K757" s="115"/>
      <c r="L757" s="115"/>
      <c r="M757" s="115"/>
      <c r="N757" s="115"/>
      <c r="O757" s="115"/>
      <c r="P757" s="115"/>
    </row>
    <row r="758" spans="10:16" ht="12.5" x14ac:dyDescent="0.25">
      <c r="J758" s="115"/>
      <c r="K758" s="115"/>
      <c r="L758" s="115"/>
      <c r="M758" s="115"/>
      <c r="N758" s="115"/>
      <c r="O758" s="115"/>
      <c r="P758" s="115"/>
    </row>
    <row r="759" spans="10:16" ht="12.5" x14ac:dyDescent="0.25">
      <c r="J759" s="115"/>
      <c r="K759" s="115"/>
      <c r="L759" s="115"/>
      <c r="M759" s="115"/>
      <c r="N759" s="115"/>
      <c r="O759" s="115"/>
      <c r="P759" s="115"/>
    </row>
    <row r="760" spans="10:16" ht="12.5" x14ac:dyDescent="0.25">
      <c r="J760" s="115"/>
      <c r="K760" s="115"/>
      <c r="L760" s="115"/>
      <c r="M760" s="115"/>
      <c r="N760" s="115"/>
      <c r="O760" s="115"/>
      <c r="P760" s="115"/>
    </row>
    <row r="761" spans="10:16" ht="12.5" x14ac:dyDescent="0.25">
      <c r="J761" s="115"/>
      <c r="K761" s="115"/>
      <c r="L761" s="115"/>
      <c r="M761" s="115"/>
      <c r="N761" s="115"/>
      <c r="O761" s="115"/>
      <c r="P761" s="115"/>
    </row>
    <row r="762" spans="10:16" ht="12.5" x14ac:dyDescent="0.25">
      <c r="J762" s="115"/>
      <c r="K762" s="115"/>
      <c r="L762" s="115"/>
      <c r="M762" s="115"/>
      <c r="N762" s="115"/>
      <c r="O762" s="115"/>
      <c r="P762" s="115"/>
    </row>
    <row r="763" spans="10:16" ht="12.5" x14ac:dyDescent="0.25">
      <c r="J763" s="115"/>
      <c r="K763" s="115"/>
      <c r="L763" s="115"/>
      <c r="M763" s="115"/>
      <c r="N763" s="115"/>
      <c r="O763" s="115"/>
      <c r="P763" s="115"/>
    </row>
    <row r="764" spans="10:16" ht="12.5" x14ac:dyDescent="0.25">
      <c r="J764" s="115"/>
      <c r="K764" s="115"/>
      <c r="L764" s="115"/>
      <c r="M764" s="115"/>
      <c r="N764" s="115"/>
      <c r="O764" s="115"/>
      <c r="P764" s="115"/>
    </row>
    <row r="765" spans="10:16" ht="12.5" x14ac:dyDescent="0.25">
      <c r="J765" s="115"/>
      <c r="K765" s="115"/>
      <c r="L765" s="115"/>
      <c r="M765" s="115"/>
      <c r="N765" s="115"/>
      <c r="O765" s="115"/>
      <c r="P765" s="115"/>
    </row>
    <row r="766" spans="10:16" ht="12.5" x14ac:dyDescent="0.25">
      <c r="J766" s="115"/>
      <c r="K766" s="115"/>
      <c r="L766" s="115"/>
      <c r="M766" s="115"/>
      <c r="N766" s="115"/>
      <c r="O766" s="115"/>
      <c r="P766" s="115"/>
    </row>
    <row r="767" spans="10:16" ht="12.5" x14ac:dyDescent="0.25">
      <c r="J767" s="115"/>
      <c r="K767" s="115"/>
      <c r="L767" s="115"/>
      <c r="M767" s="115"/>
      <c r="N767" s="115"/>
      <c r="O767" s="115"/>
      <c r="P767" s="115"/>
    </row>
    <row r="768" spans="10:16" ht="12.5" x14ac:dyDescent="0.25">
      <c r="J768" s="115"/>
      <c r="K768" s="115"/>
      <c r="L768" s="115"/>
      <c r="M768" s="115"/>
      <c r="N768" s="115"/>
      <c r="O768" s="115"/>
      <c r="P768" s="115"/>
    </row>
    <row r="769" spans="10:16" ht="12.5" x14ac:dyDescent="0.25">
      <c r="J769" s="115"/>
      <c r="K769" s="115"/>
      <c r="L769" s="115"/>
      <c r="M769" s="115"/>
      <c r="N769" s="115"/>
      <c r="O769" s="115"/>
      <c r="P769" s="115"/>
    </row>
    <row r="770" spans="10:16" ht="12.5" x14ac:dyDescent="0.25">
      <c r="J770" s="115"/>
      <c r="K770" s="115"/>
      <c r="L770" s="115"/>
      <c r="M770" s="115"/>
      <c r="N770" s="115"/>
      <c r="O770" s="115"/>
      <c r="P770" s="115"/>
    </row>
    <row r="771" spans="10:16" ht="12.5" x14ac:dyDescent="0.25">
      <c r="J771" s="115"/>
      <c r="K771" s="115"/>
      <c r="L771" s="115"/>
      <c r="M771" s="115"/>
      <c r="N771" s="115"/>
      <c r="O771" s="115"/>
      <c r="P771" s="115"/>
    </row>
    <row r="772" spans="10:16" ht="12.5" x14ac:dyDescent="0.25">
      <c r="J772" s="115"/>
      <c r="K772" s="115"/>
      <c r="L772" s="115"/>
      <c r="M772" s="115"/>
      <c r="N772" s="115"/>
      <c r="O772" s="115"/>
      <c r="P772" s="115"/>
    </row>
    <row r="773" spans="10:16" ht="12.5" x14ac:dyDescent="0.25">
      <c r="J773" s="115"/>
      <c r="K773" s="115"/>
      <c r="L773" s="115"/>
      <c r="M773" s="115"/>
      <c r="N773" s="115"/>
      <c r="O773" s="115"/>
      <c r="P773" s="115"/>
    </row>
    <row r="774" spans="10:16" ht="12.5" x14ac:dyDescent="0.25">
      <c r="J774" s="115"/>
      <c r="K774" s="115"/>
      <c r="L774" s="115"/>
      <c r="M774" s="115"/>
      <c r="N774" s="115"/>
      <c r="O774" s="115"/>
      <c r="P774" s="115"/>
    </row>
    <row r="775" spans="10:16" ht="12.5" x14ac:dyDescent="0.25">
      <c r="J775" s="115"/>
      <c r="K775" s="115"/>
      <c r="L775" s="115"/>
      <c r="M775" s="115"/>
      <c r="N775" s="115"/>
      <c r="O775" s="115"/>
      <c r="P775" s="115"/>
    </row>
    <row r="776" spans="10:16" ht="12.5" x14ac:dyDescent="0.25">
      <c r="J776" s="115"/>
      <c r="K776" s="115"/>
      <c r="L776" s="115"/>
      <c r="M776" s="115"/>
      <c r="N776" s="115"/>
      <c r="O776" s="115"/>
      <c r="P776" s="115"/>
    </row>
    <row r="777" spans="10:16" ht="12.5" x14ac:dyDescent="0.25">
      <c r="J777" s="115"/>
      <c r="K777" s="115"/>
      <c r="L777" s="115"/>
      <c r="M777" s="115"/>
      <c r="N777" s="115"/>
      <c r="O777" s="115"/>
      <c r="P777" s="115"/>
    </row>
    <row r="778" spans="10:16" ht="12.5" x14ac:dyDescent="0.25">
      <c r="J778" s="115"/>
      <c r="K778" s="115"/>
      <c r="L778" s="115"/>
      <c r="M778" s="115"/>
      <c r="N778" s="115"/>
      <c r="O778" s="115"/>
      <c r="P778" s="115"/>
    </row>
    <row r="779" spans="10:16" ht="12.5" x14ac:dyDescent="0.25">
      <c r="J779" s="115"/>
      <c r="K779" s="115"/>
      <c r="L779" s="115"/>
      <c r="M779" s="115"/>
      <c r="N779" s="115"/>
      <c r="O779" s="115"/>
      <c r="P779" s="115"/>
    </row>
    <row r="780" spans="10:16" ht="12.5" x14ac:dyDescent="0.25">
      <c r="J780" s="115"/>
      <c r="K780" s="115"/>
      <c r="L780" s="115"/>
      <c r="M780" s="115"/>
      <c r="N780" s="115"/>
      <c r="O780" s="115"/>
      <c r="P780" s="115"/>
    </row>
    <row r="781" spans="10:16" ht="12.5" x14ac:dyDescent="0.25">
      <c r="J781" s="115"/>
      <c r="K781" s="115"/>
      <c r="L781" s="115"/>
      <c r="M781" s="115"/>
      <c r="N781" s="115"/>
      <c r="O781" s="115"/>
      <c r="P781" s="115"/>
    </row>
    <row r="782" spans="10:16" ht="12.5" x14ac:dyDescent="0.25">
      <c r="J782" s="115"/>
      <c r="K782" s="115"/>
      <c r="L782" s="115"/>
      <c r="M782" s="115"/>
      <c r="N782" s="115"/>
      <c r="O782" s="115"/>
      <c r="P782" s="115"/>
    </row>
    <row r="783" spans="10:16" ht="12.5" x14ac:dyDescent="0.25">
      <c r="J783" s="115"/>
      <c r="K783" s="115"/>
      <c r="L783" s="115"/>
      <c r="M783" s="115"/>
      <c r="N783" s="115"/>
      <c r="O783" s="115"/>
      <c r="P783" s="115"/>
    </row>
    <row r="784" spans="10:16" ht="12.5" x14ac:dyDescent="0.25">
      <c r="J784" s="115"/>
      <c r="K784" s="115"/>
      <c r="L784" s="115"/>
      <c r="M784" s="115"/>
      <c r="N784" s="115"/>
      <c r="O784" s="115"/>
      <c r="P784" s="115"/>
    </row>
    <row r="785" spans="10:16" ht="12.5" x14ac:dyDescent="0.25">
      <c r="J785" s="115"/>
      <c r="K785" s="115"/>
      <c r="L785" s="115"/>
      <c r="M785" s="115"/>
      <c r="N785" s="115"/>
      <c r="O785" s="115"/>
      <c r="P785" s="115"/>
    </row>
    <row r="786" spans="10:16" ht="12.5" x14ac:dyDescent="0.25">
      <c r="J786" s="115"/>
      <c r="K786" s="115"/>
      <c r="L786" s="115"/>
      <c r="M786" s="115"/>
      <c r="N786" s="115"/>
      <c r="O786" s="115"/>
      <c r="P786" s="115"/>
    </row>
    <row r="787" spans="10:16" ht="12.5" x14ac:dyDescent="0.25">
      <c r="J787" s="115"/>
      <c r="K787" s="115"/>
      <c r="L787" s="115"/>
      <c r="M787" s="115"/>
      <c r="N787" s="115"/>
      <c r="O787" s="115"/>
      <c r="P787" s="115"/>
    </row>
    <row r="788" spans="10:16" ht="12.5" x14ac:dyDescent="0.25">
      <c r="J788" s="115"/>
      <c r="K788" s="115"/>
      <c r="L788" s="115"/>
      <c r="M788" s="115"/>
      <c r="N788" s="115"/>
      <c r="O788" s="115"/>
      <c r="P788" s="115"/>
    </row>
    <row r="789" spans="10:16" ht="12.5" x14ac:dyDescent="0.25">
      <c r="J789" s="115"/>
      <c r="K789" s="115"/>
      <c r="L789" s="115"/>
      <c r="M789" s="115"/>
      <c r="N789" s="115"/>
      <c r="O789" s="115"/>
      <c r="P789" s="115"/>
    </row>
    <row r="790" spans="10:16" ht="12.5" x14ac:dyDescent="0.25">
      <c r="J790" s="115"/>
      <c r="K790" s="115"/>
      <c r="L790" s="115"/>
      <c r="M790" s="115"/>
      <c r="N790" s="115"/>
      <c r="O790" s="115"/>
      <c r="P790" s="115"/>
    </row>
    <row r="791" spans="10:16" ht="12.5" x14ac:dyDescent="0.25">
      <c r="J791" s="115"/>
      <c r="K791" s="115"/>
      <c r="L791" s="115"/>
      <c r="M791" s="115"/>
      <c r="N791" s="115"/>
      <c r="O791" s="115"/>
      <c r="P791" s="115"/>
    </row>
    <row r="792" spans="10:16" ht="12.5" x14ac:dyDescent="0.25">
      <c r="J792" s="115"/>
      <c r="K792" s="115"/>
      <c r="L792" s="115"/>
      <c r="M792" s="115"/>
      <c r="N792" s="115"/>
      <c r="O792" s="115"/>
      <c r="P792" s="115"/>
    </row>
    <row r="793" spans="10:16" ht="12.5" x14ac:dyDescent="0.25">
      <c r="J793" s="115"/>
      <c r="K793" s="115"/>
      <c r="L793" s="115"/>
      <c r="M793" s="115"/>
      <c r="N793" s="115"/>
      <c r="O793" s="115"/>
      <c r="P793" s="115"/>
    </row>
    <row r="794" spans="10:16" ht="12.5" x14ac:dyDescent="0.25">
      <c r="J794" s="115"/>
      <c r="K794" s="115"/>
      <c r="L794" s="115"/>
      <c r="M794" s="115"/>
      <c r="N794" s="115"/>
      <c r="O794" s="115"/>
      <c r="P794" s="115"/>
    </row>
    <row r="795" spans="10:16" ht="12.5" x14ac:dyDescent="0.25">
      <c r="J795" s="115"/>
      <c r="K795" s="115"/>
      <c r="L795" s="115"/>
      <c r="M795" s="115"/>
      <c r="N795" s="115"/>
      <c r="O795" s="115"/>
      <c r="P795" s="115"/>
    </row>
    <row r="796" spans="10:16" ht="12.5" x14ac:dyDescent="0.25">
      <c r="J796" s="115"/>
      <c r="K796" s="115"/>
      <c r="L796" s="115"/>
      <c r="M796" s="115"/>
      <c r="N796" s="115"/>
      <c r="O796" s="115"/>
      <c r="P796" s="115"/>
    </row>
    <row r="797" spans="10:16" ht="12.5" x14ac:dyDescent="0.25">
      <c r="J797" s="115"/>
      <c r="K797" s="115"/>
      <c r="L797" s="115"/>
      <c r="M797" s="115"/>
      <c r="N797" s="115"/>
      <c r="O797" s="115"/>
      <c r="P797" s="115"/>
    </row>
    <row r="798" spans="10:16" ht="12.5" x14ac:dyDescent="0.25">
      <c r="J798" s="115"/>
      <c r="K798" s="115"/>
      <c r="L798" s="115"/>
      <c r="M798" s="115"/>
      <c r="N798" s="115"/>
      <c r="O798" s="115"/>
      <c r="P798" s="115"/>
    </row>
    <row r="799" spans="10:16" ht="12.5" x14ac:dyDescent="0.25">
      <c r="J799" s="115"/>
      <c r="K799" s="115"/>
      <c r="L799" s="115"/>
      <c r="M799" s="115"/>
      <c r="N799" s="115"/>
      <c r="O799" s="115"/>
      <c r="P799" s="115"/>
    </row>
    <row r="800" spans="10:16" ht="12.5" x14ac:dyDescent="0.25">
      <c r="J800" s="115"/>
      <c r="K800" s="115"/>
      <c r="L800" s="115"/>
      <c r="M800" s="115"/>
      <c r="N800" s="115"/>
      <c r="O800" s="115"/>
      <c r="P800" s="115"/>
    </row>
    <row r="801" spans="10:16" ht="12.5" x14ac:dyDescent="0.25">
      <c r="J801" s="115"/>
      <c r="K801" s="115"/>
      <c r="L801" s="115"/>
      <c r="M801" s="115"/>
      <c r="N801" s="115"/>
      <c r="O801" s="115"/>
      <c r="P801" s="115"/>
    </row>
    <row r="802" spans="10:16" ht="12.5" x14ac:dyDescent="0.25">
      <c r="J802" s="115"/>
      <c r="K802" s="115"/>
      <c r="L802" s="115"/>
      <c r="M802" s="115"/>
      <c r="N802" s="115"/>
      <c r="O802" s="115"/>
      <c r="P802" s="115"/>
    </row>
    <row r="803" spans="10:16" ht="12.5" x14ac:dyDescent="0.25">
      <c r="J803" s="115"/>
      <c r="K803" s="115"/>
      <c r="L803" s="115"/>
      <c r="M803" s="115"/>
      <c r="N803" s="115"/>
      <c r="O803" s="115"/>
      <c r="P803" s="115"/>
    </row>
    <row r="804" spans="10:16" ht="12.5" x14ac:dyDescent="0.25">
      <c r="J804" s="115"/>
      <c r="K804" s="115"/>
      <c r="L804" s="115"/>
      <c r="M804" s="115"/>
      <c r="N804" s="115"/>
      <c r="O804" s="115"/>
      <c r="P804" s="115"/>
    </row>
    <row r="805" spans="10:16" ht="12.5" x14ac:dyDescent="0.25">
      <c r="J805" s="115"/>
      <c r="K805" s="115"/>
      <c r="L805" s="115"/>
      <c r="M805" s="115"/>
      <c r="N805" s="115"/>
      <c r="O805" s="115"/>
      <c r="P805" s="115"/>
    </row>
    <row r="806" spans="10:16" ht="12.5" x14ac:dyDescent="0.25">
      <c r="J806" s="115"/>
      <c r="K806" s="115"/>
      <c r="L806" s="115"/>
      <c r="M806" s="115"/>
      <c r="N806" s="115"/>
      <c r="O806" s="115"/>
      <c r="P806" s="115"/>
    </row>
    <row r="807" spans="10:16" ht="12.5" x14ac:dyDescent="0.25">
      <c r="J807" s="115"/>
      <c r="K807" s="115"/>
      <c r="L807" s="115"/>
      <c r="M807" s="115"/>
      <c r="N807" s="115"/>
      <c r="O807" s="115"/>
      <c r="P807" s="115"/>
    </row>
    <row r="808" spans="10:16" ht="12.5" x14ac:dyDescent="0.25">
      <c r="J808" s="115"/>
      <c r="K808" s="115"/>
      <c r="L808" s="115"/>
      <c r="M808" s="115"/>
      <c r="N808" s="115"/>
      <c r="O808" s="115"/>
      <c r="P808" s="115"/>
    </row>
    <row r="809" spans="10:16" ht="12.5" x14ac:dyDescent="0.25">
      <c r="J809" s="115"/>
      <c r="K809" s="115"/>
      <c r="L809" s="115"/>
      <c r="M809" s="115"/>
      <c r="N809" s="115"/>
      <c r="O809" s="115"/>
      <c r="P809" s="115"/>
    </row>
    <row r="810" spans="10:16" ht="12.5" x14ac:dyDescent="0.25">
      <c r="J810" s="115"/>
      <c r="K810" s="115"/>
      <c r="L810" s="115"/>
      <c r="M810" s="115"/>
      <c r="N810" s="115"/>
      <c r="O810" s="115"/>
      <c r="P810" s="115"/>
    </row>
    <row r="811" spans="10:16" ht="12.5" x14ac:dyDescent="0.25">
      <c r="J811" s="115"/>
      <c r="K811" s="115"/>
      <c r="L811" s="115"/>
      <c r="M811" s="115"/>
      <c r="N811" s="115"/>
      <c r="O811" s="115"/>
      <c r="P811" s="115"/>
    </row>
    <row r="812" spans="10:16" ht="12.5" x14ac:dyDescent="0.25">
      <c r="J812" s="115"/>
      <c r="K812" s="115"/>
      <c r="L812" s="115"/>
      <c r="M812" s="115"/>
      <c r="N812" s="115"/>
      <c r="O812" s="115"/>
      <c r="P812" s="115"/>
    </row>
    <row r="813" spans="10:16" ht="12.5" x14ac:dyDescent="0.25">
      <c r="J813" s="115"/>
      <c r="K813" s="115"/>
      <c r="L813" s="115"/>
      <c r="M813" s="115"/>
      <c r="N813" s="115"/>
      <c r="O813" s="115"/>
      <c r="P813" s="115"/>
    </row>
    <row r="814" spans="10:16" ht="12.5" x14ac:dyDescent="0.25">
      <c r="J814" s="115"/>
      <c r="K814" s="115"/>
      <c r="L814" s="115"/>
      <c r="M814" s="115"/>
      <c r="N814" s="115"/>
      <c r="O814" s="115"/>
      <c r="P814" s="115"/>
    </row>
    <row r="815" spans="10:16" ht="12.5" x14ac:dyDescent="0.25">
      <c r="J815" s="115"/>
      <c r="K815" s="115"/>
      <c r="L815" s="115"/>
      <c r="M815" s="115"/>
      <c r="N815" s="115"/>
      <c r="O815" s="115"/>
      <c r="P815" s="115"/>
    </row>
    <row r="816" spans="10:16" ht="12.5" x14ac:dyDescent="0.25">
      <c r="J816" s="115"/>
      <c r="K816" s="115"/>
      <c r="L816" s="115"/>
      <c r="M816" s="115"/>
      <c r="N816" s="115"/>
      <c r="O816" s="115"/>
      <c r="P816" s="115"/>
    </row>
    <row r="817" spans="10:16" ht="12.5" x14ac:dyDescent="0.25">
      <c r="J817" s="115"/>
      <c r="K817" s="115"/>
      <c r="L817" s="115"/>
      <c r="M817" s="115"/>
      <c r="N817" s="115"/>
      <c r="O817" s="115"/>
      <c r="P817" s="115"/>
    </row>
    <row r="818" spans="10:16" ht="12.5" x14ac:dyDescent="0.25">
      <c r="J818" s="115"/>
      <c r="K818" s="115"/>
      <c r="L818" s="115"/>
      <c r="M818" s="115"/>
      <c r="N818" s="115"/>
      <c r="O818" s="115"/>
      <c r="P818" s="115"/>
    </row>
    <row r="819" spans="10:16" ht="12.5" x14ac:dyDescent="0.25">
      <c r="J819" s="115"/>
      <c r="K819" s="115"/>
      <c r="L819" s="115"/>
      <c r="M819" s="115"/>
      <c r="N819" s="115"/>
      <c r="O819" s="115"/>
      <c r="P819" s="115"/>
    </row>
    <row r="820" spans="10:16" ht="12.5" x14ac:dyDescent="0.25">
      <c r="J820" s="115"/>
      <c r="K820" s="115"/>
      <c r="L820" s="115"/>
      <c r="M820" s="115"/>
      <c r="N820" s="115"/>
      <c r="O820" s="115"/>
      <c r="P820" s="115"/>
    </row>
    <row r="821" spans="10:16" ht="12.5" x14ac:dyDescent="0.25">
      <c r="J821" s="115"/>
      <c r="K821" s="115"/>
      <c r="L821" s="115"/>
      <c r="M821" s="115"/>
      <c r="N821" s="115"/>
      <c r="O821" s="115"/>
      <c r="P821" s="115"/>
    </row>
    <row r="822" spans="10:16" ht="12.5" x14ac:dyDescent="0.25">
      <c r="J822" s="115"/>
      <c r="K822" s="115"/>
      <c r="L822" s="115"/>
      <c r="M822" s="115"/>
      <c r="N822" s="115"/>
      <c r="O822" s="115"/>
      <c r="P822" s="115"/>
    </row>
    <row r="823" spans="10:16" ht="12.5" x14ac:dyDescent="0.25">
      <c r="J823" s="115"/>
      <c r="K823" s="115"/>
      <c r="L823" s="115"/>
      <c r="M823" s="115"/>
      <c r="N823" s="115"/>
      <c r="O823" s="115"/>
      <c r="P823" s="115"/>
    </row>
    <row r="824" spans="10:16" ht="12.5" x14ac:dyDescent="0.25">
      <c r="J824" s="115"/>
      <c r="K824" s="115"/>
      <c r="L824" s="115"/>
      <c r="M824" s="115"/>
      <c r="N824" s="115"/>
      <c r="O824" s="115"/>
      <c r="P824" s="115"/>
    </row>
    <row r="825" spans="10:16" ht="12.5" x14ac:dyDescent="0.25">
      <c r="J825" s="115"/>
      <c r="K825" s="115"/>
      <c r="L825" s="115"/>
      <c r="M825" s="115"/>
      <c r="N825" s="115"/>
      <c r="O825" s="115"/>
      <c r="P825" s="115"/>
    </row>
    <row r="826" spans="10:16" ht="12.5" x14ac:dyDescent="0.25">
      <c r="J826" s="115"/>
      <c r="K826" s="115"/>
      <c r="L826" s="115"/>
      <c r="M826" s="115"/>
      <c r="N826" s="115"/>
      <c r="O826" s="115"/>
      <c r="P826" s="115"/>
    </row>
    <row r="827" spans="10:16" ht="12.5" x14ac:dyDescent="0.25">
      <c r="J827" s="115"/>
      <c r="K827" s="115"/>
      <c r="L827" s="115"/>
      <c r="M827" s="115"/>
      <c r="N827" s="115"/>
      <c r="O827" s="115"/>
      <c r="P827" s="115"/>
    </row>
    <row r="828" spans="10:16" ht="12.5" x14ac:dyDescent="0.25">
      <c r="J828" s="115"/>
      <c r="K828" s="115"/>
      <c r="L828" s="115"/>
      <c r="M828" s="115"/>
      <c r="N828" s="115"/>
      <c r="O828" s="115"/>
      <c r="P828" s="115"/>
    </row>
    <row r="829" spans="10:16" ht="12.5" x14ac:dyDescent="0.25">
      <c r="J829" s="115"/>
      <c r="K829" s="115"/>
      <c r="L829" s="115"/>
      <c r="M829" s="115"/>
      <c r="N829" s="115"/>
      <c r="O829" s="115"/>
      <c r="P829" s="115"/>
    </row>
    <row r="830" spans="10:16" ht="12.5" x14ac:dyDescent="0.25">
      <c r="J830" s="115"/>
      <c r="K830" s="115"/>
      <c r="L830" s="115"/>
      <c r="M830" s="115"/>
      <c r="N830" s="115"/>
      <c r="O830" s="115"/>
      <c r="P830" s="115"/>
    </row>
    <row r="831" spans="10:16" ht="12.5" x14ac:dyDescent="0.25">
      <c r="J831" s="115"/>
      <c r="K831" s="115"/>
      <c r="L831" s="115"/>
      <c r="M831" s="115"/>
      <c r="N831" s="115"/>
      <c r="O831" s="115"/>
      <c r="P831" s="115"/>
    </row>
    <row r="832" spans="10:16" ht="12.5" x14ac:dyDescent="0.25">
      <c r="J832" s="115"/>
      <c r="K832" s="115"/>
      <c r="L832" s="115"/>
      <c r="M832" s="115"/>
      <c r="N832" s="115"/>
      <c r="O832" s="115"/>
      <c r="P832" s="115"/>
    </row>
    <row r="833" spans="10:16" ht="12.5" x14ac:dyDescent="0.25">
      <c r="J833" s="115"/>
      <c r="K833" s="115"/>
      <c r="L833" s="115"/>
      <c r="M833" s="115"/>
      <c r="N833" s="115"/>
      <c r="O833" s="115"/>
      <c r="P833" s="115"/>
    </row>
    <row r="834" spans="10:16" ht="12.5" x14ac:dyDescent="0.25">
      <c r="J834" s="115"/>
      <c r="K834" s="115"/>
      <c r="L834" s="115"/>
      <c r="M834" s="115"/>
      <c r="N834" s="115"/>
      <c r="O834" s="115"/>
      <c r="P834" s="115"/>
    </row>
    <row r="835" spans="10:16" ht="12.5" x14ac:dyDescent="0.25">
      <c r="J835" s="115"/>
      <c r="K835" s="115"/>
      <c r="L835" s="115"/>
      <c r="M835" s="115"/>
      <c r="N835" s="115"/>
      <c r="O835" s="115"/>
      <c r="P835" s="115"/>
    </row>
    <row r="836" spans="10:16" ht="12.5" x14ac:dyDescent="0.25">
      <c r="J836" s="115"/>
      <c r="K836" s="115"/>
      <c r="L836" s="115"/>
      <c r="M836" s="115"/>
      <c r="N836" s="115"/>
      <c r="O836" s="115"/>
      <c r="P836" s="115"/>
    </row>
    <row r="837" spans="10:16" ht="12.5" x14ac:dyDescent="0.25">
      <c r="J837" s="115"/>
      <c r="K837" s="115"/>
      <c r="L837" s="115"/>
      <c r="M837" s="115"/>
      <c r="N837" s="115"/>
      <c r="O837" s="115"/>
      <c r="P837" s="115"/>
    </row>
    <row r="838" spans="10:16" ht="12.5" x14ac:dyDescent="0.25">
      <c r="J838" s="115"/>
      <c r="K838" s="115"/>
      <c r="L838" s="115"/>
      <c r="M838" s="115"/>
      <c r="N838" s="115"/>
      <c r="O838" s="115"/>
      <c r="P838" s="115"/>
    </row>
    <row r="839" spans="10:16" ht="12.5" x14ac:dyDescent="0.25">
      <c r="J839" s="115"/>
      <c r="K839" s="115"/>
      <c r="L839" s="115"/>
      <c r="M839" s="115"/>
      <c r="N839" s="115"/>
      <c r="O839" s="115"/>
      <c r="P839" s="115"/>
    </row>
    <row r="840" spans="10:16" ht="12.5" x14ac:dyDescent="0.25">
      <c r="J840" s="115"/>
      <c r="K840" s="115"/>
      <c r="L840" s="115"/>
      <c r="M840" s="115"/>
      <c r="N840" s="115"/>
      <c r="O840" s="115"/>
      <c r="P840" s="115"/>
    </row>
    <row r="841" spans="10:16" ht="12.5" x14ac:dyDescent="0.25">
      <c r="J841" s="115"/>
      <c r="K841" s="115"/>
      <c r="L841" s="115"/>
      <c r="M841" s="115"/>
      <c r="N841" s="115"/>
      <c r="O841" s="115"/>
      <c r="P841" s="115"/>
    </row>
    <row r="842" spans="10:16" ht="12.5" x14ac:dyDescent="0.25">
      <c r="J842" s="115"/>
      <c r="K842" s="115"/>
      <c r="L842" s="115"/>
      <c r="M842" s="115"/>
      <c r="N842" s="115"/>
      <c r="O842" s="115"/>
      <c r="P842" s="115"/>
    </row>
    <row r="843" spans="10:16" ht="12.5" x14ac:dyDescent="0.25">
      <c r="J843" s="115"/>
      <c r="K843" s="115"/>
      <c r="L843" s="115"/>
      <c r="M843" s="115"/>
      <c r="N843" s="115"/>
      <c r="O843" s="115"/>
      <c r="P843" s="115"/>
    </row>
    <row r="844" spans="10:16" ht="12.5" x14ac:dyDescent="0.25">
      <c r="J844" s="115"/>
      <c r="K844" s="115"/>
      <c r="L844" s="115"/>
      <c r="M844" s="115"/>
      <c r="N844" s="115"/>
      <c r="O844" s="115"/>
      <c r="P844" s="115"/>
    </row>
    <row r="845" spans="10:16" ht="12.5" x14ac:dyDescent="0.25">
      <c r="J845" s="115"/>
      <c r="K845" s="115"/>
      <c r="L845" s="115"/>
      <c r="M845" s="115"/>
      <c r="N845" s="115"/>
      <c r="O845" s="115"/>
      <c r="P845" s="115"/>
    </row>
    <row r="846" spans="10:16" ht="12.5" x14ac:dyDescent="0.25">
      <c r="J846" s="115"/>
      <c r="K846" s="115"/>
      <c r="L846" s="115"/>
      <c r="M846" s="115"/>
      <c r="N846" s="115"/>
      <c r="O846" s="115"/>
      <c r="P846" s="115"/>
    </row>
    <row r="847" spans="10:16" ht="12.5" x14ac:dyDescent="0.25">
      <c r="J847" s="115"/>
      <c r="K847" s="115"/>
      <c r="L847" s="115"/>
      <c r="M847" s="115"/>
      <c r="N847" s="115"/>
      <c r="O847" s="115"/>
      <c r="P847" s="115"/>
    </row>
    <row r="848" spans="10:16" ht="12.5" x14ac:dyDescent="0.25">
      <c r="J848" s="115"/>
      <c r="K848" s="115"/>
      <c r="L848" s="115"/>
      <c r="M848" s="115"/>
      <c r="N848" s="115"/>
      <c r="O848" s="115"/>
      <c r="P848" s="115"/>
    </row>
    <row r="849" spans="10:16" ht="12.5" x14ac:dyDescent="0.25">
      <c r="J849" s="115"/>
      <c r="K849" s="115"/>
      <c r="L849" s="115"/>
      <c r="M849" s="115"/>
      <c r="N849" s="115"/>
      <c r="O849" s="115"/>
      <c r="P849" s="115"/>
    </row>
    <row r="850" spans="10:16" ht="12.5" x14ac:dyDescent="0.25">
      <c r="J850" s="115"/>
      <c r="K850" s="115"/>
      <c r="L850" s="115"/>
      <c r="M850" s="115"/>
      <c r="N850" s="115"/>
      <c r="O850" s="115"/>
      <c r="P850" s="115"/>
    </row>
    <row r="851" spans="10:16" ht="12.5" x14ac:dyDescent="0.25">
      <c r="J851" s="115"/>
      <c r="K851" s="115"/>
      <c r="L851" s="115"/>
      <c r="M851" s="115"/>
      <c r="N851" s="115"/>
      <c r="O851" s="115"/>
      <c r="P851" s="115"/>
    </row>
    <row r="852" spans="10:16" ht="12.5" x14ac:dyDescent="0.25">
      <c r="J852" s="115"/>
      <c r="K852" s="115"/>
      <c r="L852" s="115"/>
      <c r="M852" s="115"/>
      <c r="N852" s="115"/>
      <c r="O852" s="115"/>
      <c r="P852" s="115"/>
    </row>
    <row r="853" spans="10:16" ht="12.5" x14ac:dyDescent="0.25">
      <c r="J853" s="115"/>
      <c r="K853" s="115"/>
      <c r="L853" s="115"/>
      <c r="M853" s="115"/>
      <c r="N853" s="115"/>
      <c r="O853" s="115"/>
      <c r="P853" s="115"/>
    </row>
    <row r="854" spans="10:16" ht="12.5" x14ac:dyDescent="0.25">
      <c r="J854" s="115"/>
      <c r="K854" s="115"/>
      <c r="L854" s="115"/>
      <c r="M854" s="115"/>
      <c r="N854" s="115"/>
      <c r="O854" s="115"/>
      <c r="P854" s="115"/>
    </row>
    <row r="855" spans="10:16" ht="12.5" x14ac:dyDescent="0.25">
      <c r="J855" s="115"/>
      <c r="K855" s="115"/>
      <c r="L855" s="115"/>
      <c r="M855" s="115"/>
      <c r="N855" s="115"/>
      <c r="O855" s="115"/>
      <c r="P855" s="115"/>
    </row>
    <row r="856" spans="10:16" ht="12.5" x14ac:dyDescent="0.25">
      <c r="J856" s="115"/>
      <c r="K856" s="115"/>
      <c r="L856" s="115"/>
      <c r="M856" s="115"/>
      <c r="N856" s="115"/>
      <c r="O856" s="115"/>
      <c r="P856" s="115"/>
    </row>
    <row r="857" spans="10:16" ht="12.5" x14ac:dyDescent="0.25">
      <c r="J857" s="115"/>
      <c r="K857" s="115"/>
      <c r="L857" s="115"/>
      <c r="M857" s="115"/>
      <c r="N857" s="115"/>
      <c r="O857" s="115"/>
      <c r="P857" s="115"/>
    </row>
    <row r="858" spans="10:16" ht="12.5" x14ac:dyDescent="0.25">
      <c r="J858" s="115"/>
      <c r="K858" s="115"/>
      <c r="L858" s="115"/>
      <c r="M858" s="115"/>
      <c r="N858" s="115"/>
      <c r="O858" s="115"/>
      <c r="P858" s="115"/>
    </row>
    <row r="859" spans="10:16" ht="12.5" x14ac:dyDescent="0.25">
      <c r="J859" s="115"/>
      <c r="K859" s="115"/>
      <c r="L859" s="115"/>
      <c r="M859" s="115"/>
      <c r="N859" s="115"/>
      <c r="O859" s="115"/>
      <c r="P859" s="115"/>
    </row>
    <row r="860" spans="10:16" ht="12.5" x14ac:dyDescent="0.25">
      <c r="J860" s="115"/>
      <c r="K860" s="115"/>
      <c r="L860" s="115"/>
      <c r="M860" s="115"/>
      <c r="N860" s="115"/>
      <c r="O860" s="115"/>
      <c r="P860" s="115"/>
    </row>
    <row r="861" spans="10:16" ht="12.5" x14ac:dyDescent="0.25">
      <c r="J861" s="115"/>
      <c r="K861" s="115"/>
      <c r="L861" s="115"/>
      <c r="M861" s="115"/>
      <c r="N861" s="115"/>
      <c r="O861" s="115"/>
      <c r="P861" s="115"/>
    </row>
    <row r="862" spans="10:16" ht="12.5" x14ac:dyDescent="0.25">
      <c r="J862" s="115"/>
      <c r="K862" s="115"/>
      <c r="L862" s="115"/>
      <c r="M862" s="115"/>
      <c r="N862" s="115"/>
      <c r="O862" s="115"/>
      <c r="P862" s="115"/>
    </row>
    <row r="863" spans="10:16" ht="12.5" x14ac:dyDescent="0.25">
      <c r="J863" s="115"/>
      <c r="K863" s="115"/>
      <c r="L863" s="115"/>
      <c r="M863" s="115"/>
      <c r="N863" s="115"/>
      <c r="O863" s="115"/>
      <c r="P863" s="115"/>
    </row>
    <row r="864" spans="10:16" ht="12.5" x14ac:dyDescent="0.25">
      <c r="J864" s="115"/>
      <c r="K864" s="115"/>
      <c r="L864" s="115"/>
      <c r="M864" s="115"/>
      <c r="N864" s="115"/>
      <c r="O864" s="115"/>
      <c r="P864" s="115"/>
    </row>
    <row r="865" spans="10:16" ht="12.5" x14ac:dyDescent="0.25">
      <c r="J865" s="115"/>
      <c r="K865" s="115"/>
      <c r="L865" s="115"/>
      <c r="M865" s="115"/>
      <c r="N865" s="115"/>
      <c r="O865" s="115"/>
      <c r="P865" s="115"/>
    </row>
    <row r="866" spans="10:16" ht="12.5" x14ac:dyDescent="0.25">
      <c r="J866" s="115"/>
      <c r="K866" s="115"/>
      <c r="L866" s="115"/>
      <c r="M866" s="115"/>
      <c r="N866" s="115"/>
      <c r="O866" s="115"/>
      <c r="P866" s="115"/>
    </row>
    <row r="867" spans="10:16" ht="12.5" x14ac:dyDescent="0.25">
      <c r="J867" s="115"/>
      <c r="K867" s="115"/>
      <c r="L867" s="115"/>
      <c r="M867" s="115"/>
      <c r="N867" s="115"/>
      <c r="O867" s="115"/>
      <c r="P867" s="115"/>
    </row>
    <row r="868" spans="10:16" ht="12.5" x14ac:dyDescent="0.25">
      <c r="J868" s="115"/>
      <c r="K868" s="115"/>
      <c r="L868" s="115"/>
      <c r="M868" s="115"/>
      <c r="N868" s="115"/>
      <c r="O868" s="115"/>
      <c r="P868" s="115"/>
    </row>
    <row r="869" spans="10:16" ht="12.5" x14ac:dyDescent="0.25">
      <c r="J869" s="115"/>
      <c r="K869" s="115"/>
      <c r="L869" s="115"/>
      <c r="M869" s="115"/>
      <c r="N869" s="115"/>
      <c r="O869" s="115"/>
      <c r="P869" s="115"/>
    </row>
    <row r="870" spans="10:16" ht="12.5" x14ac:dyDescent="0.25">
      <c r="J870" s="115"/>
      <c r="K870" s="115"/>
      <c r="L870" s="115"/>
      <c r="M870" s="115"/>
      <c r="N870" s="115"/>
      <c r="O870" s="115"/>
      <c r="P870" s="115"/>
    </row>
    <row r="871" spans="10:16" ht="12.5" x14ac:dyDescent="0.25">
      <c r="J871" s="115"/>
      <c r="K871" s="115"/>
      <c r="L871" s="115"/>
      <c r="M871" s="115"/>
      <c r="N871" s="115"/>
      <c r="O871" s="115"/>
      <c r="P871" s="115"/>
    </row>
    <row r="872" spans="10:16" ht="12.5" x14ac:dyDescent="0.25">
      <c r="J872" s="115"/>
      <c r="K872" s="115"/>
      <c r="L872" s="115"/>
      <c r="M872" s="115"/>
      <c r="N872" s="115"/>
      <c r="O872" s="115"/>
      <c r="P872" s="115"/>
    </row>
    <row r="873" spans="10:16" ht="12.5" x14ac:dyDescent="0.25">
      <c r="J873" s="115"/>
      <c r="K873" s="115"/>
      <c r="L873" s="115"/>
      <c r="M873" s="115"/>
      <c r="N873" s="115"/>
      <c r="O873" s="115"/>
      <c r="P873" s="115"/>
    </row>
    <row r="874" spans="10:16" ht="12.5" x14ac:dyDescent="0.25">
      <c r="J874" s="115"/>
      <c r="K874" s="115"/>
      <c r="L874" s="115"/>
      <c r="M874" s="115"/>
      <c r="N874" s="115"/>
      <c r="O874" s="115"/>
      <c r="P874" s="115"/>
    </row>
    <row r="875" spans="10:16" ht="12.5" x14ac:dyDescent="0.25">
      <c r="J875" s="115"/>
      <c r="K875" s="115"/>
      <c r="L875" s="115"/>
      <c r="M875" s="115"/>
      <c r="N875" s="115"/>
      <c r="O875" s="115"/>
      <c r="P875" s="115"/>
    </row>
    <row r="876" spans="10:16" ht="12.5" x14ac:dyDescent="0.25">
      <c r="J876" s="115"/>
      <c r="K876" s="115"/>
      <c r="L876" s="115"/>
      <c r="M876" s="115"/>
      <c r="N876" s="115"/>
      <c r="O876" s="115"/>
      <c r="P876" s="115"/>
    </row>
    <row r="877" spans="10:16" ht="12.5" x14ac:dyDescent="0.25">
      <c r="J877" s="115"/>
      <c r="K877" s="115"/>
      <c r="L877" s="115"/>
      <c r="M877" s="115"/>
      <c r="N877" s="115"/>
      <c r="O877" s="115"/>
      <c r="P877" s="115"/>
    </row>
    <row r="878" spans="10:16" ht="12.5" x14ac:dyDescent="0.25">
      <c r="J878" s="115"/>
      <c r="K878" s="115"/>
      <c r="L878" s="115"/>
      <c r="M878" s="115"/>
      <c r="N878" s="115"/>
      <c r="O878" s="115"/>
      <c r="P878" s="115"/>
    </row>
    <row r="879" spans="10:16" ht="12.5" x14ac:dyDescent="0.25">
      <c r="J879" s="115"/>
      <c r="K879" s="115"/>
      <c r="L879" s="115"/>
      <c r="M879" s="115"/>
      <c r="N879" s="115"/>
      <c r="O879" s="115"/>
      <c r="P879" s="115"/>
    </row>
    <row r="880" spans="10:16" ht="12.5" x14ac:dyDescent="0.25">
      <c r="J880" s="115"/>
      <c r="K880" s="115"/>
      <c r="L880" s="115"/>
      <c r="M880" s="115"/>
      <c r="N880" s="115"/>
      <c r="O880" s="115"/>
      <c r="P880" s="115"/>
    </row>
    <row r="881" spans="10:16" ht="12.5" x14ac:dyDescent="0.25">
      <c r="J881" s="115"/>
      <c r="K881" s="115"/>
      <c r="L881" s="115"/>
      <c r="M881" s="115"/>
      <c r="N881" s="115"/>
      <c r="O881" s="115"/>
      <c r="P881" s="115"/>
    </row>
    <row r="882" spans="10:16" ht="12.5" x14ac:dyDescent="0.25">
      <c r="J882" s="115"/>
      <c r="K882" s="115"/>
      <c r="L882" s="115"/>
      <c r="M882" s="115"/>
      <c r="N882" s="115"/>
      <c r="O882" s="115"/>
      <c r="P882" s="115"/>
    </row>
    <row r="883" spans="10:16" ht="12.5" x14ac:dyDescent="0.25">
      <c r="J883" s="115"/>
      <c r="K883" s="115"/>
      <c r="L883" s="115"/>
      <c r="M883" s="115"/>
      <c r="N883" s="115"/>
      <c r="O883" s="115"/>
      <c r="P883" s="115"/>
    </row>
    <row r="884" spans="10:16" ht="12.5" x14ac:dyDescent="0.25">
      <c r="J884" s="115"/>
      <c r="K884" s="115"/>
      <c r="L884" s="115"/>
      <c r="M884" s="115"/>
      <c r="N884" s="115"/>
      <c r="O884" s="115"/>
      <c r="P884" s="115"/>
    </row>
    <row r="885" spans="10:16" ht="12.5" x14ac:dyDescent="0.25">
      <c r="J885" s="115"/>
      <c r="K885" s="115"/>
      <c r="L885" s="115"/>
      <c r="M885" s="115"/>
      <c r="N885" s="115"/>
      <c r="O885" s="115"/>
      <c r="P885" s="115"/>
    </row>
    <row r="886" spans="10:16" ht="12.5" x14ac:dyDescent="0.25">
      <c r="J886" s="115"/>
      <c r="K886" s="115"/>
      <c r="L886" s="115"/>
      <c r="M886" s="115"/>
      <c r="N886" s="115"/>
      <c r="O886" s="115"/>
      <c r="P886" s="115"/>
    </row>
    <row r="887" spans="10:16" ht="12.5" x14ac:dyDescent="0.25">
      <c r="J887" s="115"/>
      <c r="K887" s="115"/>
      <c r="L887" s="115"/>
      <c r="M887" s="115"/>
      <c r="N887" s="115"/>
      <c r="O887" s="115"/>
      <c r="P887" s="115"/>
    </row>
    <row r="888" spans="10:16" ht="12.5" x14ac:dyDescent="0.25">
      <c r="J888" s="115"/>
      <c r="K888" s="115"/>
      <c r="L888" s="115"/>
      <c r="M888" s="115"/>
      <c r="N888" s="115"/>
      <c r="O888" s="115"/>
      <c r="P888" s="115"/>
    </row>
    <row r="889" spans="10:16" ht="12.5" x14ac:dyDescent="0.25">
      <c r="J889" s="115"/>
      <c r="K889" s="115"/>
      <c r="L889" s="115"/>
      <c r="M889" s="115"/>
      <c r="N889" s="115"/>
      <c r="O889" s="115"/>
      <c r="P889" s="115"/>
    </row>
    <row r="890" spans="10:16" ht="12.5" x14ac:dyDescent="0.25">
      <c r="J890" s="115"/>
      <c r="K890" s="115"/>
      <c r="L890" s="115"/>
      <c r="M890" s="115"/>
      <c r="N890" s="115"/>
      <c r="O890" s="115"/>
      <c r="P890" s="115"/>
    </row>
    <row r="891" spans="10:16" ht="12.5" x14ac:dyDescent="0.25">
      <c r="J891" s="115"/>
      <c r="K891" s="115"/>
      <c r="L891" s="115"/>
      <c r="M891" s="115"/>
      <c r="N891" s="115"/>
      <c r="O891" s="115"/>
      <c r="P891" s="115"/>
    </row>
    <row r="892" spans="10:16" ht="12.5" x14ac:dyDescent="0.25">
      <c r="J892" s="115"/>
      <c r="K892" s="115"/>
      <c r="L892" s="115"/>
      <c r="M892" s="115"/>
      <c r="N892" s="115"/>
      <c r="O892" s="115"/>
      <c r="P892" s="115"/>
    </row>
    <row r="893" spans="10:16" ht="12.5" x14ac:dyDescent="0.25">
      <c r="J893" s="115"/>
      <c r="K893" s="115"/>
      <c r="L893" s="115"/>
      <c r="M893" s="115"/>
      <c r="N893" s="115"/>
      <c r="O893" s="115"/>
      <c r="P893" s="115"/>
    </row>
    <row r="894" spans="10:16" ht="12.5" x14ac:dyDescent="0.25">
      <c r="J894" s="115"/>
      <c r="K894" s="115"/>
      <c r="L894" s="115"/>
      <c r="M894" s="115"/>
      <c r="N894" s="115"/>
      <c r="O894" s="115"/>
      <c r="P894" s="115"/>
    </row>
    <row r="895" spans="10:16" ht="12.5" x14ac:dyDescent="0.25">
      <c r="J895" s="115"/>
      <c r="K895" s="115"/>
      <c r="L895" s="115"/>
      <c r="M895" s="115"/>
      <c r="N895" s="115"/>
      <c r="O895" s="115"/>
      <c r="P895" s="115"/>
    </row>
    <row r="896" spans="10:16" ht="12.5" x14ac:dyDescent="0.25">
      <c r="J896" s="115"/>
      <c r="K896" s="115"/>
      <c r="L896" s="115"/>
      <c r="M896" s="115"/>
      <c r="N896" s="115"/>
      <c r="O896" s="115"/>
      <c r="P896" s="115"/>
    </row>
    <row r="897" spans="10:16" ht="12.5" x14ac:dyDescent="0.25">
      <c r="J897" s="115"/>
      <c r="K897" s="115"/>
      <c r="L897" s="115"/>
      <c r="M897" s="115"/>
      <c r="N897" s="115"/>
      <c r="O897" s="115"/>
      <c r="P897" s="115"/>
    </row>
    <row r="898" spans="10:16" ht="12.5" x14ac:dyDescent="0.25">
      <c r="J898" s="115"/>
      <c r="K898" s="115"/>
      <c r="L898" s="115"/>
      <c r="M898" s="115"/>
      <c r="N898" s="115"/>
      <c r="O898" s="115"/>
      <c r="P898" s="115"/>
    </row>
    <row r="899" spans="10:16" ht="12.5" x14ac:dyDescent="0.25">
      <c r="J899" s="115"/>
      <c r="K899" s="115"/>
      <c r="L899" s="115"/>
      <c r="M899" s="115"/>
      <c r="N899" s="115"/>
      <c r="O899" s="115"/>
      <c r="P899" s="115"/>
    </row>
    <row r="900" spans="10:16" ht="12.5" x14ac:dyDescent="0.25">
      <c r="J900" s="115"/>
      <c r="K900" s="115"/>
      <c r="L900" s="115"/>
      <c r="M900" s="115"/>
      <c r="N900" s="115"/>
      <c r="O900" s="115"/>
      <c r="P900" s="115"/>
    </row>
    <row r="901" spans="10:16" ht="12.5" x14ac:dyDescent="0.25">
      <c r="J901" s="115"/>
      <c r="K901" s="115"/>
      <c r="L901" s="115"/>
      <c r="M901" s="115"/>
      <c r="N901" s="115"/>
      <c r="O901" s="115"/>
      <c r="P901" s="115"/>
    </row>
    <row r="902" spans="10:16" ht="12.5" x14ac:dyDescent="0.25">
      <c r="J902" s="115"/>
      <c r="K902" s="115"/>
      <c r="L902" s="115"/>
      <c r="M902" s="115"/>
      <c r="N902" s="115"/>
      <c r="O902" s="115"/>
      <c r="P902" s="115"/>
    </row>
    <row r="903" spans="10:16" ht="12.5" x14ac:dyDescent="0.25">
      <c r="J903" s="115"/>
      <c r="K903" s="115"/>
      <c r="L903" s="115"/>
      <c r="M903" s="115"/>
      <c r="N903" s="115"/>
      <c r="O903" s="115"/>
      <c r="P903" s="115"/>
    </row>
    <row r="904" spans="10:16" ht="12.5" x14ac:dyDescent="0.25">
      <c r="J904" s="115"/>
      <c r="K904" s="115"/>
      <c r="L904" s="115"/>
      <c r="M904" s="115"/>
      <c r="N904" s="115"/>
      <c r="O904" s="115"/>
      <c r="P904" s="115"/>
    </row>
    <row r="905" spans="10:16" ht="12.5" x14ac:dyDescent="0.25">
      <c r="J905" s="115"/>
      <c r="K905" s="115"/>
      <c r="L905" s="115"/>
      <c r="M905" s="115"/>
      <c r="N905" s="115"/>
      <c r="O905" s="115"/>
      <c r="P905" s="115"/>
    </row>
    <row r="906" spans="10:16" ht="12.5" x14ac:dyDescent="0.25">
      <c r="J906" s="115"/>
      <c r="K906" s="115"/>
      <c r="L906" s="115"/>
      <c r="M906" s="115"/>
      <c r="N906" s="115"/>
      <c r="O906" s="115"/>
      <c r="P906" s="115"/>
    </row>
    <row r="907" spans="10:16" ht="12.5" x14ac:dyDescent="0.25">
      <c r="J907" s="115"/>
      <c r="K907" s="115"/>
      <c r="L907" s="115"/>
      <c r="M907" s="115"/>
      <c r="N907" s="115"/>
      <c r="O907" s="115"/>
      <c r="P907" s="115"/>
    </row>
    <row r="908" spans="10:16" ht="12.5" x14ac:dyDescent="0.25">
      <c r="J908" s="115"/>
      <c r="K908" s="115"/>
      <c r="L908" s="115"/>
      <c r="M908" s="115"/>
      <c r="N908" s="115"/>
      <c r="O908" s="115"/>
      <c r="P908" s="115"/>
    </row>
    <row r="909" spans="10:16" ht="12.5" x14ac:dyDescent="0.25">
      <c r="J909" s="115"/>
      <c r="K909" s="115"/>
      <c r="L909" s="115"/>
      <c r="M909" s="115"/>
      <c r="N909" s="115"/>
      <c r="O909" s="115"/>
      <c r="P909" s="115"/>
    </row>
    <row r="910" spans="10:16" ht="12.5" x14ac:dyDescent="0.25">
      <c r="J910" s="115"/>
      <c r="K910" s="115"/>
      <c r="L910" s="115"/>
      <c r="M910" s="115"/>
      <c r="N910" s="115"/>
      <c r="O910" s="115"/>
      <c r="P910" s="115"/>
    </row>
    <row r="911" spans="10:16" ht="12.5" x14ac:dyDescent="0.25">
      <c r="J911" s="115"/>
      <c r="K911" s="115"/>
      <c r="L911" s="115"/>
      <c r="M911" s="115"/>
      <c r="N911" s="115"/>
      <c r="O911" s="115"/>
      <c r="P911" s="115"/>
    </row>
    <row r="912" spans="10:16" ht="12.5" x14ac:dyDescent="0.25">
      <c r="J912" s="115"/>
      <c r="K912" s="115"/>
      <c r="L912" s="115"/>
      <c r="M912" s="115"/>
      <c r="N912" s="115"/>
      <c r="O912" s="115"/>
      <c r="P912" s="115"/>
    </row>
    <row r="913" spans="10:16" ht="12.5" x14ac:dyDescent="0.25">
      <c r="J913" s="115"/>
      <c r="K913" s="115"/>
      <c r="L913" s="115"/>
      <c r="M913" s="115"/>
      <c r="N913" s="115"/>
      <c r="O913" s="115"/>
      <c r="P913" s="115"/>
    </row>
    <row r="914" spans="10:16" ht="12.5" x14ac:dyDescent="0.25">
      <c r="J914" s="115"/>
      <c r="K914" s="115"/>
      <c r="L914" s="115"/>
      <c r="M914" s="115"/>
      <c r="N914" s="115"/>
      <c r="O914" s="115"/>
      <c r="P914" s="115"/>
    </row>
    <row r="915" spans="10:16" ht="12.5" x14ac:dyDescent="0.25">
      <c r="J915" s="115"/>
      <c r="K915" s="115"/>
      <c r="L915" s="115"/>
      <c r="M915" s="115"/>
      <c r="N915" s="115"/>
      <c r="O915" s="115"/>
      <c r="P915" s="115"/>
    </row>
    <row r="916" spans="10:16" ht="12.5" x14ac:dyDescent="0.25">
      <c r="J916" s="115"/>
      <c r="K916" s="115"/>
      <c r="L916" s="115"/>
      <c r="M916" s="115"/>
      <c r="N916" s="115"/>
      <c r="O916" s="115"/>
      <c r="P916" s="115"/>
    </row>
    <row r="917" spans="10:16" ht="12.5" x14ac:dyDescent="0.25">
      <c r="J917" s="115"/>
      <c r="K917" s="115"/>
      <c r="L917" s="115"/>
      <c r="M917" s="115"/>
      <c r="N917" s="115"/>
      <c r="O917" s="115"/>
      <c r="P917" s="115"/>
    </row>
    <row r="918" spans="10:16" ht="12.5" x14ac:dyDescent="0.25">
      <c r="J918" s="115"/>
      <c r="K918" s="115"/>
      <c r="L918" s="115"/>
      <c r="M918" s="115"/>
      <c r="N918" s="115"/>
      <c r="O918" s="115"/>
      <c r="P918" s="115"/>
    </row>
    <row r="919" spans="10:16" ht="12.5" x14ac:dyDescent="0.25">
      <c r="J919" s="115"/>
      <c r="K919" s="115"/>
      <c r="L919" s="115"/>
      <c r="M919" s="115"/>
      <c r="N919" s="115"/>
      <c r="O919" s="115"/>
      <c r="P919" s="115"/>
    </row>
    <row r="920" spans="10:16" ht="12.5" x14ac:dyDescent="0.25">
      <c r="J920" s="115"/>
      <c r="K920" s="115"/>
      <c r="L920" s="115"/>
      <c r="M920" s="115"/>
      <c r="N920" s="115"/>
      <c r="O920" s="115"/>
      <c r="P920" s="115"/>
    </row>
    <row r="921" spans="10:16" ht="12.5" x14ac:dyDescent="0.25">
      <c r="J921" s="115"/>
      <c r="K921" s="115"/>
      <c r="L921" s="115"/>
      <c r="M921" s="115"/>
      <c r="N921" s="115"/>
      <c r="O921" s="115"/>
      <c r="P921" s="115"/>
    </row>
    <row r="922" spans="10:16" ht="12.5" x14ac:dyDescent="0.25">
      <c r="J922" s="115"/>
      <c r="K922" s="115"/>
      <c r="L922" s="115"/>
      <c r="M922" s="115"/>
      <c r="N922" s="115"/>
      <c r="O922" s="115"/>
      <c r="P922" s="115"/>
    </row>
    <row r="923" spans="10:16" ht="12.5" x14ac:dyDescent="0.25">
      <c r="J923" s="115"/>
      <c r="K923" s="115"/>
      <c r="L923" s="115"/>
      <c r="M923" s="115"/>
      <c r="N923" s="115"/>
      <c r="O923" s="115"/>
      <c r="P923" s="115"/>
    </row>
    <row r="924" spans="10:16" ht="12.5" x14ac:dyDescent="0.25">
      <c r="J924" s="115"/>
      <c r="K924" s="115"/>
      <c r="L924" s="115"/>
      <c r="M924" s="115"/>
      <c r="N924" s="115"/>
      <c r="O924" s="115"/>
      <c r="P924" s="115"/>
    </row>
    <row r="925" spans="10:16" ht="12.5" x14ac:dyDescent="0.25">
      <c r="J925" s="115"/>
      <c r="K925" s="115"/>
      <c r="L925" s="115"/>
      <c r="M925" s="115"/>
      <c r="N925" s="115"/>
      <c r="O925" s="115"/>
      <c r="P925" s="115"/>
    </row>
    <row r="926" spans="10:16" ht="12.5" x14ac:dyDescent="0.25">
      <c r="J926" s="115"/>
      <c r="K926" s="115"/>
      <c r="L926" s="115"/>
      <c r="M926" s="115"/>
      <c r="N926" s="115"/>
      <c r="O926" s="115"/>
      <c r="P926" s="115"/>
    </row>
    <row r="927" spans="10:16" ht="12.5" x14ac:dyDescent="0.25">
      <c r="J927" s="115"/>
      <c r="K927" s="115"/>
      <c r="L927" s="115"/>
      <c r="M927" s="115"/>
      <c r="N927" s="115"/>
      <c r="O927" s="115"/>
      <c r="P927" s="115"/>
    </row>
    <row r="928" spans="10:16" ht="12.5" x14ac:dyDescent="0.25">
      <c r="J928" s="115"/>
      <c r="K928" s="115"/>
      <c r="L928" s="115"/>
      <c r="M928" s="115"/>
      <c r="N928" s="115"/>
      <c r="O928" s="115"/>
      <c r="P928" s="115"/>
    </row>
    <row r="929" spans="10:16" ht="12.5" x14ac:dyDescent="0.25">
      <c r="J929" s="115"/>
      <c r="K929" s="115"/>
      <c r="L929" s="115"/>
      <c r="M929" s="115"/>
      <c r="N929" s="115"/>
      <c r="O929" s="115"/>
      <c r="P929" s="115"/>
    </row>
    <row r="930" spans="10:16" ht="12.5" x14ac:dyDescent="0.25">
      <c r="J930" s="115"/>
      <c r="K930" s="115"/>
      <c r="L930" s="115"/>
      <c r="M930" s="115"/>
      <c r="N930" s="115"/>
      <c r="O930" s="115"/>
      <c r="P930" s="115"/>
    </row>
    <row r="931" spans="10:16" ht="12.5" x14ac:dyDescent="0.25">
      <c r="J931" s="115"/>
      <c r="K931" s="115"/>
      <c r="L931" s="115"/>
      <c r="M931" s="115"/>
      <c r="N931" s="115"/>
      <c r="O931" s="115"/>
      <c r="P931" s="115"/>
    </row>
    <row r="932" spans="10:16" ht="12.5" x14ac:dyDescent="0.25">
      <c r="J932" s="115"/>
      <c r="K932" s="115"/>
      <c r="L932" s="115"/>
      <c r="M932" s="115"/>
      <c r="N932" s="115"/>
      <c r="O932" s="115"/>
      <c r="P932" s="115"/>
    </row>
    <row r="933" spans="10:16" ht="12.5" x14ac:dyDescent="0.25">
      <c r="J933" s="115"/>
      <c r="K933" s="115"/>
      <c r="L933" s="115"/>
      <c r="M933" s="115"/>
      <c r="N933" s="115"/>
      <c r="O933" s="115"/>
      <c r="P933" s="115"/>
    </row>
    <row r="934" spans="10:16" ht="12.5" x14ac:dyDescent="0.25">
      <c r="J934" s="115"/>
      <c r="K934" s="115"/>
      <c r="L934" s="115"/>
      <c r="M934" s="115"/>
      <c r="N934" s="115"/>
      <c r="O934" s="115"/>
      <c r="P934" s="115"/>
    </row>
    <row r="935" spans="10:16" ht="12.5" x14ac:dyDescent="0.25">
      <c r="J935" s="115"/>
      <c r="K935" s="115"/>
      <c r="L935" s="115"/>
      <c r="M935" s="115"/>
      <c r="N935" s="115"/>
      <c r="O935" s="115"/>
      <c r="P935" s="115"/>
    </row>
    <row r="936" spans="10:16" ht="12.5" x14ac:dyDescent="0.25">
      <c r="J936" s="115"/>
      <c r="K936" s="115"/>
      <c r="L936" s="115"/>
      <c r="M936" s="115"/>
      <c r="N936" s="115"/>
      <c r="O936" s="115"/>
      <c r="P936" s="115"/>
    </row>
    <row r="937" spans="10:16" ht="12.5" x14ac:dyDescent="0.25">
      <c r="J937" s="115"/>
      <c r="K937" s="115"/>
      <c r="L937" s="115"/>
      <c r="M937" s="115"/>
      <c r="N937" s="115"/>
      <c r="O937" s="115"/>
      <c r="P937" s="115"/>
    </row>
    <row r="938" spans="10:16" ht="12.5" x14ac:dyDescent="0.25">
      <c r="J938" s="115"/>
      <c r="K938" s="115"/>
      <c r="L938" s="115"/>
      <c r="M938" s="115"/>
      <c r="N938" s="115"/>
      <c r="O938" s="115"/>
      <c r="P938" s="115"/>
    </row>
    <row r="939" spans="10:16" ht="12.5" x14ac:dyDescent="0.25">
      <c r="J939" s="115"/>
      <c r="K939" s="115"/>
      <c r="L939" s="115"/>
      <c r="M939" s="115"/>
      <c r="N939" s="115"/>
      <c r="O939" s="115"/>
      <c r="P939" s="115"/>
    </row>
    <row r="940" spans="10:16" ht="12.5" x14ac:dyDescent="0.25">
      <c r="J940" s="115"/>
      <c r="K940" s="115"/>
      <c r="L940" s="115"/>
      <c r="M940" s="115"/>
      <c r="N940" s="115"/>
      <c r="O940" s="115"/>
      <c r="P940" s="115"/>
    </row>
    <row r="941" spans="10:16" ht="12.5" x14ac:dyDescent="0.25">
      <c r="J941" s="115"/>
      <c r="K941" s="115"/>
      <c r="L941" s="115"/>
      <c r="M941" s="115"/>
      <c r="N941" s="115"/>
      <c r="O941" s="115"/>
      <c r="P941" s="115"/>
    </row>
    <row r="942" spans="10:16" ht="12.5" x14ac:dyDescent="0.25">
      <c r="J942" s="115"/>
      <c r="K942" s="115"/>
      <c r="L942" s="115"/>
      <c r="M942" s="115"/>
      <c r="N942" s="115"/>
      <c r="O942" s="115"/>
      <c r="P942" s="115"/>
    </row>
    <row r="943" spans="10:16" ht="12.5" x14ac:dyDescent="0.25">
      <c r="J943" s="115"/>
      <c r="K943" s="115"/>
      <c r="L943" s="115"/>
      <c r="M943" s="115"/>
      <c r="N943" s="115"/>
      <c r="O943" s="115"/>
      <c r="P943" s="115"/>
    </row>
    <row r="944" spans="10:16" ht="12.5" x14ac:dyDescent="0.25">
      <c r="J944" s="115"/>
      <c r="K944" s="115"/>
      <c r="L944" s="115"/>
      <c r="M944" s="115"/>
      <c r="N944" s="115"/>
      <c r="O944" s="115"/>
      <c r="P944" s="115"/>
    </row>
    <row r="945" spans="10:16" ht="12.5" x14ac:dyDescent="0.25">
      <c r="J945" s="115"/>
      <c r="K945" s="115"/>
      <c r="L945" s="115"/>
      <c r="M945" s="115"/>
      <c r="N945" s="115"/>
      <c r="O945" s="115"/>
      <c r="P945" s="115"/>
    </row>
    <row r="946" spans="10:16" ht="12.5" x14ac:dyDescent="0.25">
      <c r="J946" s="115"/>
      <c r="K946" s="115"/>
      <c r="L946" s="115"/>
      <c r="M946" s="115"/>
      <c r="N946" s="115"/>
      <c r="O946" s="115"/>
      <c r="P946" s="115"/>
    </row>
    <row r="947" spans="10:16" ht="12.5" x14ac:dyDescent="0.25">
      <c r="J947" s="115"/>
      <c r="K947" s="115"/>
      <c r="L947" s="115"/>
      <c r="M947" s="115"/>
      <c r="N947" s="115"/>
      <c r="O947" s="115"/>
      <c r="P947" s="115"/>
    </row>
    <row r="948" spans="10:16" ht="12.5" x14ac:dyDescent="0.25">
      <c r="J948" s="115"/>
      <c r="K948" s="115"/>
      <c r="L948" s="115"/>
      <c r="M948" s="115"/>
      <c r="N948" s="115"/>
      <c r="O948" s="115"/>
      <c r="P948" s="115"/>
    </row>
    <row r="949" spans="10:16" ht="12.5" x14ac:dyDescent="0.25">
      <c r="J949" s="115"/>
      <c r="K949" s="115"/>
      <c r="L949" s="115"/>
      <c r="M949" s="115"/>
      <c r="N949" s="115"/>
      <c r="O949" s="115"/>
      <c r="P949" s="115"/>
    </row>
    <row r="950" spans="10:16" ht="12.5" x14ac:dyDescent="0.25">
      <c r="J950" s="115"/>
      <c r="K950" s="115"/>
      <c r="L950" s="115"/>
      <c r="M950" s="115"/>
      <c r="N950" s="115"/>
      <c r="O950" s="115"/>
      <c r="P950" s="115"/>
    </row>
    <row r="951" spans="10:16" ht="12.5" x14ac:dyDescent="0.25">
      <c r="J951" s="115"/>
      <c r="K951" s="115"/>
      <c r="L951" s="115"/>
      <c r="M951" s="115"/>
      <c r="N951" s="115"/>
      <c r="O951" s="115"/>
      <c r="P951" s="115"/>
    </row>
    <row r="952" spans="10:16" ht="12.5" x14ac:dyDescent="0.25">
      <c r="J952" s="115"/>
      <c r="K952" s="115"/>
      <c r="L952" s="115"/>
      <c r="M952" s="115"/>
      <c r="N952" s="115"/>
      <c r="O952" s="115"/>
      <c r="P952" s="115"/>
    </row>
    <row r="953" spans="10:16" ht="12.5" x14ac:dyDescent="0.25">
      <c r="J953" s="115"/>
      <c r="K953" s="115"/>
      <c r="L953" s="115"/>
      <c r="M953" s="115"/>
      <c r="N953" s="115"/>
      <c r="O953" s="115"/>
      <c r="P953" s="115"/>
    </row>
    <row r="954" spans="10:16" ht="12.5" x14ac:dyDescent="0.25">
      <c r="J954" s="115"/>
      <c r="K954" s="115"/>
      <c r="L954" s="115"/>
      <c r="M954" s="115"/>
      <c r="N954" s="115"/>
      <c r="O954" s="115"/>
      <c r="P954" s="115"/>
    </row>
    <row r="955" spans="10:16" ht="12.5" x14ac:dyDescent="0.25">
      <c r="J955" s="115"/>
      <c r="K955" s="115"/>
      <c r="L955" s="115"/>
      <c r="M955" s="115"/>
      <c r="N955" s="115"/>
      <c r="O955" s="115"/>
      <c r="P955" s="115"/>
    </row>
    <row r="956" spans="10:16" ht="12.5" x14ac:dyDescent="0.25">
      <c r="J956" s="115"/>
      <c r="K956" s="115"/>
      <c r="L956" s="115"/>
      <c r="M956" s="115"/>
      <c r="N956" s="115"/>
      <c r="O956" s="115"/>
      <c r="P956" s="115"/>
    </row>
    <row r="957" spans="10:16" ht="12.5" x14ac:dyDescent="0.25">
      <c r="J957" s="115"/>
      <c r="K957" s="115"/>
      <c r="L957" s="115"/>
      <c r="M957" s="115"/>
      <c r="N957" s="115"/>
      <c r="O957" s="115"/>
      <c r="P957" s="115"/>
    </row>
    <row r="958" spans="10:16" ht="12.5" x14ac:dyDescent="0.25">
      <c r="J958" s="115"/>
      <c r="K958" s="115"/>
      <c r="L958" s="115"/>
      <c r="M958" s="115"/>
      <c r="N958" s="115"/>
      <c r="O958" s="115"/>
      <c r="P958" s="115"/>
    </row>
    <row r="959" spans="10:16" ht="12.5" x14ac:dyDescent="0.25">
      <c r="J959" s="115"/>
      <c r="K959" s="115"/>
      <c r="L959" s="115"/>
      <c r="M959" s="115"/>
      <c r="N959" s="115"/>
      <c r="O959" s="115"/>
      <c r="P959" s="115"/>
    </row>
    <row r="960" spans="10:16" ht="12.5" x14ac:dyDescent="0.25">
      <c r="J960" s="115"/>
      <c r="K960" s="115"/>
      <c r="L960" s="115"/>
      <c r="M960" s="115"/>
      <c r="N960" s="115"/>
      <c r="O960" s="115"/>
      <c r="P960" s="115"/>
    </row>
    <row r="961" spans="10:16" ht="12.5" x14ac:dyDescent="0.25">
      <c r="J961" s="115"/>
      <c r="K961" s="115"/>
      <c r="L961" s="115"/>
      <c r="M961" s="115"/>
      <c r="N961" s="115"/>
      <c r="O961" s="115"/>
      <c r="P961" s="115"/>
    </row>
    <row r="962" spans="10:16" ht="12.5" x14ac:dyDescent="0.25">
      <c r="J962" s="115"/>
      <c r="K962" s="115"/>
      <c r="L962" s="115"/>
      <c r="M962" s="115"/>
      <c r="N962" s="115"/>
      <c r="O962" s="115"/>
      <c r="P962" s="115"/>
    </row>
    <row r="963" spans="10:16" ht="12.5" x14ac:dyDescent="0.25">
      <c r="J963" s="115"/>
      <c r="K963" s="115"/>
      <c r="L963" s="115"/>
      <c r="M963" s="115"/>
      <c r="N963" s="115"/>
      <c r="O963" s="115"/>
      <c r="P963" s="115"/>
    </row>
    <row r="964" spans="10:16" ht="12.5" x14ac:dyDescent="0.25">
      <c r="J964" s="115"/>
      <c r="K964" s="115"/>
      <c r="L964" s="115"/>
      <c r="M964" s="115"/>
      <c r="N964" s="115"/>
      <c r="O964" s="115"/>
      <c r="P964" s="115"/>
    </row>
    <row r="965" spans="10:16" ht="12.5" x14ac:dyDescent="0.25">
      <c r="J965" s="115"/>
      <c r="K965" s="115"/>
      <c r="L965" s="115"/>
      <c r="M965" s="115"/>
      <c r="N965" s="115"/>
      <c r="O965" s="115"/>
      <c r="P965" s="115"/>
    </row>
    <row r="966" spans="10:16" ht="12.5" x14ac:dyDescent="0.25">
      <c r="J966" s="115"/>
      <c r="K966" s="115"/>
      <c r="L966" s="115"/>
      <c r="M966" s="115"/>
      <c r="N966" s="115"/>
      <c r="O966" s="115"/>
      <c r="P966" s="115"/>
    </row>
    <row r="967" spans="10:16" ht="12.5" x14ac:dyDescent="0.25">
      <c r="J967" s="115"/>
      <c r="K967" s="115"/>
      <c r="L967" s="115"/>
      <c r="M967" s="115"/>
      <c r="N967" s="115"/>
      <c r="O967" s="115"/>
      <c r="P967" s="115"/>
    </row>
    <row r="968" spans="10:16" ht="12.5" x14ac:dyDescent="0.25">
      <c r="J968" s="115"/>
      <c r="K968" s="115"/>
      <c r="L968" s="115"/>
      <c r="M968" s="115"/>
      <c r="N968" s="115"/>
      <c r="O968" s="115"/>
      <c r="P968" s="115"/>
    </row>
    <row r="969" spans="10:16" ht="12.5" x14ac:dyDescent="0.25">
      <c r="J969" s="115"/>
      <c r="K969" s="115"/>
      <c r="L969" s="115"/>
      <c r="M969" s="115"/>
      <c r="N969" s="115"/>
      <c r="O969" s="115"/>
      <c r="P969" s="115"/>
    </row>
    <row r="970" spans="10:16" ht="12.5" x14ac:dyDescent="0.25">
      <c r="J970" s="115"/>
      <c r="K970" s="115"/>
      <c r="L970" s="115"/>
      <c r="M970" s="115"/>
      <c r="N970" s="115"/>
      <c r="O970" s="115"/>
      <c r="P970" s="115"/>
    </row>
    <row r="971" spans="10:16" ht="12.5" x14ac:dyDescent="0.25">
      <c r="J971" s="115"/>
      <c r="K971" s="115"/>
      <c r="L971" s="115"/>
      <c r="M971" s="115"/>
      <c r="N971" s="115"/>
      <c r="O971" s="115"/>
      <c r="P971" s="115"/>
    </row>
    <row r="972" spans="10:16" ht="12.5" x14ac:dyDescent="0.25">
      <c r="J972" s="115"/>
      <c r="K972" s="115"/>
      <c r="L972" s="115"/>
      <c r="M972" s="115"/>
      <c r="N972" s="115"/>
      <c r="O972" s="115"/>
      <c r="P972" s="115"/>
    </row>
    <row r="973" spans="10:16" ht="12.5" x14ac:dyDescent="0.25">
      <c r="J973" s="115"/>
      <c r="K973" s="115"/>
      <c r="L973" s="115"/>
      <c r="M973" s="115"/>
      <c r="N973" s="115"/>
      <c r="O973" s="115"/>
      <c r="P973" s="115"/>
    </row>
    <row r="974" spans="10:16" ht="12.5" x14ac:dyDescent="0.25">
      <c r="J974" s="115"/>
      <c r="K974" s="115"/>
      <c r="L974" s="115"/>
      <c r="M974" s="115"/>
      <c r="N974" s="115"/>
      <c r="O974" s="115"/>
      <c r="P974" s="115"/>
    </row>
    <row r="975" spans="10:16" ht="12.5" x14ac:dyDescent="0.25">
      <c r="J975" s="115"/>
      <c r="K975" s="115"/>
      <c r="L975" s="115"/>
      <c r="M975" s="115"/>
      <c r="N975" s="115"/>
      <c r="O975" s="115"/>
      <c r="P975" s="115"/>
    </row>
    <row r="976" spans="10:16" ht="12.5" x14ac:dyDescent="0.25">
      <c r="J976" s="115"/>
      <c r="K976" s="115"/>
      <c r="L976" s="115"/>
      <c r="M976" s="115"/>
      <c r="N976" s="115"/>
      <c r="O976" s="115"/>
      <c r="P976" s="115"/>
    </row>
    <row r="977" spans="10:16" ht="12.5" x14ac:dyDescent="0.25">
      <c r="J977" s="115"/>
      <c r="K977" s="115"/>
      <c r="L977" s="115"/>
      <c r="M977" s="115"/>
      <c r="N977" s="115"/>
      <c r="O977" s="115"/>
      <c r="P977" s="115"/>
    </row>
    <row r="978" spans="10:16" ht="12.5" x14ac:dyDescent="0.25">
      <c r="J978" s="115"/>
      <c r="K978" s="115"/>
      <c r="L978" s="115"/>
      <c r="M978" s="115"/>
      <c r="N978" s="115"/>
      <c r="O978" s="115"/>
      <c r="P978" s="115"/>
    </row>
    <row r="979" spans="10:16" ht="12.5" x14ac:dyDescent="0.25">
      <c r="J979" s="115"/>
      <c r="K979" s="115"/>
      <c r="L979" s="115"/>
      <c r="M979" s="115"/>
      <c r="N979" s="115"/>
      <c r="O979" s="115"/>
      <c r="P979" s="115"/>
    </row>
    <row r="980" spans="10:16" ht="12.5" x14ac:dyDescent="0.25">
      <c r="J980" s="115"/>
      <c r="K980" s="115"/>
      <c r="L980" s="115"/>
      <c r="M980" s="115"/>
      <c r="N980" s="115"/>
      <c r="O980" s="115"/>
      <c r="P980" s="115"/>
    </row>
    <row r="981" spans="10:16" ht="12.5" x14ac:dyDescent="0.25">
      <c r="J981" s="115"/>
      <c r="K981" s="115"/>
      <c r="L981" s="115"/>
      <c r="M981" s="115"/>
      <c r="N981" s="115"/>
      <c r="O981" s="115"/>
      <c r="P981" s="115"/>
    </row>
    <row r="982" spans="10:16" ht="12.5" x14ac:dyDescent="0.25">
      <c r="J982" s="115"/>
      <c r="K982" s="115"/>
      <c r="L982" s="115"/>
      <c r="M982" s="115"/>
      <c r="N982" s="115"/>
      <c r="O982" s="115"/>
      <c r="P982" s="115"/>
    </row>
    <row r="983" spans="10:16" ht="12.5" x14ac:dyDescent="0.25">
      <c r="J983" s="115"/>
      <c r="K983" s="115"/>
      <c r="L983" s="115"/>
      <c r="M983" s="115"/>
      <c r="N983" s="115"/>
      <c r="O983" s="115"/>
      <c r="P983" s="115"/>
    </row>
    <row r="984" spans="10:16" ht="12.5" x14ac:dyDescent="0.25">
      <c r="J984" s="115"/>
      <c r="K984" s="115"/>
      <c r="L984" s="115"/>
      <c r="M984" s="115"/>
      <c r="N984" s="115"/>
      <c r="O984" s="115"/>
      <c r="P984" s="115"/>
    </row>
    <row r="985" spans="10:16" ht="12.5" x14ac:dyDescent="0.25">
      <c r="J985" s="115"/>
      <c r="K985" s="115"/>
      <c r="L985" s="115"/>
      <c r="M985" s="115"/>
      <c r="N985" s="115"/>
      <c r="O985" s="115"/>
      <c r="P985" s="115"/>
    </row>
    <row r="986" spans="10:16" ht="12.5" x14ac:dyDescent="0.25">
      <c r="J986" s="115"/>
      <c r="K986" s="115"/>
      <c r="L986" s="115"/>
      <c r="M986" s="115"/>
      <c r="N986" s="115"/>
      <c r="O986" s="115"/>
      <c r="P986" s="115"/>
    </row>
    <row r="987" spans="10:16" ht="12.5" x14ac:dyDescent="0.25">
      <c r="J987" s="115"/>
      <c r="K987" s="115"/>
      <c r="L987" s="115"/>
      <c r="M987" s="115"/>
      <c r="N987" s="115"/>
      <c r="O987" s="115"/>
      <c r="P987" s="115"/>
    </row>
    <row r="988" spans="10:16" ht="12.5" x14ac:dyDescent="0.25">
      <c r="J988" s="115"/>
      <c r="K988" s="115"/>
      <c r="L988" s="115"/>
      <c r="M988" s="115"/>
      <c r="N988" s="115"/>
      <c r="O988" s="115"/>
      <c r="P988" s="115"/>
    </row>
    <row r="989" spans="10:16" ht="12.5" x14ac:dyDescent="0.25">
      <c r="J989" s="115"/>
      <c r="K989" s="115"/>
      <c r="L989" s="115"/>
      <c r="M989" s="115"/>
      <c r="N989" s="115"/>
      <c r="O989" s="115"/>
      <c r="P989" s="115"/>
    </row>
    <row r="990" spans="10:16" ht="12.5" x14ac:dyDescent="0.25">
      <c r="J990" s="115"/>
      <c r="K990" s="115"/>
      <c r="L990" s="115"/>
      <c r="M990" s="115"/>
      <c r="N990" s="115"/>
      <c r="O990" s="115"/>
      <c r="P990" s="115"/>
    </row>
    <row r="991" spans="10:16" ht="12.5" x14ac:dyDescent="0.25">
      <c r="J991" s="115"/>
      <c r="K991" s="115"/>
      <c r="L991" s="115"/>
      <c r="M991" s="115"/>
      <c r="N991" s="115"/>
      <c r="O991" s="115"/>
      <c r="P991" s="115"/>
    </row>
    <row r="992" spans="10:16" ht="12.5" x14ac:dyDescent="0.25">
      <c r="J992" s="115"/>
      <c r="K992" s="115"/>
      <c r="L992" s="115"/>
      <c r="M992" s="115"/>
      <c r="N992" s="115"/>
      <c r="O992" s="115"/>
      <c r="P992" s="115"/>
    </row>
    <row r="993" spans="10:16" ht="12.5" x14ac:dyDescent="0.25">
      <c r="J993" s="115"/>
      <c r="K993" s="115"/>
      <c r="L993" s="115"/>
      <c r="M993" s="115"/>
      <c r="N993" s="115"/>
      <c r="O993" s="115"/>
      <c r="P993" s="115"/>
    </row>
    <row r="994" spans="10:16" ht="12.5" x14ac:dyDescent="0.25">
      <c r="J994" s="115"/>
      <c r="K994" s="115"/>
      <c r="L994" s="115"/>
      <c r="M994" s="115"/>
      <c r="N994" s="115"/>
      <c r="O994" s="115"/>
      <c r="P994" s="115"/>
    </row>
    <row r="995" spans="10:16" ht="12.5" x14ac:dyDescent="0.25">
      <c r="J995" s="115"/>
      <c r="K995" s="115"/>
      <c r="L995" s="115"/>
      <c r="M995" s="115"/>
      <c r="N995" s="115"/>
      <c r="O995" s="115"/>
      <c r="P995" s="115"/>
    </row>
    <row r="996" spans="10:16" ht="12.5" x14ac:dyDescent="0.25">
      <c r="J996" s="115"/>
      <c r="K996" s="115"/>
      <c r="L996" s="115"/>
      <c r="M996" s="115"/>
      <c r="N996" s="115"/>
      <c r="O996" s="115"/>
      <c r="P996" s="115"/>
    </row>
    <row r="997" spans="10:16" ht="12.5" x14ac:dyDescent="0.25">
      <c r="J997" s="115"/>
      <c r="K997" s="115"/>
      <c r="L997" s="115"/>
      <c r="M997" s="115"/>
      <c r="N997" s="115"/>
      <c r="O997" s="115"/>
      <c r="P997" s="115"/>
    </row>
    <row r="998" spans="10:16" ht="12.5" x14ac:dyDescent="0.25">
      <c r="J998" s="115"/>
      <c r="K998" s="115"/>
      <c r="L998" s="115"/>
      <c r="M998" s="115"/>
      <c r="N998" s="115"/>
      <c r="O998" s="115"/>
      <c r="P998" s="115"/>
    </row>
    <row r="999" spans="10:16" ht="12.5" x14ac:dyDescent="0.25">
      <c r="J999" s="115"/>
      <c r="K999" s="115"/>
      <c r="L999" s="115"/>
      <c r="M999" s="115"/>
      <c r="N999" s="115"/>
      <c r="O999" s="115"/>
      <c r="P999" s="115"/>
    </row>
    <row r="1000" spans="10:16" ht="12.5" x14ac:dyDescent="0.25">
      <c r="J1000" s="115"/>
      <c r="K1000" s="115"/>
      <c r="L1000" s="115"/>
      <c r="M1000" s="115"/>
      <c r="N1000" s="115"/>
      <c r="O1000" s="115"/>
      <c r="P1000" s="115"/>
    </row>
    <row r="1001" spans="10:16" ht="12.5" x14ac:dyDescent="0.25">
      <c r="J1001" s="115"/>
      <c r="K1001" s="115"/>
      <c r="L1001" s="115"/>
      <c r="M1001" s="115"/>
      <c r="N1001" s="115"/>
      <c r="O1001" s="115"/>
      <c r="P1001" s="115"/>
    </row>
    <row r="1002" spans="10:16" ht="12.5" x14ac:dyDescent="0.25">
      <c r="J1002" s="115"/>
      <c r="K1002" s="115"/>
      <c r="L1002" s="115"/>
      <c r="M1002" s="115"/>
      <c r="N1002" s="115"/>
      <c r="O1002" s="115"/>
      <c r="P1002" s="115"/>
    </row>
    <row r="1003" spans="10:16" ht="12.5" x14ac:dyDescent="0.25">
      <c r="J1003" s="115"/>
      <c r="K1003" s="115"/>
      <c r="L1003" s="115"/>
      <c r="M1003" s="115"/>
      <c r="N1003" s="115"/>
      <c r="O1003" s="115"/>
      <c r="P1003" s="115"/>
    </row>
    <row r="1004" spans="10:16" ht="12.5" x14ac:dyDescent="0.25">
      <c r="J1004" s="115"/>
      <c r="K1004" s="115"/>
      <c r="L1004" s="115"/>
      <c r="M1004" s="115"/>
      <c r="N1004" s="115"/>
      <c r="O1004" s="115"/>
      <c r="P1004" s="115"/>
    </row>
    <row r="1005" spans="10:16" ht="12.5" x14ac:dyDescent="0.25">
      <c r="J1005" s="115"/>
      <c r="K1005" s="115"/>
      <c r="L1005" s="115"/>
      <c r="M1005" s="115"/>
      <c r="N1005" s="115"/>
      <c r="O1005" s="115"/>
      <c r="P1005" s="115"/>
    </row>
    <row r="1006" spans="10:16" ht="12.5" x14ac:dyDescent="0.25">
      <c r="J1006" s="115"/>
      <c r="K1006" s="115"/>
      <c r="L1006" s="115"/>
      <c r="M1006" s="115"/>
      <c r="N1006" s="115"/>
      <c r="O1006" s="115"/>
      <c r="P1006" s="115"/>
    </row>
    <row r="1007" spans="10:16" ht="12.5" x14ac:dyDescent="0.25">
      <c r="J1007" s="115"/>
      <c r="K1007" s="115"/>
      <c r="L1007" s="115"/>
      <c r="M1007" s="115"/>
      <c r="N1007" s="115"/>
      <c r="O1007" s="115"/>
      <c r="P1007" s="115"/>
    </row>
    <row r="1008" spans="10:16" ht="12.5" x14ac:dyDescent="0.25">
      <c r="J1008" s="115"/>
      <c r="K1008" s="115"/>
      <c r="L1008" s="115"/>
      <c r="M1008" s="115"/>
      <c r="N1008" s="115"/>
      <c r="O1008" s="115"/>
      <c r="P1008" s="115"/>
    </row>
    <row r="1009" spans="10:16" ht="12.5" x14ac:dyDescent="0.25">
      <c r="J1009" s="115"/>
      <c r="K1009" s="115"/>
      <c r="L1009" s="115"/>
      <c r="M1009" s="115"/>
      <c r="N1009" s="115"/>
      <c r="O1009" s="115"/>
      <c r="P1009" s="115"/>
    </row>
    <row r="1010" spans="10:16" ht="12.5" x14ac:dyDescent="0.25">
      <c r="J1010" s="115"/>
      <c r="K1010" s="115"/>
      <c r="L1010" s="115"/>
      <c r="M1010" s="115"/>
      <c r="N1010" s="115"/>
      <c r="O1010" s="115"/>
      <c r="P1010" s="115"/>
    </row>
    <row r="1011" spans="10:16" ht="12.5" x14ac:dyDescent="0.25">
      <c r="J1011" s="115"/>
      <c r="K1011" s="115"/>
      <c r="L1011" s="115"/>
      <c r="M1011" s="115"/>
      <c r="N1011" s="115"/>
      <c r="O1011" s="115"/>
      <c r="P1011" s="115"/>
    </row>
    <row r="1012" spans="10:16" ht="12.5" x14ac:dyDescent="0.25">
      <c r="J1012" s="115"/>
      <c r="K1012" s="115"/>
      <c r="L1012" s="115"/>
      <c r="M1012" s="115"/>
      <c r="N1012" s="115"/>
      <c r="O1012" s="115"/>
      <c r="P1012" s="115"/>
    </row>
    <row r="1013" spans="10:16" ht="12.5" x14ac:dyDescent="0.25">
      <c r="J1013" s="115"/>
      <c r="K1013" s="115"/>
      <c r="L1013" s="115"/>
      <c r="M1013" s="115"/>
      <c r="N1013" s="115"/>
      <c r="O1013" s="115"/>
      <c r="P1013" s="115"/>
    </row>
    <row r="1014" spans="10:16" ht="12.5" x14ac:dyDescent="0.25">
      <c r="J1014" s="115"/>
      <c r="K1014" s="115"/>
      <c r="L1014" s="115"/>
      <c r="M1014" s="115"/>
      <c r="N1014" s="115"/>
      <c r="O1014" s="115"/>
      <c r="P1014" s="115"/>
    </row>
    <row r="1015" spans="10:16" ht="12.5" x14ac:dyDescent="0.25">
      <c r="J1015" s="115"/>
      <c r="K1015" s="115"/>
      <c r="L1015" s="115"/>
      <c r="M1015" s="115"/>
      <c r="N1015" s="115"/>
      <c r="O1015" s="115"/>
      <c r="P1015" s="115"/>
    </row>
    <row r="1016" spans="10:16" ht="12.5" x14ac:dyDescent="0.25">
      <c r="J1016" s="115"/>
      <c r="K1016" s="115"/>
      <c r="L1016" s="115"/>
      <c r="M1016" s="115"/>
      <c r="N1016" s="115"/>
      <c r="O1016" s="115"/>
      <c r="P1016" s="115"/>
    </row>
    <row r="1017" spans="10:16" ht="12.5" x14ac:dyDescent="0.25">
      <c r="J1017" s="115"/>
      <c r="K1017" s="115"/>
      <c r="L1017" s="115"/>
      <c r="M1017" s="115"/>
      <c r="N1017" s="115"/>
      <c r="O1017" s="115"/>
      <c r="P1017" s="115"/>
    </row>
    <row r="1018" spans="10:16" ht="12.5" x14ac:dyDescent="0.25">
      <c r="J1018" s="115"/>
      <c r="K1018" s="115"/>
      <c r="L1018" s="115"/>
      <c r="M1018" s="115"/>
      <c r="N1018" s="115"/>
      <c r="O1018" s="115"/>
      <c r="P1018" s="115"/>
    </row>
    <row r="1019" spans="10:16" ht="12.5" x14ac:dyDescent="0.25">
      <c r="J1019" s="115"/>
      <c r="K1019" s="115"/>
      <c r="L1019" s="115"/>
      <c r="M1019" s="115"/>
      <c r="N1019" s="115"/>
      <c r="O1019" s="115"/>
      <c r="P1019" s="115"/>
    </row>
    <row r="1020" spans="10:16" ht="12.5" x14ac:dyDescent="0.25">
      <c r="J1020" s="115"/>
      <c r="K1020" s="115"/>
      <c r="L1020" s="115"/>
      <c r="M1020" s="115"/>
      <c r="N1020" s="115"/>
      <c r="O1020" s="115"/>
      <c r="P1020" s="115"/>
    </row>
    <row r="1021" spans="10:16" ht="12.5" x14ac:dyDescent="0.25">
      <c r="J1021" s="115"/>
      <c r="K1021" s="115"/>
      <c r="L1021" s="115"/>
      <c r="M1021" s="115"/>
      <c r="N1021" s="115"/>
      <c r="O1021" s="115"/>
      <c r="P1021" s="115"/>
    </row>
    <row r="1022" spans="10:16" ht="12.5" x14ac:dyDescent="0.25">
      <c r="J1022" s="115"/>
      <c r="K1022" s="115"/>
      <c r="L1022" s="115"/>
      <c r="M1022" s="115"/>
      <c r="N1022" s="115"/>
      <c r="O1022" s="115"/>
      <c r="P1022" s="115"/>
    </row>
    <row r="1023" spans="10:16" ht="12.5" x14ac:dyDescent="0.25">
      <c r="J1023" s="115"/>
      <c r="K1023" s="115"/>
      <c r="L1023" s="115"/>
      <c r="M1023" s="115"/>
      <c r="N1023" s="115"/>
      <c r="O1023" s="115"/>
      <c r="P1023" s="115"/>
    </row>
    <row r="1024" spans="10:16" ht="12.5" x14ac:dyDescent="0.25">
      <c r="J1024" s="115"/>
      <c r="K1024" s="115"/>
      <c r="L1024" s="115"/>
      <c r="M1024" s="115"/>
      <c r="N1024" s="115"/>
      <c r="O1024" s="115"/>
      <c r="P1024" s="115"/>
    </row>
    <row r="1025" spans="10:16" ht="12.5" x14ac:dyDescent="0.25">
      <c r="J1025" s="115"/>
      <c r="K1025" s="115"/>
      <c r="L1025" s="115"/>
      <c r="M1025" s="115"/>
      <c r="N1025" s="115"/>
      <c r="O1025" s="115"/>
      <c r="P1025" s="115"/>
    </row>
    <row r="1026" spans="10:16" ht="12.5" x14ac:dyDescent="0.25">
      <c r="J1026" s="115"/>
      <c r="K1026" s="115"/>
      <c r="L1026" s="115"/>
      <c r="M1026" s="115"/>
      <c r="N1026" s="115"/>
      <c r="O1026" s="115"/>
      <c r="P1026" s="115"/>
    </row>
    <row r="1027" spans="10:16" ht="12.5" x14ac:dyDescent="0.25">
      <c r="J1027" s="115"/>
      <c r="K1027" s="115"/>
      <c r="L1027" s="115"/>
      <c r="M1027" s="115"/>
      <c r="N1027" s="115"/>
      <c r="O1027" s="115"/>
      <c r="P1027" s="115"/>
    </row>
    <row r="1028" spans="10:16" ht="12.5" x14ac:dyDescent="0.25">
      <c r="J1028" s="115"/>
      <c r="K1028" s="115"/>
      <c r="L1028" s="115"/>
      <c r="M1028" s="115"/>
      <c r="N1028" s="115"/>
      <c r="O1028" s="115"/>
      <c r="P1028" s="115"/>
    </row>
    <row r="1029" spans="10:16" ht="12.5" x14ac:dyDescent="0.25">
      <c r="J1029" s="115"/>
      <c r="K1029" s="115"/>
      <c r="L1029" s="115"/>
      <c r="M1029" s="115"/>
      <c r="N1029" s="115"/>
      <c r="O1029" s="115"/>
      <c r="P1029" s="115"/>
    </row>
    <row r="1030" spans="10:16" ht="12.5" x14ac:dyDescent="0.25">
      <c r="J1030" s="115"/>
      <c r="K1030" s="115"/>
      <c r="L1030" s="115"/>
      <c r="M1030" s="115"/>
      <c r="N1030" s="115"/>
      <c r="O1030" s="115"/>
      <c r="P1030" s="115"/>
    </row>
    <row r="1031" spans="10:16" ht="12.5" x14ac:dyDescent="0.25">
      <c r="J1031" s="115"/>
      <c r="K1031" s="115"/>
      <c r="L1031" s="115"/>
      <c r="M1031" s="115"/>
      <c r="N1031" s="115"/>
      <c r="O1031" s="115"/>
      <c r="P1031" s="115"/>
    </row>
    <row r="1032" spans="10:16" ht="12.5" x14ac:dyDescent="0.25">
      <c r="J1032" s="115"/>
      <c r="K1032" s="115"/>
      <c r="L1032" s="115"/>
      <c r="M1032" s="115"/>
      <c r="N1032" s="115"/>
      <c r="O1032" s="115"/>
      <c r="P1032" s="115"/>
    </row>
    <row r="1033" spans="10:16" ht="12.5" x14ac:dyDescent="0.25">
      <c r="J1033" s="115"/>
      <c r="K1033" s="115"/>
      <c r="L1033" s="115"/>
      <c r="M1033" s="115"/>
      <c r="N1033" s="115"/>
      <c r="O1033" s="115"/>
      <c r="P1033" s="115"/>
    </row>
    <row r="1034" spans="10:16" ht="12.5" x14ac:dyDescent="0.25">
      <c r="J1034" s="115"/>
      <c r="K1034" s="115"/>
      <c r="L1034" s="115"/>
      <c r="M1034" s="115"/>
      <c r="N1034" s="115"/>
      <c r="O1034" s="115"/>
      <c r="P1034" s="115"/>
    </row>
    <row r="1035" spans="10:16" ht="12.5" x14ac:dyDescent="0.25">
      <c r="J1035" s="115"/>
      <c r="K1035" s="115"/>
      <c r="L1035" s="115"/>
      <c r="M1035" s="115"/>
      <c r="N1035" s="115"/>
      <c r="O1035" s="115"/>
      <c r="P1035" s="115"/>
    </row>
    <row r="1036" spans="10:16" ht="12.5" x14ac:dyDescent="0.25">
      <c r="J1036" s="115"/>
      <c r="K1036" s="115"/>
      <c r="L1036" s="115"/>
      <c r="M1036" s="115"/>
      <c r="N1036" s="115"/>
      <c r="O1036" s="115"/>
      <c r="P1036" s="115"/>
    </row>
    <row r="1037" spans="10:16" ht="12.5" x14ac:dyDescent="0.25">
      <c r="J1037" s="115"/>
      <c r="K1037" s="115"/>
      <c r="L1037" s="115"/>
      <c r="M1037" s="115"/>
      <c r="N1037" s="115"/>
      <c r="O1037" s="115"/>
      <c r="P1037" s="115"/>
    </row>
    <row r="1038" spans="10:16" ht="12.5" x14ac:dyDescent="0.25">
      <c r="J1038" s="115"/>
      <c r="K1038" s="115"/>
      <c r="L1038" s="115"/>
      <c r="M1038" s="115"/>
      <c r="N1038" s="115"/>
      <c r="O1038" s="115"/>
      <c r="P1038" s="115"/>
    </row>
    <row r="1039" spans="10:16" ht="12.5" x14ac:dyDescent="0.25">
      <c r="J1039" s="115"/>
      <c r="K1039" s="115"/>
      <c r="L1039" s="115"/>
      <c r="M1039" s="115"/>
      <c r="N1039" s="115"/>
      <c r="O1039" s="115"/>
      <c r="P1039" s="115"/>
    </row>
    <row r="1040" spans="10:16" ht="12.5" x14ac:dyDescent="0.25">
      <c r="J1040" s="115"/>
      <c r="K1040" s="115"/>
      <c r="L1040" s="115"/>
      <c r="M1040" s="115"/>
      <c r="N1040" s="115"/>
      <c r="O1040" s="115"/>
      <c r="P1040" s="115"/>
    </row>
    <row r="1041" spans="10:16" ht="12.5" x14ac:dyDescent="0.25">
      <c r="J1041" s="115"/>
      <c r="K1041" s="115"/>
      <c r="L1041" s="115"/>
      <c r="M1041" s="115"/>
      <c r="N1041" s="115"/>
      <c r="O1041" s="115"/>
      <c r="P1041" s="115"/>
    </row>
    <row r="1042" spans="10:16" ht="12.5" x14ac:dyDescent="0.25">
      <c r="J1042" s="115"/>
      <c r="K1042" s="115"/>
      <c r="L1042" s="115"/>
      <c r="M1042" s="115"/>
      <c r="N1042" s="115"/>
      <c r="O1042" s="115"/>
      <c r="P1042" s="115"/>
    </row>
    <row r="1043" spans="10:16" ht="12.5" x14ac:dyDescent="0.25">
      <c r="J1043" s="115"/>
      <c r="K1043" s="115"/>
      <c r="L1043" s="115"/>
      <c r="M1043" s="115"/>
      <c r="N1043" s="115"/>
      <c r="O1043" s="115"/>
      <c r="P1043" s="115"/>
    </row>
    <row r="1044" spans="10:16" ht="12.5" x14ac:dyDescent="0.25">
      <c r="J1044" s="115"/>
      <c r="K1044" s="115"/>
      <c r="L1044" s="115"/>
      <c r="M1044" s="115"/>
      <c r="N1044" s="115"/>
      <c r="O1044" s="115"/>
      <c r="P1044" s="115"/>
    </row>
  </sheetData>
  <mergeCells count="419">
    <mergeCell ref="D114:I114"/>
    <mergeCell ref="K114:L114"/>
    <mergeCell ref="K117:L117"/>
    <mergeCell ref="K118:L118"/>
    <mergeCell ref="K119:L119"/>
    <mergeCell ref="M119:N119"/>
    <mergeCell ref="O119:P119"/>
    <mergeCell ref="Q119:V119"/>
    <mergeCell ref="D120:N120"/>
    <mergeCell ref="O120:P120"/>
    <mergeCell ref="M114:N114"/>
    <mergeCell ref="O114:P114"/>
    <mergeCell ref="Q114:V114"/>
    <mergeCell ref="K115:L115"/>
    <mergeCell ref="M115:N115"/>
    <mergeCell ref="O115:P115"/>
    <mergeCell ref="Q115:V115"/>
    <mergeCell ref="K112:L112"/>
    <mergeCell ref="M112:N112"/>
    <mergeCell ref="K113:L113"/>
    <mergeCell ref="M113:N113"/>
    <mergeCell ref="O113:P113"/>
    <mergeCell ref="K109:L109"/>
    <mergeCell ref="M109:N109"/>
    <mergeCell ref="O109:P109"/>
    <mergeCell ref="Q109:V109"/>
    <mergeCell ref="D110:I110"/>
    <mergeCell ref="O112:P112"/>
    <mergeCell ref="Q112:V112"/>
    <mergeCell ref="Q113:V113"/>
    <mergeCell ref="O110:P110"/>
    <mergeCell ref="Q110:V110"/>
    <mergeCell ref="K111:L111"/>
    <mergeCell ref="M111:N111"/>
    <mergeCell ref="O111:P111"/>
    <mergeCell ref="Q111:V111"/>
    <mergeCell ref="D112:I112"/>
    <mergeCell ref="O117:P117"/>
    <mergeCell ref="Q117:V117"/>
    <mergeCell ref="M118:N118"/>
    <mergeCell ref="O118:P118"/>
    <mergeCell ref="D116:I116"/>
    <mergeCell ref="K116:L116"/>
    <mergeCell ref="M116:N116"/>
    <mergeCell ref="O116:P116"/>
    <mergeCell ref="Q116:V116"/>
    <mergeCell ref="M117:N117"/>
    <mergeCell ref="D118:I118"/>
    <mergeCell ref="Q118:V118"/>
    <mergeCell ref="O108:P108"/>
    <mergeCell ref="Q108:V108"/>
    <mergeCell ref="K106:L106"/>
    <mergeCell ref="M106:N106"/>
    <mergeCell ref="K107:L107"/>
    <mergeCell ref="M107:N107"/>
    <mergeCell ref="O107:P107"/>
    <mergeCell ref="Q107:V107"/>
    <mergeCell ref="D108:I108"/>
    <mergeCell ref="K108:L108"/>
    <mergeCell ref="M108:N108"/>
    <mergeCell ref="O106:P106"/>
    <mergeCell ref="Q106:V106"/>
    <mergeCell ref="K104:L104"/>
    <mergeCell ref="M104:N104"/>
    <mergeCell ref="K105:L105"/>
    <mergeCell ref="M105:N105"/>
    <mergeCell ref="O105:P105"/>
    <mergeCell ref="Q105:V105"/>
    <mergeCell ref="D106:I106"/>
    <mergeCell ref="K100:L100"/>
    <mergeCell ref="M100:N100"/>
    <mergeCell ref="K101:L101"/>
    <mergeCell ref="M101:N101"/>
    <mergeCell ref="O101:P101"/>
    <mergeCell ref="Q101:V101"/>
    <mergeCell ref="D102:I102"/>
    <mergeCell ref="O104:P104"/>
    <mergeCell ref="Q104:V104"/>
    <mergeCell ref="K102:L102"/>
    <mergeCell ref="M102:N102"/>
    <mergeCell ref="K103:L103"/>
    <mergeCell ref="M103:N103"/>
    <mergeCell ref="O103:P103"/>
    <mergeCell ref="Q103:V103"/>
    <mergeCell ref="D104:I104"/>
    <mergeCell ref="D90:I90"/>
    <mergeCell ref="K90:L90"/>
    <mergeCell ref="K110:L110"/>
    <mergeCell ref="M110:N110"/>
    <mergeCell ref="O98:P98"/>
    <mergeCell ref="Q98:V98"/>
    <mergeCell ref="K96:L96"/>
    <mergeCell ref="M96:N96"/>
    <mergeCell ref="K97:L97"/>
    <mergeCell ref="M97:N97"/>
    <mergeCell ref="O97:P97"/>
    <mergeCell ref="Q97:V97"/>
    <mergeCell ref="D98:I98"/>
    <mergeCell ref="O100:P100"/>
    <mergeCell ref="Q100:V100"/>
    <mergeCell ref="K98:L98"/>
    <mergeCell ref="M98:N98"/>
    <mergeCell ref="K99:L99"/>
    <mergeCell ref="M99:N99"/>
    <mergeCell ref="O99:P99"/>
    <mergeCell ref="Q99:V99"/>
    <mergeCell ref="D100:I100"/>
    <mergeCell ref="O102:P102"/>
    <mergeCell ref="Q102:V102"/>
    <mergeCell ref="M90:N90"/>
    <mergeCell ref="O90:P90"/>
    <mergeCell ref="Q90:V90"/>
    <mergeCell ref="K91:L91"/>
    <mergeCell ref="M91:N91"/>
    <mergeCell ref="O91:P91"/>
    <mergeCell ref="Q91:V91"/>
    <mergeCell ref="K88:L88"/>
    <mergeCell ref="M88:N88"/>
    <mergeCell ref="K89:L89"/>
    <mergeCell ref="M89:N89"/>
    <mergeCell ref="O89:P89"/>
    <mergeCell ref="K85:L85"/>
    <mergeCell ref="M85:N85"/>
    <mergeCell ref="O85:P85"/>
    <mergeCell ref="Q85:V85"/>
    <mergeCell ref="D86:I86"/>
    <mergeCell ref="O88:P88"/>
    <mergeCell ref="Q88:V88"/>
    <mergeCell ref="Q89:V89"/>
    <mergeCell ref="O86:P86"/>
    <mergeCell ref="Q86:V86"/>
    <mergeCell ref="K87:L87"/>
    <mergeCell ref="M87:N87"/>
    <mergeCell ref="O87:P87"/>
    <mergeCell ref="Q87:V87"/>
    <mergeCell ref="D88:I88"/>
    <mergeCell ref="O96:P96"/>
    <mergeCell ref="Q96:V96"/>
    <mergeCell ref="K93:L93"/>
    <mergeCell ref="K94:L94"/>
    <mergeCell ref="K95:L95"/>
    <mergeCell ref="M95:N95"/>
    <mergeCell ref="O95:P95"/>
    <mergeCell ref="Q95:V95"/>
    <mergeCell ref="D96:I96"/>
    <mergeCell ref="O93:P93"/>
    <mergeCell ref="Q93:V93"/>
    <mergeCell ref="M94:N94"/>
    <mergeCell ref="O94:P94"/>
    <mergeCell ref="D92:I92"/>
    <mergeCell ref="K92:L92"/>
    <mergeCell ref="M92:N92"/>
    <mergeCell ref="O92:P92"/>
    <mergeCell ref="Q92:V92"/>
    <mergeCell ref="M93:N93"/>
    <mergeCell ref="D94:I94"/>
    <mergeCell ref="Q94:V94"/>
    <mergeCell ref="O84:P84"/>
    <mergeCell ref="Q84:V84"/>
    <mergeCell ref="K82:L82"/>
    <mergeCell ref="M82:N82"/>
    <mergeCell ref="K83:L83"/>
    <mergeCell ref="M83:N83"/>
    <mergeCell ref="O83:P83"/>
    <mergeCell ref="Q83:V83"/>
    <mergeCell ref="D84:I84"/>
    <mergeCell ref="K84:L84"/>
    <mergeCell ref="M84:N84"/>
    <mergeCell ref="O82:P82"/>
    <mergeCell ref="Q82:V82"/>
    <mergeCell ref="K80:L80"/>
    <mergeCell ref="M80:N80"/>
    <mergeCell ref="K81:L81"/>
    <mergeCell ref="M81:N81"/>
    <mergeCell ref="O81:P81"/>
    <mergeCell ref="Q81:V81"/>
    <mergeCell ref="D82:I82"/>
    <mergeCell ref="O80:P80"/>
    <mergeCell ref="Q80:V80"/>
    <mergeCell ref="K78:L78"/>
    <mergeCell ref="M78:N78"/>
    <mergeCell ref="K79:L79"/>
    <mergeCell ref="M79:N79"/>
    <mergeCell ref="O79:P79"/>
    <mergeCell ref="Q79:V79"/>
    <mergeCell ref="D80:I80"/>
    <mergeCell ref="O78:P78"/>
    <mergeCell ref="Q78:V78"/>
    <mergeCell ref="K76:L76"/>
    <mergeCell ref="M76:N76"/>
    <mergeCell ref="K77:L77"/>
    <mergeCell ref="M77:N77"/>
    <mergeCell ref="O77:P77"/>
    <mergeCell ref="Q77:V77"/>
    <mergeCell ref="D78:I78"/>
    <mergeCell ref="O64:P64"/>
    <mergeCell ref="Q64:V64"/>
    <mergeCell ref="Q65:V65"/>
    <mergeCell ref="M66:N66"/>
    <mergeCell ref="O66:P66"/>
    <mergeCell ref="Q66:V66"/>
    <mergeCell ref="K86:L86"/>
    <mergeCell ref="M86:N86"/>
    <mergeCell ref="D62:I62"/>
    <mergeCell ref="D63:I63"/>
    <mergeCell ref="K63:L63"/>
    <mergeCell ref="M63:N63"/>
    <mergeCell ref="O63:P63"/>
    <mergeCell ref="Q63:V63"/>
    <mergeCell ref="D64:I64"/>
    <mergeCell ref="K64:L64"/>
    <mergeCell ref="M64:N64"/>
    <mergeCell ref="K65:L65"/>
    <mergeCell ref="M65:N65"/>
    <mergeCell ref="O65:P65"/>
    <mergeCell ref="D66:I66"/>
    <mergeCell ref="K66:L66"/>
    <mergeCell ref="K71:L71"/>
    <mergeCell ref="D72:I72"/>
    <mergeCell ref="M62:N62"/>
    <mergeCell ref="O62:P62"/>
    <mergeCell ref="D61:I61"/>
    <mergeCell ref="K61:L61"/>
    <mergeCell ref="M61:N61"/>
    <mergeCell ref="O61:P61"/>
    <mergeCell ref="Q61:V61"/>
    <mergeCell ref="K62:L62"/>
    <mergeCell ref="Q62:V62"/>
    <mergeCell ref="O60:P60"/>
    <mergeCell ref="Q60:V60"/>
    <mergeCell ref="D58:I58"/>
    <mergeCell ref="D59:I59"/>
    <mergeCell ref="K59:L59"/>
    <mergeCell ref="M59:N59"/>
    <mergeCell ref="O59:P59"/>
    <mergeCell ref="Q59:V59"/>
    <mergeCell ref="D60:I60"/>
    <mergeCell ref="D74:I74"/>
    <mergeCell ref="K74:L74"/>
    <mergeCell ref="Q74:V74"/>
    <mergeCell ref="O76:P76"/>
    <mergeCell ref="Q76:V76"/>
    <mergeCell ref="M74:N74"/>
    <mergeCell ref="O74:P74"/>
    <mergeCell ref="K75:L75"/>
    <mergeCell ref="M75:N75"/>
    <mergeCell ref="O75:P75"/>
    <mergeCell ref="Q75:V75"/>
    <mergeCell ref="D76:I76"/>
    <mergeCell ref="K69:L69"/>
    <mergeCell ref="M69:N69"/>
    <mergeCell ref="O69:P69"/>
    <mergeCell ref="Q69:V69"/>
    <mergeCell ref="D70:I70"/>
    <mergeCell ref="K70:L70"/>
    <mergeCell ref="K73:L73"/>
    <mergeCell ref="M73:N73"/>
    <mergeCell ref="O73:P73"/>
    <mergeCell ref="Q73:V73"/>
    <mergeCell ref="K72:L72"/>
    <mergeCell ref="M72:N72"/>
    <mergeCell ref="O72:P72"/>
    <mergeCell ref="M70:N70"/>
    <mergeCell ref="O70:P70"/>
    <mergeCell ref="Q70:V70"/>
    <mergeCell ref="M71:N71"/>
    <mergeCell ref="O71:P71"/>
    <mergeCell ref="Q71:V71"/>
    <mergeCell ref="Q72:V72"/>
    <mergeCell ref="K67:L67"/>
    <mergeCell ref="M67:N67"/>
    <mergeCell ref="O67:P67"/>
    <mergeCell ref="Q67:V67"/>
    <mergeCell ref="D68:I68"/>
    <mergeCell ref="K68:L68"/>
    <mergeCell ref="M68:N68"/>
    <mergeCell ref="O68:P68"/>
    <mergeCell ref="Q68:V68"/>
    <mergeCell ref="Z39:AA39"/>
    <mergeCell ref="Z40:AA40"/>
    <mergeCell ref="T37:U37"/>
    <mergeCell ref="X37:Y37"/>
    <mergeCell ref="X38:Y38"/>
    <mergeCell ref="Z38:AA38"/>
    <mergeCell ref="T39:U39"/>
    <mergeCell ref="X39:Y40"/>
    <mergeCell ref="T40:V40"/>
    <mergeCell ref="F37:G37"/>
    <mergeCell ref="D50:F50"/>
    <mergeCell ref="D51:F51"/>
    <mergeCell ref="D52:G52"/>
    <mergeCell ref="D53:G53"/>
    <mergeCell ref="D42:H43"/>
    <mergeCell ref="D44:F44"/>
    <mergeCell ref="D45:F45"/>
    <mergeCell ref="D46:F46"/>
    <mergeCell ref="D47:F47"/>
    <mergeCell ref="D48:F48"/>
    <mergeCell ref="D49:F49"/>
    <mergeCell ref="Z14:AA14"/>
    <mergeCell ref="D12:H13"/>
    <mergeCell ref="J12:P13"/>
    <mergeCell ref="X12:AA12"/>
    <mergeCell ref="X13:Y13"/>
    <mergeCell ref="Z13:AA13"/>
    <mergeCell ref="D14:G14"/>
    <mergeCell ref="J14:K14"/>
    <mergeCell ref="X27:Y27"/>
    <mergeCell ref="T23:U23"/>
    <mergeCell ref="T24:U24"/>
    <mergeCell ref="T25:U25"/>
    <mergeCell ref="T26:U26"/>
    <mergeCell ref="X26:AA26"/>
    <mergeCell ref="T27:U27"/>
    <mergeCell ref="R22:S22"/>
    <mergeCell ref="R23:S23"/>
    <mergeCell ref="R24:S24"/>
    <mergeCell ref="R25:S25"/>
    <mergeCell ref="R26:S26"/>
    <mergeCell ref="R27:S27"/>
    <mergeCell ref="D25:F25"/>
    <mergeCell ref="D26:F26"/>
    <mergeCell ref="D27:F27"/>
    <mergeCell ref="D2:E2"/>
    <mergeCell ref="G2:L2"/>
    <mergeCell ref="D3:E3"/>
    <mergeCell ref="N3:Q5"/>
    <mergeCell ref="H4:I4"/>
    <mergeCell ref="J4:K4"/>
    <mergeCell ref="H5:I5"/>
    <mergeCell ref="R12:V13"/>
    <mergeCell ref="R14:S14"/>
    <mergeCell ref="T14:U14"/>
    <mergeCell ref="K60:L60"/>
    <mergeCell ref="M60:N60"/>
    <mergeCell ref="J5:K5"/>
    <mergeCell ref="S5:X5"/>
    <mergeCell ref="U8:V8"/>
    <mergeCell ref="W8:X8"/>
    <mergeCell ref="N6:Q6"/>
    <mergeCell ref="N7:P7"/>
    <mergeCell ref="S7:T7"/>
    <mergeCell ref="U7:V7"/>
    <mergeCell ref="W7:X7"/>
    <mergeCell ref="N8:P8"/>
    <mergeCell ref="S8:T8"/>
    <mergeCell ref="X14:Y14"/>
    <mergeCell ref="X28:Y28"/>
    <mergeCell ref="T28:U28"/>
    <mergeCell ref="R31:S31"/>
    <mergeCell ref="R33:S33"/>
    <mergeCell ref="R29:S29"/>
    <mergeCell ref="X34:AA34"/>
    <mergeCell ref="X35:Y35"/>
    <mergeCell ref="Z35:AA35"/>
    <mergeCell ref="T29:U29"/>
    <mergeCell ref="X29:Y29"/>
    <mergeCell ref="D23:H24"/>
    <mergeCell ref="T33:U33"/>
    <mergeCell ref="T34:U34"/>
    <mergeCell ref="R35:S35"/>
    <mergeCell ref="T35:U35"/>
    <mergeCell ref="T36:U36"/>
    <mergeCell ref="X36:AA36"/>
    <mergeCell ref="R37:S37"/>
    <mergeCell ref="Z37:AA37"/>
    <mergeCell ref="T30:U30"/>
    <mergeCell ref="X30:Y30"/>
    <mergeCell ref="T31:U31"/>
    <mergeCell ref="T32:U32"/>
    <mergeCell ref="X32:AA33"/>
    <mergeCell ref="D28:F28"/>
    <mergeCell ref="D29:F29"/>
    <mergeCell ref="D30:F30"/>
    <mergeCell ref="D31:F31"/>
    <mergeCell ref="D32:F32"/>
    <mergeCell ref="D33:F33"/>
    <mergeCell ref="D34:F34"/>
    <mergeCell ref="D35:F35"/>
    <mergeCell ref="D36:E37"/>
    <mergeCell ref="F36:G36"/>
    <mergeCell ref="R21:S21"/>
    <mergeCell ref="T21:U21"/>
    <mergeCell ref="T22:U22"/>
    <mergeCell ref="D16:G16"/>
    <mergeCell ref="D17:G17"/>
    <mergeCell ref="D18:G18"/>
    <mergeCell ref="D19:G19"/>
    <mergeCell ref="D20:G20"/>
    <mergeCell ref="D21:G21"/>
    <mergeCell ref="R17:S17"/>
    <mergeCell ref="T17:U17"/>
    <mergeCell ref="Z17:AA17"/>
    <mergeCell ref="R18:S18"/>
    <mergeCell ref="T18:U18"/>
    <mergeCell ref="R19:S19"/>
    <mergeCell ref="T19:U19"/>
    <mergeCell ref="R20:S20"/>
    <mergeCell ref="T20:U20"/>
    <mergeCell ref="D15:G15"/>
    <mergeCell ref="R15:S15"/>
    <mergeCell ref="T15:U15"/>
    <mergeCell ref="Z15:AA15"/>
    <mergeCell ref="R16:S16"/>
    <mergeCell ref="T16:U16"/>
    <mergeCell ref="Z16:AA16"/>
    <mergeCell ref="X15:Y15"/>
    <mergeCell ref="X16:Y16"/>
    <mergeCell ref="D39:F40"/>
    <mergeCell ref="G39:H40"/>
    <mergeCell ref="R39:S39"/>
    <mergeCell ref="R40:S40"/>
    <mergeCell ref="J42:R42"/>
    <mergeCell ref="T42:V42"/>
    <mergeCell ref="D56:V57"/>
    <mergeCell ref="K58:L58"/>
    <mergeCell ref="Q58:V58"/>
    <mergeCell ref="M58:N58"/>
    <mergeCell ref="O58:P58"/>
  </mergeCells>
  <conditionalFormatting sqref="Z39:AA40">
    <cfRule type="cellIs" dxfId="27" priority="1" operator="greaterThanOrEqual">
      <formula>0</formula>
    </cfRule>
    <cfRule type="cellIs" dxfId="26" priority="3" operator="lessThan">
      <formula>0</formula>
    </cfRule>
    <cfRule type="containsText" dxfId="25" priority="4" operator="containsText" text="falta">
      <formula>NOT(ISERROR(SEARCH(("falta"),(Z39))))</formula>
    </cfRule>
  </conditionalFormatting>
  <conditionalFormatting sqref="Z40:AA40">
    <cfRule type="containsText" dxfId="24" priority="2" operator="containsText" text="sobra">
      <formula>NOT(ISERROR(SEARCH(("sobra"),(Z40))))</formula>
    </cfRule>
  </conditionalFormatting>
  <dataValidations count="3">
    <dataValidation type="list" allowBlank="1" showErrorMessage="1" sqref="G45:G51" xr:uid="{00000000-0002-0000-0700-000000000000}">
      <formula1>"Ahorro,Inversión"</formula1>
    </dataValidation>
    <dataValidation type="list" allowBlank="1" showErrorMessage="1" sqref="K59:K119" xr:uid="{00000000-0002-0000-0700-000001000000}">
      <formula1>"Transporte,Alimentación,Restaurantes,Delivery,Bares,Ropa,Belleza,Gasolina,Hogar,Tarjeta de crédito,Ocio,Pequeñas compras,Tasas/Impuestos,Viajes/vacaciones,Tecnología,Reparaciones,Salud,Higiene,Cursos/Formación/Trabajo,Mascotas,Familia,Otros,Préstamos"</formula1>
    </dataValidation>
    <dataValidation type="list" allowBlank="1" showErrorMessage="1" sqref="N15:N39 M59:M119" xr:uid="{00000000-0002-0000-0700-000002000000}">
      <formula1>"Transferencia,Tarjeta de débito,Efectivo,Tarjeta de crédito"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D1044"/>
  <sheetViews>
    <sheetView workbookViewId="0"/>
  </sheetViews>
  <sheetFormatPr baseColWidth="10" defaultColWidth="12.6328125" defaultRowHeight="15.75" customHeight="1" x14ac:dyDescent="0.25"/>
  <cols>
    <col min="7" max="7" width="13.7265625" customWidth="1"/>
    <col min="14" max="14" width="17.6328125" customWidth="1"/>
  </cols>
  <sheetData>
    <row r="1" spans="1:30" ht="15.7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8"/>
      <c r="O1" s="28"/>
      <c r="P1" s="28"/>
      <c r="Q1" s="28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x14ac:dyDescent="0.3">
      <c r="A2" s="2"/>
      <c r="B2" s="2"/>
      <c r="C2" s="2"/>
      <c r="D2" s="254" t="s">
        <v>45</v>
      </c>
      <c r="E2" s="200"/>
      <c r="F2" s="11"/>
      <c r="G2" s="244" t="s">
        <v>46</v>
      </c>
      <c r="H2" s="245"/>
      <c r="I2" s="245"/>
      <c r="J2" s="245"/>
      <c r="K2" s="245"/>
      <c r="L2" s="246"/>
      <c r="M2" s="29"/>
      <c r="N2" s="11"/>
      <c r="O2" s="11"/>
      <c r="P2" s="11"/>
      <c r="Q2" s="11"/>
      <c r="R2" s="11"/>
      <c r="S2" s="11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5.75" customHeight="1" x14ac:dyDescent="0.4">
      <c r="A3" s="2"/>
      <c r="B3" s="2"/>
      <c r="C3" s="2"/>
      <c r="D3" s="255">
        <f>CTAS!B8</f>
        <v>0</v>
      </c>
      <c r="E3" s="236"/>
      <c r="F3" s="2"/>
      <c r="G3" s="2"/>
      <c r="H3" s="2"/>
      <c r="I3" s="2"/>
      <c r="J3" s="2"/>
      <c r="K3" s="2"/>
      <c r="L3" s="2"/>
      <c r="M3" s="11"/>
      <c r="N3" s="256" t="s">
        <v>6</v>
      </c>
      <c r="O3" s="209"/>
      <c r="P3" s="209"/>
      <c r="Q3" s="129"/>
      <c r="R3" s="30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3">
      <c r="A4" s="2"/>
      <c r="B4" s="2"/>
      <c r="C4" s="2"/>
      <c r="D4" s="28"/>
      <c r="E4" s="28"/>
      <c r="F4" s="2"/>
      <c r="G4" s="28"/>
      <c r="H4" s="259" t="s">
        <v>15</v>
      </c>
      <c r="I4" s="224"/>
      <c r="J4" s="260" t="s">
        <v>47</v>
      </c>
      <c r="K4" s="119"/>
      <c r="L4" s="31" t="s">
        <v>14</v>
      </c>
      <c r="M4" s="32"/>
      <c r="N4" s="257"/>
      <c r="O4" s="197"/>
      <c r="P4" s="197"/>
      <c r="Q4" s="258"/>
      <c r="R4" s="30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x14ac:dyDescent="0.3">
      <c r="A5" s="2"/>
      <c r="B5" s="2"/>
      <c r="C5" s="2"/>
      <c r="D5" s="2"/>
      <c r="E5" s="2"/>
      <c r="F5" s="2"/>
      <c r="G5" s="33" t="s">
        <v>48</v>
      </c>
      <c r="H5" s="261">
        <f>H37</f>
        <v>0</v>
      </c>
      <c r="I5" s="219"/>
      <c r="J5" s="243">
        <f>G39</f>
        <v>0</v>
      </c>
      <c r="K5" s="201"/>
      <c r="L5" s="34">
        <f>H5+J5</f>
        <v>0</v>
      </c>
      <c r="M5" s="32"/>
      <c r="N5" s="257"/>
      <c r="O5" s="197"/>
      <c r="P5" s="197"/>
      <c r="Q5" s="258"/>
      <c r="R5" s="29"/>
      <c r="S5" s="244" t="s">
        <v>49</v>
      </c>
      <c r="T5" s="245"/>
      <c r="U5" s="245"/>
      <c r="V5" s="245"/>
      <c r="W5" s="245"/>
      <c r="X5" s="246"/>
      <c r="Y5" s="30"/>
      <c r="Z5" s="2"/>
      <c r="AA5" s="2"/>
      <c r="AB5" s="2"/>
      <c r="AC5" s="2"/>
      <c r="AD5" s="2"/>
    </row>
    <row r="6" spans="1:30" ht="15.75" customHeight="1" x14ac:dyDescent="0.25">
      <c r="A6" s="2"/>
      <c r="B6" s="2"/>
      <c r="C6" s="2"/>
      <c r="D6" s="35"/>
      <c r="E6" s="35"/>
      <c r="F6" s="2"/>
      <c r="G6" s="35"/>
      <c r="H6" s="2"/>
      <c r="I6" s="36"/>
      <c r="J6" s="37"/>
      <c r="K6" s="37"/>
      <c r="L6" s="37"/>
      <c r="M6" s="38"/>
      <c r="N6" s="248">
        <v>2026</v>
      </c>
      <c r="O6" s="218"/>
      <c r="P6" s="218"/>
      <c r="Q6" s="249"/>
      <c r="R6" s="30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x14ac:dyDescent="0.3">
      <c r="A7" s="2"/>
      <c r="B7" s="2"/>
      <c r="C7" s="2"/>
      <c r="D7" s="2"/>
      <c r="E7" s="2"/>
      <c r="F7" s="2"/>
      <c r="G7" s="2"/>
      <c r="H7" s="39" t="s">
        <v>50</v>
      </c>
      <c r="I7" s="39" t="s">
        <v>51</v>
      </c>
      <c r="J7" s="7" t="s">
        <v>19</v>
      </c>
      <c r="K7" s="7" t="s">
        <v>52</v>
      </c>
      <c r="L7" s="7" t="s">
        <v>14</v>
      </c>
      <c r="M7" s="40"/>
      <c r="N7" s="250" t="s">
        <v>53</v>
      </c>
      <c r="O7" s="224"/>
      <c r="P7" s="227"/>
      <c r="Q7" s="41">
        <v>46204</v>
      </c>
      <c r="R7" s="30"/>
      <c r="S7" s="251" t="s">
        <v>54</v>
      </c>
      <c r="T7" s="219"/>
      <c r="U7" s="252" t="s">
        <v>55</v>
      </c>
      <c r="V7" s="219"/>
      <c r="W7" s="253" t="s">
        <v>56</v>
      </c>
      <c r="X7" s="219"/>
      <c r="Y7" s="2"/>
      <c r="Z7" s="2"/>
      <c r="AA7" s="2"/>
      <c r="AB7" s="2"/>
      <c r="AC7" s="2"/>
      <c r="AD7" s="2"/>
    </row>
    <row r="8" spans="1:30" x14ac:dyDescent="0.3">
      <c r="A8" s="2"/>
      <c r="B8" s="2"/>
      <c r="C8" s="2"/>
      <c r="D8" s="2"/>
      <c r="E8" s="2"/>
      <c r="F8" s="2"/>
      <c r="G8" s="42" t="s">
        <v>55</v>
      </c>
      <c r="H8" s="43">
        <f>M40</f>
        <v>0</v>
      </c>
      <c r="I8" s="44">
        <f>O120</f>
        <v>0</v>
      </c>
      <c r="J8" s="45">
        <f>H52</f>
        <v>0</v>
      </c>
      <c r="K8" s="45">
        <f>H53</f>
        <v>0</v>
      </c>
      <c r="L8" s="46">
        <f>SUM(H8:K8)</f>
        <v>0</v>
      </c>
      <c r="M8" s="40"/>
      <c r="N8" s="250" t="s">
        <v>57</v>
      </c>
      <c r="O8" s="224"/>
      <c r="P8" s="227"/>
      <c r="Q8" s="41">
        <v>46234</v>
      </c>
      <c r="R8" s="30"/>
      <c r="S8" s="247">
        <f>L5</f>
        <v>0</v>
      </c>
      <c r="T8" s="142"/>
      <c r="U8" s="247">
        <f>L8</f>
        <v>0</v>
      </c>
      <c r="V8" s="142"/>
      <c r="W8" s="247">
        <f>S8-U8</f>
        <v>0</v>
      </c>
      <c r="X8" s="142"/>
      <c r="Y8" s="2"/>
      <c r="Z8" s="2"/>
      <c r="AA8" s="2"/>
      <c r="AB8" s="2"/>
      <c r="AC8" s="2"/>
      <c r="AD8" s="2"/>
    </row>
    <row r="9" spans="1:30" ht="15.75" customHeight="1" x14ac:dyDescent="0.25">
      <c r="A9" s="2"/>
      <c r="B9" s="2"/>
      <c r="C9" s="2"/>
      <c r="D9" s="47"/>
      <c r="E9" s="47"/>
      <c r="F9" s="2"/>
      <c r="G9" s="2"/>
      <c r="H9" s="35"/>
      <c r="I9" s="35"/>
      <c r="J9" s="48"/>
      <c r="K9" s="48"/>
      <c r="L9" s="48"/>
      <c r="M9" s="49"/>
      <c r="N9" s="49"/>
      <c r="O9" s="49"/>
      <c r="P9" s="49"/>
      <c r="Q9" s="49"/>
      <c r="R9" s="49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15.75" customHeight="1" x14ac:dyDescent="0.25">
      <c r="A10" s="2"/>
      <c r="B10" s="2"/>
      <c r="C10" s="2"/>
      <c r="D10" s="35"/>
      <c r="E10" s="35"/>
      <c r="F10" s="2"/>
      <c r="G10" s="2"/>
      <c r="H10" s="2"/>
      <c r="I10" s="2"/>
      <c r="J10" s="49"/>
      <c r="K10" s="49"/>
      <c r="L10" s="49"/>
      <c r="M10" s="49"/>
      <c r="N10" s="49"/>
      <c r="O10" s="49"/>
      <c r="P10" s="49"/>
      <c r="Q10" s="49"/>
      <c r="R10" s="49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15.75" customHeight="1" x14ac:dyDescent="0.25">
      <c r="A11" s="2"/>
      <c r="B11" s="2"/>
      <c r="C11" s="2"/>
      <c r="D11" s="28"/>
      <c r="E11" s="28"/>
      <c r="F11" s="28"/>
      <c r="G11" s="28"/>
      <c r="H11" s="28"/>
      <c r="I11" s="2"/>
      <c r="J11" s="50"/>
      <c r="K11" s="50"/>
      <c r="L11" s="50"/>
      <c r="M11" s="50"/>
      <c r="N11" s="50"/>
      <c r="O11" s="50"/>
      <c r="P11" s="50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15.75" customHeight="1" x14ac:dyDescent="0.35">
      <c r="A12" s="2"/>
      <c r="B12" s="2"/>
      <c r="C12" s="11"/>
      <c r="D12" s="215" t="s">
        <v>58</v>
      </c>
      <c r="E12" s="209"/>
      <c r="F12" s="209"/>
      <c r="G12" s="209"/>
      <c r="H12" s="129"/>
      <c r="I12" s="29"/>
      <c r="J12" s="216" t="s">
        <v>16</v>
      </c>
      <c r="K12" s="209"/>
      <c r="L12" s="209"/>
      <c r="M12" s="209"/>
      <c r="N12" s="209"/>
      <c r="O12" s="209"/>
      <c r="P12" s="129"/>
      <c r="Q12" s="30"/>
      <c r="R12" s="208" t="s">
        <v>17</v>
      </c>
      <c r="S12" s="209"/>
      <c r="T12" s="209"/>
      <c r="U12" s="209"/>
      <c r="V12" s="129"/>
      <c r="X12" s="217" t="s">
        <v>18</v>
      </c>
      <c r="Y12" s="218"/>
      <c r="Z12" s="218"/>
      <c r="AA12" s="219"/>
      <c r="AB12" s="2"/>
      <c r="AC12" s="2"/>
      <c r="AD12" s="2"/>
    </row>
    <row r="13" spans="1:30" ht="15.75" customHeight="1" x14ac:dyDescent="0.25">
      <c r="A13" s="2"/>
      <c r="B13" s="2"/>
      <c r="C13" s="11"/>
      <c r="D13" s="130"/>
      <c r="E13" s="200"/>
      <c r="F13" s="200"/>
      <c r="G13" s="200"/>
      <c r="H13" s="131"/>
      <c r="I13" s="29"/>
      <c r="J13" s="130"/>
      <c r="K13" s="200"/>
      <c r="L13" s="200"/>
      <c r="M13" s="200"/>
      <c r="N13" s="200"/>
      <c r="O13" s="200"/>
      <c r="P13" s="131"/>
      <c r="Q13" s="30"/>
      <c r="R13" s="130"/>
      <c r="S13" s="200"/>
      <c r="T13" s="200"/>
      <c r="U13" s="200"/>
      <c r="V13" s="131"/>
      <c r="W13" s="2"/>
      <c r="X13" s="220" t="s">
        <v>59</v>
      </c>
      <c r="Y13" s="221"/>
      <c r="Z13" s="222">
        <f>M40</f>
        <v>0</v>
      </c>
      <c r="AA13" s="198"/>
      <c r="AB13" s="2"/>
      <c r="AC13" s="2"/>
      <c r="AD13" s="2"/>
    </row>
    <row r="14" spans="1:30" ht="15.75" customHeight="1" x14ac:dyDescent="0.25">
      <c r="A14" s="2"/>
      <c r="B14" s="2"/>
      <c r="C14" s="11"/>
      <c r="D14" s="223" t="s">
        <v>62</v>
      </c>
      <c r="E14" s="224"/>
      <c r="F14" s="224"/>
      <c r="G14" s="225"/>
      <c r="H14" s="51" t="s">
        <v>61</v>
      </c>
      <c r="I14" s="29"/>
      <c r="J14" s="266" t="s">
        <v>62</v>
      </c>
      <c r="K14" s="119"/>
      <c r="L14" s="52" t="s">
        <v>63</v>
      </c>
      <c r="M14" s="52" t="s">
        <v>64</v>
      </c>
      <c r="N14" s="52" t="s">
        <v>65</v>
      </c>
      <c r="O14" s="52" t="s">
        <v>104</v>
      </c>
      <c r="P14" s="52" t="s">
        <v>67</v>
      </c>
      <c r="Q14" s="29"/>
      <c r="R14" s="210" t="s">
        <v>68</v>
      </c>
      <c r="S14" s="119"/>
      <c r="T14" s="210" t="s">
        <v>69</v>
      </c>
      <c r="U14" s="119"/>
      <c r="V14" s="53" t="s">
        <v>70</v>
      </c>
      <c r="W14" s="29"/>
      <c r="X14" s="262" t="s">
        <v>71</v>
      </c>
      <c r="Y14" s="263"/>
      <c r="Z14" s="264">
        <f>O120</f>
        <v>0</v>
      </c>
      <c r="AA14" s="265"/>
      <c r="AB14" s="30"/>
      <c r="AC14" s="2"/>
      <c r="AD14" s="2"/>
    </row>
    <row r="15" spans="1:30" ht="15.75" customHeight="1" x14ac:dyDescent="0.25">
      <c r="A15" s="2"/>
      <c r="B15" s="2"/>
      <c r="C15" s="11"/>
      <c r="D15" s="226"/>
      <c r="E15" s="224"/>
      <c r="F15" s="224"/>
      <c r="G15" s="227"/>
      <c r="H15" s="54">
        <v>0</v>
      </c>
      <c r="I15" s="29"/>
      <c r="J15" s="117"/>
      <c r="K15" s="4"/>
      <c r="L15" s="4"/>
      <c r="M15" s="4"/>
      <c r="N15" s="4"/>
      <c r="O15" s="4"/>
      <c r="P15" s="56">
        <v>0</v>
      </c>
      <c r="Q15" s="29"/>
      <c r="R15" s="231" t="s">
        <v>22</v>
      </c>
      <c r="S15" s="232"/>
      <c r="T15" s="233">
        <f t="shared" ref="T15:T37" si="0">SUMIF($K$59:$L$119,R15,$O$59:$P$119)</f>
        <v>0</v>
      </c>
      <c r="U15" s="232"/>
      <c r="V15" s="57" t="e">
        <f t="shared" ref="V15:V37" si="1">T15*1/$T$40</f>
        <v>#DIV/0!</v>
      </c>
      <c r="W15" s="30"/>
      <c r="X15" s="211" t="s">
        <v>73</v>
      </c>
      <c r="Y15" s="212"/>
      <c r="Z15" s="213">
        <f t="shared" ref="Z15:Z16" si="2">H52</f>
        <v>0</v>
      </c>
      <c r="AA15" s="214"/>
      <c r="AB15" s="2"/>
      <c r="AC15" s="2"/>
      <c r="AD15" s="2"/>
    </row>
    <row r="16" spans="1:30" ht="15.75" customHeight="1" x14ac:dyDescent="0.25">
      <c r="A16" s="2"/>
      <c r="B16" s="2"/>
      <c r="C16" s="2"/>
      <c r="D16" s="240"/>
      <c r="E16" s="224"/>
      <c r="F16" s="224"/>
      <c r="G16" s="241"/>
      <c r="H16" s="58">
        <v>0</v>
      </c>
      <c r="I16" s="11"/>
      <c r="J16" s="66"/>
      <c r="K16" s="59"/>
      <c r="L16" s="59"/>
      <c r="M16" s="59"/>
      <c r="N16" s="59"/>
      <c r="O16" s="59"/>
      <c r="P16" s="61">
        <v>0</v>
      </c>
      <c r="Q16" s="29"/>
      <c r="R16" s="234" t="s">
        <v>23</v>
      </c>
      <c r="S16" s="142"/>
      <c r="T16" s="235">
        <f t="shared" si="0"/>
        <v>0</v>
      </c>
      <c r="U16" s="236"/>
      <c r="V16" s="62" t="e">
        <f t="shared" si="1"/>
        <v>#DIV/0!</v>
      </c>
      <c r="W16" s="30"/>
      <c r="X16" s="237" t="s">
        <v>74</v>
      </c>
      <c r="Y16" s="238"/>
      <c r="Z16" s="228">
        <f t="shared" si="2"/>
        <v>0</v>
      </c>
      <c r="AA16" s="198"/>
      <c r="AB16" s="2"/>
      <c r="AC16" s="2"/>
      <c r="AD16" s="2"/>
    </row>
    <row r="17" spans="1:30" x14ac:dyDescent="0.3">
      <c r="A17" s="2"/>
      <c r="B17" s="2"/>
      <c r="C17" s="2"/>
      <c r="D17" s="226"/>
      <c r="E17" s="224"/>
      <c r="F17" s="224"/>
      <c r="G17" s="227"/>
      <c r="H17" s="54">
        <v>0</v>
      </c>
      <c r="I17" s="11"/>
      <c r="J17" s="63"/>
      <c r="K17" s="3"/>
      <c r="L17" s="3"/>
      <c r="M17" s="3"/>
      <c r="N17" s="3"/>
      <c r="O17" s="3"/>
      <c r="P17" s="64">
        <v>0</v>
      </c>
      <c r="Q17" s="29"/>
      <c r="R17" s="231" t="s">
        <v>24</v>
      </c>
      <c r="S17" s="232"/>
      <c r="T17" s="233">
        <f t="shared" si="0"/>
        <v>0</v>
      </c>
      <c r="U17" s="232"/>
      <c r="V17" s="57" t="e">
        <f t="shared" si="1"/>
        <v>#DIV/0!</v>
      </c>
      <c r="W17" s="30"/>
      <c r="X17" s="65" t="s">
        <v>14</v>
      </c>
      <c r="Y17" s="65"/>
      <c r="Z17" s="229">
        <f>SUM(Z13:Z16)</f>
        <v>0</v>
      </c>
      <c r="AA17" s="230"/>
      <c r="AB17" s="2"/>
      <c r="AC17" s="2"/>
      <c r="AD17" s="2"/>
    </row>
    <row r="18" spans="1:30" ht="15.75" customHeight="1" x14ac:dyDescent="0.25">
      <c r="A18" s="2"/>
      <c r="B18" s="2"/>
      <c r="C18" s="2"/>
      <c r="D18" s="240"/>
      <c r="E18" s="224"/>
      <c r="F18" s="224"/>
      <c r="G18" s="241"/>
      <c r="H18" s="58">
        <v>0</v>
      </c>
      <c r="I18" s="11"/>
      <c r="J18" s="66"/>
      <c r="K18" s="59"/>
      <c r="L18" s="59"/>
      <c r="M18" s="59"/>
      <c r="N18" s="59"/>
      <c r="O18" s="59"/>
      <c r="P18" s="61">
        <v>0</v>
      </c>
      <c r="Q18" s="29"/>
      <c r="R18" s="239" t="s">
        <v>25</v>
      </c>
      <c r="S18" s="236"/>
      <c r="T18" s="235">
        <f t="shared" si="0"/>
        <v>0</v>
      </c>
      <c r="U18" s="236"/>
      <c r="V18" s="62" t="e">
        <f t="shared" si="1"/>
        <v>#DIV/0!</v>
      </c>
      <c r="W18" s="30"/>
      <c r="X18" s="2"/>
      <c r="Y18" s="2"/>
      <c r="Z18" s="2"/>
      <c r="AA18" s="2"/>
      <c r="AB18" s="2"/>
      <c r="AC18" s="2"/>
      <c r="AD18" s="2"/>
    </row>
    <row r="19" spans="1:30" ht="15.75" customHeight="1" x14ac:dyDescent="0.25">
      <c r="A19" s="2"/>
      <c r="B19" s="2"/>
      <c r="C19" s="2"/>
      <c r="D19" s="226"/>
      <c r="E19" s="224"/>
      <c r="F19" s="224"/>
      <c r="G19" s="227"/>
      <c r="H19" s="54">
        <v>0</v>
      </c>
      <c r="I19" s="11"/>
      <c r="J19" s="63"/>
      <c r="K19" s="3"/>
      <c r="L19" s="3"/>
      <c r="M19" s="3"/>
      <c r="N19" s="3"/>
      <c r="O19" s="3"/>
      <c r="P19" s="64">
        <v>0</v>
      </c>
      <c r="Q19" s="29"/>
      <c r="R19" s="231" t="s">
        <v>26</v>
      </c>
      <c r="S19" s="232"/>
      <c r="T19" s="233">
        <f t="shared" si="0"/>
        <v>0</v>
      </c>
      <c r="U19" s="232"/>
      <c r="V19" s="57" t="e">
        <f t="shared" si="1"/>
        <v>#DIV/0!</v>
      </c>
      <c r="W19" s="30"/>
      <c r="X19" s="2"/>
      <c r="Y19" s="2"/>
      <c r="Z19" s="2"/>
      <c r="AA19" s="2"/>
      <c r="AB19" s="2"/>
      <c r="AC19" s="2"/>
      <c r="AD19" s="2"/>
    </row>
    <row r="20" spans="1:30" ht="15.75" customHeight="1" x14ac:dyDescent="0.25">
      <c r="A20" s="2"/>
      <c r="B20" s="2"/>
      <c r="C20" s="2"/>
      <c r="D20" s="240"/>
      <c r="E20" s="224"/>
      <c r="F20" s="224"/>
      <c r="G20" s="241"/>
      <c r="H20" s="58">
        <v>0</v>
      </c>
      <c r="I20" s="11"/>
      <c r="J20" s="66"/>
      <c r="K20" s="59"/>
      <c r="L20" s="59"/>
      <c r="M20" s="59"/>
      <c r="N20" s="59"/>
      <c r="O20" s="59"/>
      <c r="P20" s="61">
        <v>0</v>
      </c>
      <c r="Q20" s="29"/>
      <c r="R20" s="239" t="s">
        <v>27</v>
      </c>
      <c r="S20" s="236"/>
      <c r="T20" s="235">
        <f t="shared" si="0"/>
        <v>0</v>
      </c>
      <c r="U20" s="236"/>
      <c r="V20" s="62" t="e">
        <f t="shared" si="1"/>
        <v>#DIV/0!</v>
      </c>
      <c r="W20" s="30"/>
      <c r="X20" s="2"/>
      <c r="Y20" s="2"/>
      <c r="Z20" s="2"/>
      <c r="AA20" s="2"/>
      <c r="AB20" s="2"/>
      <c r="AC20" s="2"/>
      <c r="AD20" s="2"/>
    </row>
    <row r="21" spans="1:30" ht="15.75" customHeight="1" x14ac:dyDescent="0.25">
      <c r="A21" s="2"/>
      <c r="B21" s="2"/>
      <c r="C21" s="2"/>
      <c r="D21" s="226"/>
      <c r="E21" s="224"/>
      <c r="F21" s="224"/>
      <c r="G21" s="227"/>
      <c r="H21" s="54">
        <v>0</v>
      </c>
      <c r="I21" s="11"/>
      <c r="J21" s="63"/>
      <c r="K21" s="3"/>
      <c r="L21" s="3"/>
      <c r="M21" s="3"/>
      <c r="N21" s="3"/>
      <c r="O21" s="3"/>
      <c r="P21" s="64">
        <v>0</v>
      </c>
      <c r="Q21" s="29"/>
      <c r="R21" s="231" t="s">
        <v>28</v>
      </c>
      <c r="S21" s="232"/>
      <c r="T21" s="233">
        <f t="shared" si="0"/>
        <v>0</v>
      </c>
      <c r="U21" s="232"/>
      <c r="V21" s="57" t="e">
        <f t="shared" si="1"/>
        <v>#DIV/0!</v>
      </c>
      <c r="W21" s="30"/>
      <c r="X21" s="2"/>
      <c r="Y21" s="2"/>
      <c r="Z21" s="2"/>
      <c r="AA21" s="2"/>
      <c r="AB21" s="2"/>
      <c r="AC21" s="2"/>
      <c r="AD21" s="2"/>
    </row>
    <row r="22" spans="1:30" ht="15.75" customHeight="1" x14ac:dyDescent="0.25">
      <c r="A22" s="2"/>
      <c r="B22" s="2"/>
      <c r="C22" s="2"/>
      <c r="D22" s="28"/>
      <c r="E22" s="28"/>
      <c r="F22" s="28"/>
      <c r="G22" s="28"/>
      <c r="H22" s="28"/>
      <c r="I22" s="11"/>
      <c r="J22" s="66"/>
      <c r="K22" s="59"/>
      <c r="L22" s="59"/>
      <c r="M22" s="59"/>
      <c r="N22" s="59"/>
      <c r="O22" s="59"/>
      <c r="P22" s="61">
        <v>0</v>
      </c>
      <c r="Q22" s="29"/>
      <c r="R22" s="239" t="s">
        <v>29</v>
      </c>
      <c r="S22" s="236"/>
      <c r="T22" s="235">
        <f t="shared" si="0"/>
        <v>0</v>
      </c>
      <c r="U22" s="236"/>
      <c r="V22" s="62" t="e">
        <f t="shared" si="1"/>
        <v>#DIV/0!</v>
      </c>
      <c r="W22" s="30"/>
      <c r="X22" s="2"/>
      <c r="Y22" s="2"/>
      <c r="Z22" s="2"/>
      <c r="AA22" s="2"/>
      <c r="AB22" s="2"/>
      <c r="AC22" s="2"/>
      <c r="AD22" s="2"/>
    </row>
    <row r="23" spans="1:30" ht="15.75" customHeight="1" x14ac:dyDescent="0.25">
      <c r="A23" s="2"/>
      <c r="B23" s="2"/>
      <c r="C23" s="11"/>
      <c r="D23" s="242" t="s">
        <v>15</v>
      </c>
      <c r="E23" s="209"/>
      <c r="F23" s="209"/>
      <c r="G23" s="209"/>
      <c r="H23" s="129"/>
      <c r="I23" s="29"/>
      <c r="J23" s="63"/>
      <c r="K23" s="3"/>
      <c r="L23" s="3"/>
      <c r="M23" s="3"/>
      <c r="N23" s="3"/>
      <c r="O23" s="3"/>
      <c r="P23" s="64">
        <v>0</v>
      </c>
      <c r="Q23" s="29"/>
      <c r="R23" s="231" t="s">
        <v>30</v>
      </c>
      <c r="S23" s="232"/>
      <c r="T23" s="233">
        <f t="shared" si="0"/>
        <v>0</v>
      </c>
      <c r="U23" s="232"/>
      <c r="V23" s="57" t="e">
        <f t="shared" si="1"/>
        <v>#DIV/0!</v>
      </c>
      <c r="W23" s="30"/>
      <c r="X23" s="2"/>
      <c r="Y23" s="2"/>
      <c r="Z23" s="2"/>
      <c r="AA23" s="2"/>
      <c r="AB23" s="2"/>
      <c r="AC23" s="2"/>
      <c r="AD23" s="2"/>
    </row>
    <row r="24" spans="1:30" ht="15.75" customHeight="1" x14ac:dyDescent="0.25">
      <c r="A24" s="2"/>
      <c r="B24" s="2"/>
      <c r="C24" s="11"/>
      <c r="D24" s="130"/>
      <c r="E24" s="200"/>
      <c r="F24" s="200"/>
      <c r="G24" s="200"/>
      <c r="H24" s="131"/>
      <c r="I24" s="29"/>
      <c r="J24" s="66"/>
      <c r="K24" s="59"/>
      <c r="L24" s="59"/>
      <c r="M24" s="59"/>
      <c r="N24" s="59"/>
      <c r="O24" s="59"/>
      <c r="P24" s="61">
        <v>0</v>
      </c>
      <c r="Q24" s="29"/>
      <c r="R24" s="239" t="s">
        <v>31</v>
      </c>
      <c r="S24" s="236"/>
      <c r="T24" s="235">
        <f t="shared" si="0"/>
        <v>0</v>
      </c>
      <c r="U24" s="236"/>
      <c r="V24" s="62" t="e">
        <f t="shared" si="1"/>
        <v>#DIV/0!</v>
      </c>
      <c r="W24" s="30"/>
      <c r="X24" s="67"/>
      <c r="Y24" s="67"/>
      <c r="Z24" s="67"/>
      <c r="AA24" s="67"/>
      <c r="AB24" s="2"/>
      <c r="AC24" s="2"/>
      <c r="AD24" s="2"/>
    </row>
    <row r="25" spans="1:30" ht="15.75" customHeight="1" x14ac:dyDescent="0.25">
      <c r="A25" s="2"/>
      <c r="B25" s="2"/>
      <c r="C25" s="11"/>
      <c r="D25" s="275" t="s">
        <v>62</v>
      </c>
      <c r="E25" s="224"/>
      <c r="F25" s="119"/>
      <c r="G25" s="68" t="s">
        <v>75</v>
      </c>
      <c r="H25" s="69" t="s">
        <v>76</v>
      </c>
      <c r="I25" s="29"/>
      <c r="J25" s="63"/>
      <c r="K25" s="3"/>
      <c r="L25" s="3"/>
      <c r="M25" s="3"/>
      <c r="N25" s="3"/>
      <c r="O25" s="3"/>
      <c r="P25" s="64">
        <v>0</v>
      </c>
      <c r="Q25" s="29"/>
      <c r="R25" s="231" t="s">
        <v>32</v>
      </c>
      <c r="S25" s="232"/>
      <c r="T25" s="233">
        <f t="shared" si="0"/>
        <v>0</v>
      </c>
      <c r="U25" s="232"/>
      <c r="V25" s="57" t="e">
        <f t="shared" si="1"/>
        <v>#DIV/0!</v>
      </c>
      <c r="W25" s="2"/>
      <c r="X25" s="2"/>
      <c r="Y25" s="2"/>
      <c r="Z25" s="2"/>
      <c r="AA25" s="2"/>
      <c r="AB25" s="2"/>
      <c r="AC25" s="2"/>
      <c r="AD25" s="2"/>
    </row>
    <row r="26" spans="1:30" ht="15.75" customHeight="1" x14ac:dyDescent="0.25">
      <c r="A26" s="2"/>
      <c r="B26" s="2"/>
      <c r="C26" s="11"/>
      <c r="D26" s="276"/>
      <c r="E26" s="277"/>
      <c r="F26" s="142"/>
      <c r="G26" s="70"/>
      <c r="H26" s="71"/>
      <c r="I26" s="29"/>
      <c r="J26" s="66"/>
      <c r="K26" s="59"/>
      <c r="L26" s="59"/>
      <c r="M26" s="59"/>
      <c r="N26" s="59"/>
      <c r="O26" s="59"/>
      <c r="P26" s="61">
        <v>0</v>
      </c>
      <c r="Q26" s="29"/>
      <c r="R26" s="239" t="s">
        <v>33</v>
      </c>
      <c r="S26" s="236"/>
      <c r="T26" s="235">
        <f t="shared" si="0"/>
        <v>0</v>
      </c>
      <c r="U26" s="236"/>
      <c r="V26" s="62" t="e">
        <f t="shared" si="1"/>
        <v>#DIV/0!</v>
      </c>
      <c r="W26" s="29"/>
      <c r="X26" s="278" t="s">
        <v>77</v>
      </c>
      <c r="Y26" s="224"/>
      <c r="Z26" s="224"/>
      <c r="AA26" s="119"/>
      <c r="AB26" s="30"/>
      <c r="AC26" s="2"/>
      <c r="AD26" s="2"/>
    </row>
    <row r="27" spans="1:30" x14ac:dyDescent="0.3">
      <c r="A27" s="2"/>
      <c r="B27" s="2"/>
      <c r="C27" s="11"/>
      <c r="D27" s="279"/>
      <c r="E27" s="245"/>
      <c r="F27" s="280"/>
      <c r="G27" s="72"/>
      <c r="H27" s="73"/>
      <c r="I27" s="29"/>
      <c r="J27" s="63"/>
      <c r="K27" s="3"/>
      <c r="L27" s="3"/>
      <c r="M27" s="3"/>
      <c r="N27" s="3"/>
      <c r="O27" s="3"/>
      <c r="P27" s="64">
        <v>0</v>
      </c>
      <c r="Q27" s="29"/>
      <c r="R27" s="231" t="s">
        <v>34</v>
      </c>
      <c r="S27" s="232"/>
      <c r="T27" s="233">
        <f t="shared" si="0"/>
        <v>0</v>
      </c>
      <c r="U27" s="232"/>
      <c r="V27" s="57" t="e">
        <f t="shared" si="1"/>
        <v>#DIV/0!</v>
      </c>
      <c r="W27" s="29"/>
      <c r="X27" s="270" t="s">
        <v>78</v>
      </c>
      <c r="Y27" s="119"/>
      <c r="Z27" s="74">
        <f>SUMIF(M59:N119,"Tarjeta de débito",O59:P119)+SUMIF(N15:N39,"Tarjeta de débito",M15:M39)</f>
        <v>0</v>
      </c>
      <c r="AA27" s="75" t="e">
        <f t="shared" ref="AA27:AA30" si="3">Z27*1/$U$8</f>
        <v>#DIV/0!</v>
      </c>
      <c r="AB27" s="30"/>
      <c r="AC27" s="2"/>
      <c r="AD27" s="2"/>
    </row>
    <row r="28" spans="1:30" x14ac:dyDescent="0.3">
      <c r="A28" s="2"/>
      <c r="B28" s="2"/>
      <c r="C28" s="11"/>
      <c r="D28" s="286"/>
      <c r="E28" s="245"/>
      <c r="F28" s="236"/>
      <c r="G28" s="76"/>
      <c r="H28" s="77"/>
      <c r="I28" s="29"/>
      <c r="J28" s="66"/>
      <c r="K28" s="59"/>
      <c r="L28" s="59"/>
      <c r="M28" s="59"/>
      <c r="N28" s="59"/>
      <c r="O28" s="59"/>
      <c r="P28" s="61">
        <v>0</v>
      </c>
      <c r="Q28" s="29"/>
      <c r="R28" s="78" t="s">
        <v>35</v>
      </c>
      <c r="S28" s="79"/>
      <c r="T28" s="235">
        <f t="shared" si="0"/>
        <v>0</v>
      </c>
      <c r="U28" s="236"/>
      <c r="V28" s="62" t="e">
        <f t="shared" si="1"/>
        <v>#DIV/0!</v>
      </c>
      <c r="W28" s="29"/>
      <c r="X28" s="281" t="s">
        <v>31</v>
      </c>
      <c r="Y28" s="119"/>
      <c r="Z28" s="80">
        <f>SUMIF(M59:N119,"Tarjeta de crédito",O59:P119)+SUMIF(N15:N39,"Tarjeta de crédito",M15:M39)</f>
        <v>0</v>
      </c>
      <c r="AA28" s="75" t="e">
        <f t="shared" si="3"/>
        <v>#DIV/0!</v>
      </c>
      <c r="AB28" s="30"/>
      <c r="AC28" s="2"/>
      <c r="AD28" s="2"/>
    </row>
    <row r="29" spans="1:30" x14ac:dyDescent="0.3">
      <c r="A29" s="2"/>
      <c r="B29" s="2"/>
      <c r="C29" s="11"/>
      <c r="D29" s="279"/>
      <c r="E29" s="245"/>
      <c r="F29" s="280"/>
      <c r="G29" s="72"/>
      <c r="H29" s="73"/>
      <c r="I29" s="29"/>
      <c r="J29" s="63"/>
      <c r="K29" s="3"/>
      <c r="L29" s="3"/>
      <c r="M29" s="3"/>
      <c r="N29" s="3"/>
      <c r="O29" s="3"/>
      <c r="P29" s="64">
        <v>0</v>
      </c>
      <c r="Q29" s="29"/>
      <c r="R29" s="231" t="s">
        <v>79</v>
      </c>
      <c r="S29" s="232"/>
      <c r="T29" s="233">
        <f t="shared" si="0"/>
        <v>0</v>
      </c>
      <c r="U29" s="232"/>
      <c r="V29" s="57" t="e">
        <f t="shared" si="1"/>
        <v>#DIV/0!</v>
      </c>
      <c r="W29" s="29"/>
      <c r="X29" s="282" t="s">
        <v>80</v>
      </c>
      <c r="Y29" s="119"/>
      <c r="Z29" s="80">
        <f>SUMIF(M59:N119,"Efectivo",O59:P119)+SUMIF(N15:N39,"Efectivo",M15:M39)</f>
        <v>0</v>
      </c>
      <c r="AA29" s="75" t="e">
        <f t="shared" si="3"/>
        <v>#DIV/0!</v>
      </c>
      <c r="AB29" s="30"/>
      <c r="AC29" s="2"/>
      <c r="AD29" s="2"/>
    </row>
    <row r="30" spans="1:30" x14ac:dyDescent="0.3">
      <c r="A30" s="2"/>
      <c r="B30" s="2"/>
      <c r="C30" s="11"/>
      <c r="D30" s="286"/>
      <c r="E30" s="245"/>
      <c r="F30" s="236"/>
      <c r="G30" s="76"/>
      <c r="H30" s="77"/>
      <c r="I30" s="29"/>
      <c r="J30" s="66"/>
      <c r="K30" s="59"/>
      <c r="L30" s="59"/>
      <c r="M30" s="59"/>
      <c r="N30" s="59"/>
      <c r="O30" s="59"/>
      <c r="P30" s="61">
        <v>0</v>
      </c>
      <c r="Q30" s="29"/>
      <c r="R30" s="78" t="s">
        <v>37</v>
      </c>
      <c r="S30" s="79"/>
      <c r="T30" s="235">
        <f t="shared" si="0"/>
        <v>0</v>
      </c>
      <c r="U30" s="236"/>
      <c r="V30" s="62" t="e">
        <f t="shared" si="1"/>
        <v>#DIV/0!</v>
      </c>
      <c r="W30" s="29"/>
      <c r="X30" s="283" t="s">
        <v>72</v>
      </c>
      <c r="Y30" s="119"/>
      <c r="Z30" s="74">
        <f>SUMIF(M59:N119,"Transferencia",O59:P119)+SUMIF(N15:N39,"Transferencia",M15:M39)</f>
        <v>0</v>
      </c>
      <c r="AA30" s="75" t="e">
        <f t="shared" si="3"/>
        <v>#DIV/0!</v>
      </c>
      <c r="AB30" s="30"/>
      <c r="AC30" s="2"/>
      <c r="AD30" s="2"/>
    </row>
    <row r="31" spans="1:30" ht="15.75" customHeight="1" x14ac:dyDescent="0.25">
      <c r="A31" s="2"/>
      <c r="B31" s="2"/>
      <c r="C31" s="11"/>
      <c r="D31" s="279"/>
      <c r="E31" s="245"/>
      <c r="F31" s="280"/>
      <c r="G31" s="72"/>
      <c r="H31" s="73"/>
      <c r="I31" s="29"/>
      <c r="J31" s="63"/>
      <c r="K31" s="3"/>
      <c r="L31" s="3"/>
      <c r="M31" s="3"/>
      <c r="N31" s="3"/>
      <c r="O31" s="3"/>
      <c r="P31" s="64">
        <v>0</v>
      </c>
      <c r="Q31" s="29"/>
      <c r="R31" s="231" t="s">
        <v>38</v>
      </c>
      <c r="S31" s="232"/>
      <c r="T31" s="233">
        <f t="shared" si="0"/>
        <v>0</v>
      </c>
      <c r="U31" s="232"/>
      <c r="V31" s="57" t="e">
        <f t="shared" si="1"/>
        <v>#DIV/0!</v>
      </c>
      <c r="W31" s="2"/>
      <c r="X31" s="28"/>
      <c r="Y31" s="28"/>
      <c r="Z31" s="28"/>
      <c r="AA31" s="28"/>
      <c r="AB31" s="2"/>
      <c r="AC31" s="2"/>
      <c r="AD31" s="2"/>
    </row>
    <row r="32" spans="1:30" ht="15.75" customHeight="1" x14ac:dyDescent="0.25">
      <c r="A32" s="2"/>
      <c r="B32" s="2"/>
      <c r="C32" s="11"/>
      <c r="D32" s="286"/>
      <c r="E32" s="245"/>
      <c r="F32" s="236"/>
      <c r="G32" s="76"/>
      <c r="H32" s="77"/>
      <c r="I32" s="29"/>
      <c r="J32" s="81"/>
      <c r="K32" s="82"/>
      <c r="L32" s="82"/>
      <c r="M32" s="82"/>
      <c r="N32" s="82"/>
      <c r="O32" s="82"/>
      <c r="P32" s="83">
        <v>0</v>
      </c>
      <c r="Q32" s="29"/>
      <c r="R32" s="78" t="s">
        <v>39</v>
      </c>
      <c r="S32" s="79"/>
      <c r="T32" s="235">
        <f t="shared" si="0"/>
        <v>0</v>
      </c>
      <c r="U32" s="236"/>
      <c r="V32" s="62" t="e">
        <f t="shared" si="1"/>
        <v>#DIV/0!</v>
      </c>
      <c r="W32" s="29"/>
      <c r="X32" s="284" t="s">
        <v>81</v>
      </c>
      <c r="Y32" s="209"/>
      <c r="Z32" s="209"/>
      <c r="AA32" s="129"/>
      <c r="AB32" s="30"/>
      <c r="AC32" s="2"/>
      <c r="AD32" s="2"/>
    </row>
    <row r="33" spans="1:30" ht="15.75" customHeight="1" x14ac:dyDescent="0.25">
      <c r="A33" s="2"/>
      <c r="B33" s="2"/>
      <c r="C33" s="11"/>
      <c r="D33" s="279"/>
      <c r="E33" s="245"/>
      <c r="F33" s="280"/>
      <c r="G33" s="72"/>
      <c r="H33" s="73"/>
      <c r="I33" s="29"/>
      <c r="J33" s="84"/>
      <c r="K33" s="85"/>
      <c r="L33" s="85"/>
      <c r="M33" s="85"/>
      <c r="N33" s="85"/>
      <c r="O33" s="85"/>
      <c r="P33" s="86">
        <v>0</v>
      </c>
      <c r="Q33" s="29"/>
      <c r="R33" s="231" t="s">
        <v>40</v>
      </c>
      <c r="S33" s="232"/>
      <c r="T33" s="233">
        <f t="shared" si="0"/>
        <v>0</v>
      </c>
      <c r="U33" s="232"/>
      <c r="V33" s="57" t="e">
        <f t="shared" si="1"/>
        <v>#DIV/0!</v>
      </c>
      <c r="W33" s="29"/>
      <c r="X33" s="130"/>
      <c r="Y33" s="200"/>
      <c r="Z33" s="200"/>
      <c r="AA33" s="131"/>
      <c r="AB33" s="30"/>
      <c r="AC33" s="2"/>
      <c r="AD33" s="2"/>
    </row>
    <row r="34" spans="1:30" x14ac:dyDescent="0.3">
      <c r="A34" s="2"/>
      <c r="B34" s="2"/>
      <c r="C34" s="11"/>
      <c r="D34" s="287"/>
      <c r="E34" s="245"/>
      <c r="F34" s="236"/>
      <c r="G34" s="87"/>
      <c r="H34" s="88"/>
      <c r="I34" s="29"/>
      <c r="J34" s="81"/>
      <c r="K34" s="82"/>
      <c r="L34" s="82"/>
      <c r="M34" s="82"/>
      <c r="N34" s="82"/>
      <c r="O34" s="82"/>
      <c r="P34" s="83">
        <v>0</v>
      </c>
      <c r="Q34" s="29"/>
      <c r="R34" s="78" t="s">
        <v>41</v>
      </c>
      <c r="S34" s="79"/>
      <c r="T34" s="235">
        <f t="shared" si="0"/>
        <v>0</v>
      </c>
      <c r="U34" s="236"/>
      <c r="V34" s="62" t="e">
        <f t="shared" si="1"/>
        <v>#DIV/0!</v>
      </c>
      <c r="W34" s="29"/>
      <c r="X34" s="285" t="s">
        <v>82</v>
      </c>
      <c r="Y34" s="224"/>
      <c r="Z34" s="224"/>
      <c r="AA34" s="119"/>
      <c r="AB34" s="30"/>
      <c r="AC34" s="2"/>
      <c r="AD34" s="2"/>
    </row>
    <row r="35" spans="1:30" ht="15.75" customHeight="1" x14ac:dyDescent="0.25">
      <c r="A35" s="2"/>
      <c r="B35" s="2"/>
      <c r="C35" s="11"/>
      <c r="D35" s="304"/>
      <c r="E35" s="194"/>
      <c r="F35" s="305"/>
      <c r="G35" s="89"/>
      <c r="H35" s="90"/>
      <c r="I35" s="29"/>
      <c r="J35" s="84"/>
      <c r="K35" s="85"/>
      <c r="L35" s="85"/>
      <c r="M35" s="85"/>
      <c r="N35" s="85"/>
      <c r="O35" s="85"/>
      <c r="P35" s="86">
        <v>0</v>
      </c>
      <c r="Q35" s="29"/>
      <c r="R35" s="231" t="s">
        <v>42</v>
      </c>
      <c r="S35" s="232"/>
      <c r="T35" s="233">
        <f t="shared" si="0"/>
        <v>0</v>
      </c>
      <c r="U35" s="232"/>
      <c r="V35" s="57" t="e">
        <f t="shared" si="1"/>
        <v>#DIV/0!</v>
      </c>
      <c r="W35" s="29"/>
      <c r="X35" s="294" t="s">
        <v>83</v>
      </c>
      <c r="Y35" s="295"/>
      <c r="Z35" s="296">
        <f>W8</f>
        <v>0</v>
      </c>
      <c r="AA35" s="258"/>
      <c r="AB35" s="30"/>
      <c r="AC35" s="2"/>
      <c r="AD35" s="2"/>
    </row>
    <row r="36" spans="1:30" x14ac:dyDescent="0.3">
      <c r="A36" s="2"/>
      <c r="B36" s="2"/>
      <c r="C36" s="11"/>
      <c r="D36" s="306" t="s">
        <v>84</v>
      </c>
      <c r="E36" s="129"/>
      <c r="F36" s="307" t="s">
        <v>85</v>
      </c>
      <c r="G36" s="308"/>
      <c r="H36" s="91">
        <f>SUM(G26:G35)</f>
        <v>0</v>
      </c>
      <c r="I36" s="29"/>
      <c r="J36" s="81"/>
      <c r="K36" s="82"/>
      <c r="L36" s="82"/>
      <c r="M36" s="82"/>
      <c r="N36" s="82"/>
      <c r="O36" s="82"/>
      <c r="P36" s="83">
        <v>0</v>
      </c>
      <c r="Q36" s="29"/>
      <c r="R36" s="78" t="s">
        <v>43</v>
      </c>
      <c r="S36" s="79"/>
      <c r="T36" s="235">
        <f t="shared" si="0"/>
        <v>0</v>
      </c>
      <c r="U36" s="236"/>
      <c r="V36" s="62" t="e">
        <f t="shared" si="1"/>
        <v>#DIV/0!</v>
      </c>
      <c r="W36" s="29"/>
      <c r="X36" s="285" t="s">
        <v>86</v>
      </c>
      <c r="Y36" s="224"/>
      <c r="Z36" s="224"/>
      <c r="AA36" s="119"/>
      <c r="AB36" s="30"/>
      <c r="AC36" s="2"/>
      <c r="AD36" s="2"/>
    </row>
    <row r="37" spans="1:30" ht="13" x14ac:dyDescent="0.3">
      <c r="A37" s="2"/>
      <c r="B37" s="2"/>
      <c r="C37" s="11"/>
      <c r="D37" s="130"/>
      <c r="E37" s="131"/>
      <c r="F37" s="309" t="s">
        <v>87</v>
      </c>
      <c r="G37" s="310"/>
      <c r="H37" s="92">
        <f>SUM(H26:H35)</f>
        <v>0</v>
      </c>
      <c r="I37" s="29"/>
      <c r="J37" s="84"/>
      <c r="K37" s="85"/>
      <c r="L37" s="85"/>
      <c r="M37" s="85"/>
      <c r="N37" s="85"/>
      <c r="O37" s="85"/>
      <c r="P37" s="86">
        <v>0</v>
      </c>
      <c r="Q37" s="29"/>
      <c r="R37" s="231" t="s">
        <v>88</v>
      </c>
      <c r="S37" s="232"/>
      <c r="T37" s="233">
        <f t="shared" si="0"/>
        <v>0</v>
      </c>
      <c r="U37" s="232"/>
      <c r="V37" s="57" t="e">
        <f t="shared" si="1"/>
        <v>#DIV/0!</v>
      </c>
      <c r="W37" s="29"/>
      <c r="X37" s="297" t="s">
        <v>89</v>
      </c>
      <c r="Y37" s="298"/>
      <c r="Z37" s="299"/>
      <c r="AA37" s="300"/>
      <c r="AB37" s="30"/>
      <c r="AC37" s="2"/>
      <c r="AD37" s="2"/>
    </row>
    <row r="38" spans="1:30" ht="12.5" x14ac:dyDescent="0.25">
      <c r="A38" s="2"/>
      <c r="B38" s="2"/>
      <c r="C38" s="2"/>
      <c r="D38" s="36"/>
      <c r="E38" s="36"/>
      <c r="F38" s="36"/>
      <c r="G38" s="36"/>
      <c r="H38" s="36"/>
      <c r="I38" s="11"/>
      <c r="J38" s="81"/>
      <c r="K38" s="82"/>
      <c r="L38" s="82"/>
      <c r="M38" s="82"/>
      <c r="N38" s="82"/>
      <c r="O38" s="82"/>
      <c r="P38" s="83">
        <v>0</v>
      </c>
      <c r="Q38" s="29"/>
      <c r="R38" s="93"/>
      <c r="S38" s="2"/>
      <c r="T38" s="2"/>
      <c r="U38" s="2"/>
      <c r="V38" s="94"/>
      <c r="W38" s="29"/>
      <c r="X38" s="301" t="s">
        <v>80</v>
      </c>
      <c r="Y38" s="302"/>
      <c r="Z38" s="288"/>
      <c r="AA38" s="289"/>
      <c r="AB38" s="30"/>
      <c r="AC38" s="2"/>
      <c r="AD38" s="2"/>
    </row>
    <row r="39" spans="1:30" ht="13" x14ac:dyDescent="0.25">
      <c r="A39" s="2"/>
      <c r="B39" s="2"/>
      <c r="C39" s="11"/>
      <c r="D39" s="311" t="s">
        <v>90</v>
      </c>
      <c r="E39" s="209"/>
      <c r="F39" s="209"/>
      <c r="G39" s="312"/>
      <c r="H39" s="129"/>
      <c r="I39" s="29"/>
      <c r="J39" s="84"/>
      <c r="K39" s="85"/>
      <c r="L39" s="85"/>
      <c r="M39" s="85"/>
      <c r="N39" s="85"/>
      <c r="O39" s="85"/>
      <c r="P39" s="86">
        <v>0</v>
      </c>
      <c r="Q39" s="29"/>
      <c r="R39" s="271"/>
      <c r="S39" s="232"/>
      <c r="T39" s="274"/>
      <c r="U39" s="232"/>
      <c r="V39" s="95"/>
      <c r="W39" s="29"/>
      <c r="X39" s="303" t="s">
        <v>91</v>
      </c>
      <c r="Y39" s="129"/>
      <c r="Z39" s="290">
        <f>(Z38+Z37)-Z35</f>
        <v>0</v>
      </c>
      <c r="AA39" s="119"/>
      <c r="AB39" s="30"/>
      <c r="AC39" s="2"/>
      <c r="AD39" s="2"/>
    </row>
    <row r="40" spans="1:30" ht="13" x14ac:dyDescent="0.3">
      <c r="A40" s="2"/>
      <c r="B40" s="2"/>
      <c r="C40" s="11"/>
      <c r="D40" s="130"/>
      <c r="E40" s="200"/>
      <c r="F40" s="200"/>
      <c r="G40" s="130"/>
      <c r="H40" s="131"/>
      <c r="I40" s="29"/>
      <c r="J40" s="96" t="s">
        <v>14</v>
      </c>
      <c r="K40" s="97"/>
      <c r="L40" s="97">
        <f t="shared" ref="L40:M40" si="4">SUM(L15:L39)</f>
        <v>0</v>
      </c>
      <c r="M40" s="97">
        <f t="shared" si="4"/>
        <v>0</v>
      </c>
      <c r="N40" s="97"/>
      <c r="O40" s="97"/>
      <c r="P40" s="98"/>
      <c r="Q40" s="29"/>
      <c r="R40" s="272" t="s">
        <v>14</v>
      </c>
      <c r="S40" s="273"/>
      <c r="T40" s="291">
        <f>SUM(T15:U39)</f>
        <v>0</v>
      </c>
      <c r="U40" s="224"/>
      <c r="V40" s="119"/>
      <c r="W40" s="29"/>
      <c r="X40" s="130"/>
      <c r="Y40" s="131"/>
      <c r="Z40" s="290" t="str">
        <f>IF(Z39&lt;0,"Te falta dinero o anotar algo", "Te sobra dinero o anotar algo")</f>
        <v>Te sobra dinero o anotar algo</v>
      </c>
      <c r="AA40" s="119"/>
      <c r="AB40" s="30"/>
      <c r="AC40" s="2"/>
      <c r="AD40" s="2"/>
    </row>
    <row r="41" spans="1:30" ht="12.5" x14ac:dyDescent="0.25">
      <c r="A41" s="2"/>
      <c r="B41" s="2"/>
      <c r="C41" s="2"/>
      <c r="D41" s="35"/>
      <c r="E41" s="35"/>
      <c r="F41" s="35"/>
      <c r="G41" s="35"/>
      <c r="H41" s="35"/>
      <c r="I41" s="2"/>
      <c r="J41" s="99"/>
      <c r="K41" s="99"/>
      <c r="L41" s="99"/>
      <c r="M41" s="99"/>
      <c r="N41" s="99"/>
      <c r="O41" s="99"/>
      <c r="P41" s="99"/>
      <c r="Q41" s="28"/>
      <c r="R41" s="36"/>
      <c r="S41" s="36"/>
      <c r="T41" s="36"/>
      <c r="U41" s="36"/>
      <c r="V41" s="36"/>
      <c r="W41" s="2"/>
      <c r="X41" s="35"/>
      <c r="Y41" s="35"/>
      <c r="Z41" s="35"/>
      <c r="AA41" s="35"/>
      <c r="AB41" s="2"/>
      <c r="AC41" s="2"/>
      <c r="AD41" s="2"/>
    </row>
    <row r="42" spans="1:30" ht="13" x14ac:dyDescent="0.3">
      <c r="A42" s="2"/>
      <c r="B42" s="2"/>
      <c r="C42" s="2"/>
      <c r="D42" s="313" t="s">
        <v>92</v>
      </c>
      <c r="E42" s="209"/>
      <c r="F42" s="209"/>
      <c r="G42" s="209"/>
      <c r="H42" s="129"/>
      <c r="I42" s="11"/>
      <c r="J42" s="292" t="s">
        <v>93</v>
      </c>
      <c r="K42" s="224"/>
      <c r="L42" s="224"/>
      <c r="M42" s="224"/>
      <c r="N42" s="224"/>
      <c r="O42" s="224"/>
      <c r="P42" s="224"/>
      <c r="Q42" s="224"/>
      <c r="R42" s="224"/>
      <c r="S42" s="100">
        <f>M40+O120</f>
        <v>0</v>
      </c>
      <c r="T42" s="293"/>
      <c r="U42" s="224"/>
      <c r="V42" s="119"/>
      <c r="W42" s="30"/>
      <c r="X42" s="2"/>
      <c r="Y42" s="2"/>
      <c r="Z42" s="2"/>
      <c r="AA42" s="2"/>
      <c r="AB42" s="2"/>
      <c r="AC42" s="2"/>
      <c r="AD42" s="2"/>
    </row>
    <row r="43" spans="1:30" ht="12.5" x14ac:dyDescent="0.25">
      <c r="A43" s="2"/>
      <c r="B43" s="2"/>
      <c r="C43" s="2"/>
      <c r="D43" s="130"/>
      <c r="E43" s="200"/>
      <c r="F43" s="200"/>
      <c r="G43" s="200"/>
      <c r="H43" s="131"/>
      <c r="I43" s="2"/>
      <c r="J43" s="4"/>
      <c r="K43" s="4"/>
      <c r="L43" s="4"/>
      <c r="M43" s="4"/>
      <c r="N43" s="4"/>
      <c r="O43" s="4"/>
      <c r="P43" s="4"/>
      <c r="Q43" s="35"/>
      <c r="R43" s="35"/>
      <c r="S43" s="35"/>
      <c r="T43" s="35"/>
      <c r="U43" s="35"/>
      <c r="V43" s="35"/>
      <c r="W43" s="2"/>
      <c r="X43" s="2"/>
      <c r="Y43" s="2"/>
      <c r="Z43" s="2"/>
      <c r="AA43" s="2"/>
      <c r="AB43" s="2"/>
      <c r="AC43" s="2"/>
      <c r="AD43" s="2"/>
    </row>
    <row r="44" spans="1:30" ht="13" x14ac:dyDescent="0.25">
      <c r="A44" s="2"/>
      <c r="B44" s="2"/>
      <c r="C44" s="2"/>
      <c r="D44" s="324" t="s">
        <v>62</v>
      </c>
      <c r="E44" s="224"/>
      <c r="F44" s="325"/>
      <c r="G44" s="101" t="s">
        <v>94</v>
      </c>
      <c r="H44" s="102" t="s">
        <v>95</v>
      </c>
      <c r="I44" s="2"/>
      <c r="J44" s="3"/>
      <c r="K44" s="3"/>
      <c r="L44" s="3"/>
      <c r="M44" s="3"/>
      <c r="N44" s="3"/>
      <c r="O44" s="3"/>
      <c r="P44" s="3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2.5" x14ac:dyDescent="0.25">
      <c r="A45" s="2"/>
      <c r="B45" s="2"/>
      <c r="C45" s="11"/>
      <c r="D45" s="326"/>
      <c r="E45" s="327"/>
      <c r="F45" s="230"/>
      <c r="G45" s="103"/>
      <c r="H45" s="104"/>
      <c r="I45" s="30"/>
      <c r="J45" s="3"/>
      <c r="K45" s="3"/>
      <c r="L45" s="3"/>
      <c r="M45" s="3"/>
      <c r="N45" s="3"/>
      <c r="O45" s="3"/>
      <c r="P45" s="3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2.5" x14ac:dyDescent="0.25">
      <c r="A46" s="2"/>
      <c r="B46" s="2"/>
      <c r="C46" s="11"/>
      <c r="D46" s="328"/>
      <c r="E46" s="245"/>
      <c r="F46" s="329"/>
      <c r="G46" s="105"/>
      <c r="H46" s="106"/>
      <c r="I46" s="30"/>
      <c r="J46" s="3"/>
      <c r="K46" s="3"/>
      <c r="L46" s="3"/>
      <c r="M46" s="3"/>
      <c r="N46" s="3"/>
      <c r="O46" s="3"/>
      <c r="P46" s="3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2.5" x14ac:dyDescent="0.25">
      <c r="A47" s="2"/>
      <c r="B47" s="2"/>
      <c r="C47" s="11"/>
      <c r="D47" s="330"/>
      <c r="E47" s="245"/>
      <c r="F47" s="236"/>
      <c r="G47" s="2"/>
      <c r="H47" s="94"/>
      <c r="I47" s="30"/>
      <c r="J47" s="3"/>
      <c r="K47" s="3"/>
      <c r="L47" s="3"/>
      <c r="M47" s="3"/>
      <c r="N47" s="3"/>
      <c r="O47" s="3"/>
      <c r="P47" s="3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2.5" x14ac:dyDescent="0.25">
      <c r="A48" s="2"/>
      <c r="B48" s="2"/>
      <c r="C48" s="11"/>
      <c r="D48" s="328"/>
      <c r="E48" s="245"/>
      <c r="F48" s="329"/>
      <c r="G48" s="105"/>
      <c r="H48" s="106"/>
      <c r="I48" s="30"/>
      <c r="J48" s="3"/>
      <c r="K48" s="3"/>
      <c r="L48" s="3"/>
      <c r="M48" s="3"/>
      <c r="N48" s="3"/>
      <c r="O48" s="3"/>
      <c r="P48" s="3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2.5" x14ac:dyDescent="0.25">
      <c r="A49" s="2"/>
      <c r="B49" s="2"/>
      <c r="C49" s="11"/>
      <c r="D49" s="330"/>
      <c r="E49" s="245"/>
      <c r="F49" s="236"/>
      <c r="G49" s="2"/>
      <c r="H49" s="94"/>
      <c r="I49" s="30"/>
      <c r="J49" s="3"/>
      <c r="K49" s="3"/>
      <c r="L49" s="3"/>
      <c r="M49" s="3"/>
      <c r="N49" s="3"/>
      <c r="O49" s="3"/>
      <c r="P49" s="3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2.5" x14ac:dyDescent="0.25">
      <c r="A50" s="2"/>
      <c r="B50" s="2"/>
      <c r="C50" s="11"/>
      <c r="D50" s="328"/>
      <c r="E50" s="245"/>
      <c r="F50" s="329"/>
      <c r="G50" s="105"/>
      <c r="H50" s="106"/>
      <c r="I50" s="30"/>
      <c r="J50" s="3"/>
      <c r="K50" s="3"/>
      <c r="L50" s="3"/>
      <c r="M50" s="3"/>
      <c r="N50" s="3"/>
      <c r="O50" s="3"/>
      <c r="P50" s="3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2.5" x14ac:dyDescent="0.25">
      <c r="A51" s="2"/>
      <c r="B51" s="2"/>
      <c r="C51" s="11"/>
      <c r="D51" s="331"/>
      <c r="E51" s="218"/>
      <c r="F51" s="219"/>
      <c r="G51" s="47"/>
      <c r="H51" s="107"/>
      <c r="I51" s="30"/>
      <c r="J51" s="3"/>
      <c r="K51" s="3"/>
      <c r="L51" s="3"/>
      <c r="M51" s="3"/>
      <c r="N51" s="3"/>
      <c r="O51" s="3"/>
      <c r="P51" s="3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3" x14ac:dyDescent="0.3">
      <c r="A52" s="2"/>
      <c r="B52" s="2"/>
      <c r="C52" s="11"/>
      <c r="D52" s="332" t="s">
        <v>96</v>
      </c>
      <c r="E52" s="224"/>
      <c r="F52" s="224"/>
      <c r="G52" s="325"/>
      <c r="H52" s="108">
        <f>SUMIF(G45:G51, "Ahorro", H45:H51)</f>
        <v>0</v>
      </c>
      <c r="I52" s="30"/>
      <c r="J52" s="3"/>
      <c r="K52" s="3"/>
      <c r="L52" s="3"/>
      <c r="M52" s="3"/>
      <c r="N52" s="3"/>
      <c r="O52" s="3"/>
      <c r="P52" s="3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3" x14ac:dyDescent="0.3">
      <c r="A53" s="2"/>
      <c r="B53" s="2"/>
      <c r="C53" s="11"/>
      <c r="D53" s="332" t="s">
        <v>97</v>
      </c>
      <c r="E53" s="224"/>
      <c r="F53" s="224"/>
      <c r="G53" s="325"/>
      <c r="H53" s="108">
        <f>SUMIF(G45:G51, "Inversión", H45:H51)</f>
        <v>0</v>
      </c>
      <c r="I53" s="30"/>
      <c r="J53" s="3"/>
      <c r="K53" s="3"/>
      <c r="L53" s="3"/>
      <c r="M53" s="3"/>
      <c r="N53" s="3"/>
      <c r="O53" s="3"/>
      <c r="P53" s="3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2.5" x14ac:dyDescent="0.25">
      <c r="A54" s="2"/>
      <c r="B54" s="2"/>
      <c r="C54" s="2"/>
      <c r="D54" s="35"/>
      <c r="E54" s="35"/>
      <c r="F54" s="35"/>
      <c r="G54" s="35"/>
      <c r="H54" s="35"/>
      <c r="I54" s="2"/>
      <c r="J54" s="3"/>
      <c r="K54" s="3"/>
      <c r="L54" s="3"/>
      <c r="M54" s="3"/>
      <c r="N54" s="3"/>
      <c r="O54" s="3"/>
      <c r="P54" s="3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2.5" x14ac:dyDescent="0.25">
      <c r="A55" s="2"/>
      <c r="B55" s="2"/>
      <c r="C55" s="2"/>
      <c r="D55" s="28"/>
      <c r="E55" s="28"/>
      <c r="F55" s="28"/>
      <c r="G55" s="28"/>
      <c r="H55" s="28"/>
      <c r="I55" s="28"/>
      <c r="J55" s="5"/>
      <c r="K55" s="5"/>
      <c r="L55" s="5"/>
      <c r="M55" s="5"/>
      <c r="N55" s="5"/>
      <c r="O55" s="5"/>
      <c r="P55" s="5"/>
      <c r="Q55" s="28"/>
      <c r="R55" s="28"/>
      <c r="S55" s="28"/>
      <c r="T55" s="28"/>
      <c r="U55" s="28"/>
      <c r="V55" s="28"/>
      <c r="W55" s="2"/>
      <c r="X55" s="2"/>
      <c r="Y55" s="2"/>
      <c r="Z55" s="2"/>
      <c r="AA55" s="2"/>
      <c r="AB55" s="2"/>
      <c r="AC55" s="2"/>
      <c r="AD55" s="2"/>
    </row>
    <row r="56" spans="1:30" ht="12.5" x14ac:dyDescent="0.25">
      <c r="A56" s="2"/>
      <c r="B56" s="2"/>
      <c r="C56" s="11"/>
      <c r="D56" s="208" t="s">
        <v>98</v>
      </c>
      <c r="E56" s="209"/>
      <c r="F56" s="209"/>
      <c r="G56" s="209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9"/>
      <c r="S56" s="209"/>
      <c r="T56" s="209"/>
      <c r="U56" s="209"/>
      <c r="V56" s="129"/>
      <c r="W56" s="30"/>
      <c r="X56" s="2"/>
      <c r="Y56" s="2"/>
      <c r="Z56" s="2"/>
      <c r="AA56" s="2"/>
      <c r="AB56" s="2"/>
      <c r="AC56" s="2"/>
      <c r="AD56" s="2"/>
    </row>
    <row r="57" spans="1:30" ht="12.5" x14ac:dyDescent="0.25">
      <c r="A57" s="2"/>
      <c r="B57" s="2"/>
      <c r="C57" s="11"/>
      <c r="D57" s="333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277"/>
      <c r="P57" s="277"/>
      <c r="Q57" s="277"/>
      <c r="R57" s="277"/>
      <c r="S57" s="277"/>
      <c r="T57" s="277"/>
      <c r="U57" s="277"/>
      <c r="V57" s="334"/>
      <c r="W57" s="30"/>
      <c r="X57" s="2"/>
      <c r="Y57" s="2"/>
      <c r="Z57" s="2"/>
      <c r="AA57" s="2"/>
      <c r="AB57" s="2"/>
      <c r="AC57" s="2"/>
      <c r="AD57" s="2"/>
    </row>
    <row r="58" spans="1:30" ht="13" x14ac:dyDescent="0.3">
      <c r="A58" s="2"/>
      <c r="B58" s="2"/>
      <c r="C58" s="11"/>
      <c r="D58" s="335" t="s">
        <v>62</v>
      </c>
      <c r="E58" s="224"/>
      <c r="F58" s="224"/>
      <c r="G58" s="224"/>
      <c r="H58" s="224"/>
      <c r="I58" s="119"/>
      <c r="J58" s="109" t="s">
        <v>99</v>
      </c>
      <c r="K58" s="319" t="s">
        <v>68</v>
      </c>
      <c r="L58" s="119"/>
      <c r="M58" s="319" t="s">
        <v>100</v>
      </c>
      <c r="N58" s="119"/>
      <c r="O58" s="319" t="s">
        <v>95</v>
      </c>
      <c r="P58" s="119"/>
      <c r="Q58" s="319" t="s">
        <v>101</v>
      </c>
      <c r="R58" s="224"/>
      <c r="S58" s="224"/>
      <c r="T58" s="224"/>
      <c r="U58" s="224"/>
      <c r="V58" s="119"/>
      <c r="W58" s="30"/>
      <c r="X58" s="2"/>
      <c r="Y58" s="2"/>
      <c r="Z58" s="2"/>
      <c r="AA58" s="2"/>
      <c r="AB58" s="2"/>
      <c r="AC58" s="2"/>
      <c r="AD58" s="2"/>
    </row>
    <row r="59" spans="1:30" ht="12.5" x14ac:dyDescent="0.25">
      <c r="A59" s="2"/>
      <c r="B59" s="2"/>
      <c r="C59" s="11"/>
      <c r="D59" s="336"/>
      <c r="E59" s="277"/>
      <c r="F59" s="277"/>
      <c r="G59" s="277"/>
      <c r="H59" s="277"/>
      <c r="I59" s="142"/>
      <c r="J59" s="4"/>
      <c r="K59" s="314"/>
      <c r="L59" s="142"/>
      <c r="M59" s="314"/>
      <c r="N59" s="142"/>
      <c r="O59" s="315"/>
      <c r="P59" s="142"/>
      <c r="Q59" s="247"/>
      <c r="R59" s="277"/>
      <c r="S59" s="277"/>
      <c r="T59" s="277"/>
      <c r="U59" s="277"/>
      <c r="V59" s="334"/>
      <c r="W59" s="30"/>
      <c r="X59" s="2"/>
      <c r="Y59" s="2"/>
      <c r="Z59" s="2"/>
      <c r="AA59" s="2"/>
      <c r="AB59" s="2"/>
      <c r="AC59" s="2"/>
      <c r="AD59" s="2"/>
    </row>
    <row r="60" spans="1:30" ht="12.5" x14ac:dyDescent="0.25">
      <c r="A60" s="2"/>
      <c r="B60" s="2"/>
      <c r="C60" s="11"/>
      <c r="D60" s="337"/>
      <c r="E60" s="277"/>
      <c r="F60" s="277"/>
      <c r="G60" s="277"/>
      <c r="H60" s="277"/>
      <c r="I60" s="338"/>
      <c r="J60" s="111"/>
      <c r="K60" s="316"/>
      <c r="L60" s="232"/>
      <c r="M60" s="316"/>
      <c r="N60" s="232"/>
      <c r="O60" s="317"/>
      <c r="P60" s="232"/>
      <c r="Q60" s="274"/>
      <c r="R60" s="245"/>
      <c r="S60" s="245"/>
      <c r="T60" s="245"/>
      <c r="U60" s="245"/>
      <c r="V60" s="246"/>
      <c r="W60" s="30"/>
      <c r="X60" s="2"/>
      <c r="Y60" s="2"/>
      <c r="Z60" s="2"/>
      <c r="AA60" s="2"/>
      <c r="AB60" s="2"/>
      <c r="AC60" s="2"/>
      <c r="AD60" s="2"/>
    </row>
    <row r="61" spans="1:30" ht="12.5" x14ac:dyDescent="0.25">
      <c r="A61" s="2"/>
      <c r="B61" s="2"/>
      <c r="C61" s="11"/>
      <c r="D61" s="336"/>
      <c r="E61" s="277"/>
      <c r="F61" s="277"/>
      <c r="G61" s="277"/>
      <c r="H61" s="277"/>
      <c r="I61" s="142"/>
      <c r="J61" s="3"/>
      <c r="K61" s="314"/>
      <c r="L61" s="142"/>
      <c r="M61" s="314"/>
      <c r="N61" s="142"/>
      <c r="O61" s="320"/>
      <c r="P61" s="236"/>
      <c r="Q61" s="318"/>
      <c r="R61" s="245"/>
      <c r="S61" s="245"/>
      <c r="T61" s="245"/>
      <c r="U61" s="245"/>
      <c r="V61" s="246"/>
      <c r="W61" s="30"/>
      <c r="X61" s="2"/>
      <c r="Y61" s="2"/>
      <c r="Z61" s="2"/>
      <c r="AA61" s="2"/>
      <c r="AB61" s="2"/>
      <c r="AC61" s="2"/>
      <c r="AD61" s="2"/>
    </row>
    <row r="62" spans="1:30" ht="12.5" x14ac:dyDescent="0.25">
      <c r="A62" s="2"/>
      <c r="B62" s="2"/>
      <c r="C62" s="11"/>
      <c r="D62" s="337"/>
      <c r="E62" s="277"/>
      <c r="F62" s="277"/>
      <c r="G62" s="277"/>
      <c r="H62" s="277"/>
      <c r="I62" s="338"/>
      <c r="J62" s="111"/>
      <c r="K62" s="316"/>
      <c r="L62" s="232"/>
      <c r="M62" s="316"/>
      <c r="N62" s="232"/>
      <c r="O62" s="317"/>
      <c r="P62" s="232"/>
      <c r="Q62" s="274"/>
      <c r="R62" s="245"/>
      <c r="S62" s="245"/>
      <c r="T62" s="245"/>
      <c r="U62" s="245"/>
      <c r="V62" s="246"/>
      <c r="W62" s="30"/>
      <c r="X62" s="2"/>
      <c r="Y62" s="2"/>
      <c r="Z62" s="2"/>
      <c r="AA62" s="2"/>
      <c r="AB62" s="2"/>
      <c r="AC62" s="2"/>
      <c r="AD62" s="2"/>
    </row>
    <row r="63" spans="1:30" ht="12.5" x14ac:dyDescent="0.25">
      <c r="A63" s="2"/>
      <c r="B63" s="2"/>
      <c r="C63" s="11"/>
      <c r="D63" s="336"/>
      <c r="E63" s="277"/>
      <c r="F63" s="277"/>
      <c r="G63" s="277"/>
      <c r="H63" s="277"/>
      <c r="I63" s="142"/>
      <c r="J63" s="3"/>
      <c r="K63" s="314"/>
      <c r="L63" s="142"/>
      <c r="M63" s="314"/>
      <c r="N63" s="142"/>
      <c r="O63" s="320"/>
      <c r="P63" s="236"/>
      <c r="Q63" s="318"/>
      <c r="R63" s="245"/>
      <c r="S63" s="245"/>
      <c r="T63" s="245"/>
      <c r="U63" s="245"/>
      <c r="V63" s="246"/>
      <c r="W63" s="30"/>
      <c r="X63" s="2"/>
      <c r="Y63" s="2"/>
      <c r="Z63" s="2"/>
      <c r="AA63" s="2"/>
      <c r="AB63" s="2"/>
      <c r="AC63" s="2"/>
      <c r="AD63" s="2"/>
    </row>
    <row r="64" spans="1:30" ht="14" x14ac:dyDescent="0.3">
      <c r="A64" s="2"/>
      <c r="B64" s="2"/>
      <c r="C64" s="11"/>
      <c r="D64" s="337"/>
      <c r="E64" s="277"/>
      <c r="F64" s="277"/>
      <c r="G64" s="277"/>
      <c r="H64" s="277"/>
      <c r="I64" s="338"/>
      <c r="J64" s="111"/>
      <c r="K64" s="316"/>
      <c r="L64" s="232"/>
      <c r="M64" s="316"/>
      <c r="N64" s="232"/>
      <c r="O64" s="321"/>
      <c r="P64" s="232"/>
      <c r="Q64" s="274"/>
      <c r="R64" s="245"/>
      <c r="S64" s="245"/>
      <c r="T64" s="245"/>
      <c r="U64" s="245"/>
      <c r="V64" s="246"/>
      <c r="W64" s="30"/>
      <c r="X64" s="2"/>
      <c r="Y64" s="2"/>
      <c r="Z64" s="2"/>
      <c r="AA64" s="2"/>
      <c r="AB64" s="2"/>
      <c r="AC64" s="2"/>
      <c r="AD64" s="2"/>
    </row>
    <row r="65" spans="1:30" ht="12.5" x14ac:dyDescent="0.25">
      <c r="A65" s="2"/>
      <c r="B65" s="2"/>
      <c r="C65" s="11"/>
      <c r="D65" s="93"/>
      <c r="E65" s="2"/>
      <c r="F65" s="2"/>
      <c r="G65" s="2"/>
      <c r="H65" s="2"/>
      <c r="I65" s="2"/>
      <c r="J65" s="3"/>
      <c r="K65" s="314"/>
      <c r="L65" s="142"/>
      <c r="M65" s="314"/>
      <c r="N65" s="142"/>
      <c r="O65" s="320"/>
      <c r="P65" s="236"/>
      <c r="Q65" s="318"/>
      <c r="R65" s="245"/>
      <c r="S65" s="245"/>
      <c r="T65" s="245"/>
      <c r="U65" s="245"/>
      <c r="V65" s="246"/>
      <c r="W65" s="30"/>
      <c r="X65" s="2"/>
      <c r="Y65" s="2"/>
      <c r="Z65" s="2"/>
      <c r="AA65" s="2"/>
      <c r="AB65" s="2"/>
      <c r="AC65" s="2"/>
      <c r="AD65" s="2"/>
    </row>
    <row r="66" spans="1:30" ht="12.5" x14ac:dyDescent="0.25">
      <c r="A66" s="2"/>
      <c r="B66" s="2"/>
      <c r="C66" s="11"/>
      <c r="D66" s="337"/>
      <c r="E66" s="277"/>
      <c r="F66" s="277"/>
      <c r="G66" s="277"/>
      <c r="H66" s="277"/>
      <c r="I66" s="338"/>
      <c r="J66" s="111"/>
      <c r="K66" s="316"/>
      <c r="L66" s="232"/>
      <c r="M66" s="316"/>
      <c r="N66" s="232"/>
      <c r="O66" s="317"/>
      <c r="P66" s="232"/>
      <c r="Q66" s="274"/>
      <c r="R66" s="245"/>
      <c r="S66" s="245"/>
      <c r="T66" s="245"/>
      <c r="U66" s="245"/>
      <c r="V66" s="246"/>
      <c r="W66" s="30"/>
      <c r="X66" s="2"/>
      <c r="Y66" s="2"/>
      <c r="Z66" s="2"/>
      <c r="AA66" s="2"/>
      <c r="AB66" s="2"/>
      <c r="AC66" s="2"/>
      <c r="AD66" s="2"/>
    </row>
    <row r="67" spans="1:30" ht="12.5" x14ac:dyDescent="0.25">
      <c r="A67" s="2"/>
      <c r="B67" s="2"/>
      <c r="C67" s="11"/>
      <c r="D67" s="93"/>
      <c r="E67" s="2"/>
      <c r="F67" s="2"/>
      <c r="G67" s="2"/>
      <c r="H67" s="2"/>
      <c r="I67" s="2"/>
      <c r="J67" s="3"/>
      <c r="K67" s="314"/>
      <c r="L67" s="142"/>
      <c r="M67" s="314"/>
      <c r="N67" s="142"/>
      <c r="O67" s="320"/>
      <c r="P67" s="236"/>
      <c r="Q67" s="318"/>
      <c r="R67" s="245"/>
      <c r="S67" s="245"/>
      <c r="T67" s="245"/>
      <c r="U67" s="245"/>
      <c r="V67" s="246"/>
      <c r="W67" s="30"/>
      <c r="X67" s="2"/>
      <c r="Y67" s="2"/>
      <c r="Z67" s="2"/>
      <c r="AA67" s="2"/>
      <c r="AB67" s="2"/>
      <c r="AC67" s="2"/>
      <c r="AD67" s="2"/>
    </row>
    <row r="68" spans="1:30" ht="12.5" x14ac:dyDescent="0.25">
      <c r="A68" s="2"/>
      <c r="B68" s="2"/>
      <c r="C68" s="11"/>
      <c r="D68" s="337"/>
      <c r="E68" s="277"/>
      <c r="F68" s="277"/>
      <c r="G68" s="277"/>
      <c r="H68" s="277"/>
      <c r="I68" s="338"/>
      <c r="J68" s="111"/>
      <c r="K68" s="316"/>
      <c r="L68" s="232"/>
      <c r="M68" s="316"/>
      <c r="N68" s="232"/>
      <c r="O68" s="317"/>
      <c r="P68" s="232"/>
      <c r="Q68" s="274"/>
      <c r="R68" s="245"/>
      <c r="S68" s="245"/>
      <c r="T68" s="245"/>
      <c r="U68" s="245"/>
      <c r="V68" s="246"/>
      <c r="W68" s="30"/>
      <c r="X68" s="2"/>
      <c r="Y68" s="2"/>
      <c r="Z68" s="2"/>
      <c r="AA68" s="2"/>
      <c r="AB68" s="2"/>
      <c r="AC68" s="2"/>
      <c r="AD68" s="2"/>
    </row>
    <row r="69" spans="1:30" ht="12.5" x14ac:dyDescent="0.25">
      <c r="A69" s="2"/>
      <c r="B69" s="2"/>
      <c r="C69" s="11"/>
      <c r="D69" s="93"/>
      <c r="E69" s="2"/>
      <c r="F69" s="2"/>
      <c r="G69" s="2"/>
      <c r="H69" s="2"/>
      <c r="I69" s="2"/>
      <c r="J69" s="3"/>
      <c r="K69" s="314"/>
      <c r="L69" s="142"/>
      <c r="M69" s="314"/>
      <c r="N69" s="142"/>
      <c r="O69" s="320"/>
      <c r="P69" s="236"/>
      <c r="Q69" s="318"/>
      <c r="R69" s="245"/>
      <c r="S69" s="245"/>
      <c r="T69" s="245"/>
      <c r="U69" s="245"/>
      <c r="V69" s="246"/>
      <c r="W69" s="30"/>
      <c r="X69" s="2"/>
      <c r="Y69" s="2"/>
      <c r="Z69" s="2"/>
      <c r="AA69" s="2"/>
      <c r="AB69" s="2"/>
      <c r="AC69" s="2"/>
      <c r="AD69" s="2"/>
    </row>
    <row r="70" spans="1:30" ht="12.5" x14ac:dyDescent="0.25">
      <c r="A70" s="2"/>
      <c r="B70" s="2"/>
      <c r="C70" s="11"/>
      <c r="D70" s="337"/>
      <c r="E70" s="277"/>
      <c r="F70" s="277"/>
      <c r="G70" s="277"/>
      <c r="H70" s="277"/>
      <c r="I70" s="338"/>
      <c r="J70" s="111"/>
      <c r="K70" s="316"/>
      <c r="L70" s="232"/>
      <c r="M70" s="316"/>
      <c r="N70" s="232"/>
      <c r="O70" s="317"/>
      <c r="P70" s="232"/>
      <c r="Q70" s="274"/>
      <c r="R70" s="245"/>
      <c r="S70" s="245"/>
      <c r="T70" s="245"/>
      <c r="U70" s="245"/>
      <c r="V70" s="246"/>
      <c r="W70" s="30"/>
      <c r="X70" s="2"/>
      <c r="Y70" s="2"/>
      <c r="Z70" s="2"/>
      <c r="AA70" s="2"/>
      <c r="AB70" s="2"/>
      <c r="AC70" s="2"/>
      <c r="AD70" s="2"/>
    </row>
    <row r="71" spans="1:30" ht="12.5" x14ac:dyDescent="0.25">
      <c r="A71" s="2"/>
      <c r="B71" s="2"/>
      <c r="C71" s="11"/>
      <c r="D71" s="93"/>
      <c r="E71" s="2"/>
      <c r="F71" s="2"/>
      <c r="G71" s="2"/>
      <c r="H71" s="2"/>
      <c r="I71" s="2"/>
      <c r="J71" s="3"/>
      <c r="K71" s="314"/>
      <c r="L71" s="142"/>
      <c r="M71" s="314"/>
      <c r="N71" s="142"/>
      <c r="O71" s="320"/>
      <c r="P71" s="236"/>
      <c r="Q71" s="318"/>
      <c r="R71" s="245"/>
      <c r="S71" s="245"/>
      <c r="T71" s="245"/>
      <c r="U71" s="245"/>
      <c r="V71" s="246"/>
      <c r="W71" s="30"/>
      <c r="X71" s="2"/>
      <c r="Y71" s="2"/>
      <c r="Z71" s="2"/>
      <c r="AA71" s="2"/>
      <c r="AB71" s="2"/>
      <c r="AC71" s="2"/>
      <c r="AD71" s="2"/>
    </row>
    <row r="72" spans="1:30" ht="12.5" x14ac:dyDescent="0.25">
      <c r="A72" s="2"/>
      <c r="B72" s="2"/>
      <c r="C72" s="11"/>
      <c r="D72" s="337"/>
      <c r="E72" s="277"/>
      <c r="F72" s="277"/>
      <c r="G72" s="277"/>
      <c r="H72" s="277"/>
      <c r="I72" s="338"/>
      <c r="J72" s="111"/>
      <c r="K72" s="316"/>
      <c r="L72" s="232"/>
      <c r="M72" s="316"/>
      <c r="N72" s="232"/>
      <c r="O72" s="317"/>
      <c r="P72" s="232"/>
      <c r="Q72" s="274"/>
      <c r="R72" s="245"/>
      <c r="S72" s="245"/>
      <c r="T72" s="245"/>
      <c r="U72" s="245"/>
      <c r="V72" s="246"/>
      <c r="W72" s="30"/>
      <c r="X72" s="2"/>
      <c r="Y72" s="2"/>
      <c r="Z72" s="2"/>
      <c r="AA72" s="2"/>
      <c r="AB72" s="2"/>
      <c r="AC72" s="2"/>
      <c r="AD72" s="2"/>
    </row>
    <row r="73" spans="1:30" ht="12.5" x14ac:dyDescent="0.25">
      <c r="A73" s="2"/>
      <c r="B73" s="2"/>
      <c r="C73" s="11"/>
      <c r="D73" s="93"/>
      <c r="E73" s="2"/>
      <c r="F73" s="2"/>
      <c r="G73" s="2"/>
      <c r="H73" s="2"/>
      <c r="I73" s="2"/>
      <c r="J73" s="3"/>
      <c r="K73" s="314"/>
      <c r="L73" s="142"/>
      <c r="M73" s="314"/>
      <c r="N73" s="142"/>
      <c r="O73" s="320"/>
      <c r="P73" s="236"/>
      <c r="Q73" s="318"/>
      <c r="R73" s="245"/>
      <c r="S73" s="245"/>
      <c r="T73" s="245"/>
      <c r="U73" s="245"/>
      <c r="V73" s="246"/>
      <c r="W73" s="30"/>
      <c r="X73" s="2"/>
      <c r="Y73" s="2"/>
      <c r="Z73" s="2"/>
      <c r="AA73" s="2"/>
      <c r="AB73" s="2"/>
      <c r="AC73" s="2"/>
      <c r="AD73" s="2"/>
    </row>
    <row r="74" spans="1:30" ht="12.5" x14ac:dyDescent="0.25">
      <c r="A74" s="2"/>
      <c r="B74" s="2"/>
      <c r="C74" s="11"/>
      <c r="D74" s="337"/>
      <c r="E74" s="277"/>
      <c r="F74" s="277"/>
      <c r="G74" s="277"/>
      <c r="H74" s="277"/>
      <c r="I74" s="338"/>
      <c r="J74" s="111"/>
      <c r="K74" s="316"/>
      <c r="L74" s="232"/>
      <c r="M74" s="316"/>
      <c r="N74" s="232"/>
      <c r="O74" s="317"/>
      <c r="P74" s="232"/>
      <c r="Q74" s="274"/>
      <c r="R74" s="245"/>
      <c r="S74" s="245"/>
      <c r="T74" s="245"/>
      <c r="U74" s="245"/>
      <c r="V74" s="246"/>
      <c r="W74" s="30"/>
      <c r="X74" s="2"/>
      <c r="Y74" s="2"/>
      <c r="Z74" s="2"/>
      <c r="AA74" s="2"/>
      <c r="AB74" s="2"/>
      <c r="AC74" s="2"/>
      <c r="AD74" s="2"/>
    </row>
    <row r="75" spans="1:30" ht="12.5" x14ac:dyDescent="0.25">
      <c r="A75" s="2"/>
      <c r="B75" s="2"/>
      <c r="C75" s="11"/>
      <c r="D75" s="93"/>
      <c r="E75" s="2"/>
      <c r="F75" s="2"/>
      <c r="G75" s="2"/>
      <c r="H75" s="2"/>
      <c r="I75" s="2"/>
      <c r="J75" s="3"/>
      <c r="K75" s="314"/>
      <c r="L75" s="142"/>
      <c r="M75" s="314"/>
      <c r="N75" s="142"/>
      <c r="O75" s="320"/>
      <c r="P75" s="236"/>
      <c r="Q75" s="318"/>
      <c r="R75" s="245"/>
      <c r="S75" s="245"/>
      <c r="T75" s="245"/>
      <c r="U75" s="245"/>
      <c r="V75" s="246"/>
      <c r="W75" s="30"/>
      <c r="X75" s="2"/>
      <c r="Y75" s="2"/>
      <c r="Z75" s="2"/>
      <c r="AA75" s="2"/>
      <c r="AB75" s="2"/>
      <c r="AC75" s="2"/>
      <c r="AD75" s="2"/>
    </row>
    <row r="76" spans="1:30" ht="12.5" x14ac:dyDescent="0.25">
      <c r="A76" s="2"/>
      <c r="B76" s="2"/>
      <c r="C76" s="11"/>
      <c r="D76" s="337"/>
      <c r="E76" s="277"/>
      <c r="F76" s="277"/>
      <c r="G76" s="277"/>
      <c r="H76" s="277"/>
      <c r="I76" s="338"/>
      <c r="J76" s="111"/>
      <c r="K76" s="316"/>
      <c r="L76" s="232"/>
      <c r="M76" s="316"/>
      <c r="N76" s="232"/>
      <c r="O76" s="317"/>
      <c r="P76" s="232"/>
      <c r="Q76" s="274"/>
      <c r="R76" s="245"/>
      <c r="S76" s="245"/>
      <c r="T76" s="245"/>
      <c r="U76" s="245"/>
      <c r="V76" s="246"/>
      <c r="W76" s="30"/>
      <c r="X76" s="2"/>
      <c r="Y76" s="2"/>
      <c r="Z76" s="2"/>
      <c r="AA76" s="2"/>
      <c r="AB76" s="2"/>
      <c r="AC76" s="2"/>
      <c r="AD76" s="2"/>
    </row>
    <row r="77" spans="1:30" ht="12.5" x14ac:dyDescent="0.25">
      <c r="A77" s="2"/>
      <c r="B77" s="2"/>
      <c r="C77" s="11"/>
      <c r="D77" s="93"/>
      <c r="E77" s="2"/>
      <c r="F77" s="2"/>
      <c r="G77" s="2"/>
      <c r="H77" s="2"/>
      <c r="I77" s="2"/>
      <c r="J77" s="3"/>
      <c r="K77" s="314"/>
      <c r="L77" s="142"/>
      <c r="M77" s="314"/>
      <c r="N77" s="142"/>
      <c r="O77" s="320"/>
      <c r="P77" s="236"/>
      <c r="Q77" s="318"/>
      <c r="R77" s="245"/>
      <c r="S77" s="245"/>
      <c r="T77" s="245"/>
      <c r="U77" s="245"/>
      <c r="V77" s="246"/>
      <c r="W77" s="30"/>
      <c r="X77" s="2"/>
      <c r="Y77" s="2"/>
      <c r="Z77" s="2"/>
      <c r="AA77" s="2"/>
      <c r="AB77" s="2"/>
      <c r="AC77" s="2"/>
      <c r="AD77" s="2"/>
    </row>
    <row r="78" spans="1:30" ht="12.5" x14ac:dyDescent="0.25">
      <c r="A78" s="2"/>
      <c r="B78" s="2"/>
      <c r="C78" s="11"/>
      <c r="D78" s="337"/>
      <c r="E78" s="277"/>
      <c r="F78" s="277"/>
      <c r="G78" s="277"/>
      <c r="H78" s="277"/>
      <c r="I78" s="338"/>
      <c r="J78" s="111"/>
      <c r="K78" s="316"/>
      <c r="L78" s="232"/>
      <c r="M78" s="316"/>
      <c r="N78" s="232"/>
      <c r="O78" s="317"/>
      <c r="P78" s="232"/>
      <c r="Q78" s="274"/>
      <c r="R78" s="245"/>
      <c r="S78" s="245"/>
      <c r="T78" s="245"/>
      <c r="U78" s="245"/>
      <c r="V78" s="246"/>
      <c r="W78" s="30"/>
      <c r="X78" s="2"/>
      <c r="Y78" s="2"/>
      <c r="Z78" s="2"/>
      <c r="AA78" s="2"/>
      <c r="AB78" s="2"/>
      <c r="AC78" s="2"/>
      <c r="AD78" s="2"/>
    </row>
    <row r="79" spans="1:30" ht="12.5" x14ac:dyDescent="0.25">
      <c r="A79" s="2"/>
      <c r="B79" s="2"/>
      <c r="C79" s="11"/>
      <c r="D79" s="93"/>
      <c r="E79" s="2"/>
      <c r="F79" s="2"/>
      <c r="G79" s="2"/>
      <c r="H79" s="2"/>
      <c r="I79" s="2"/>
      <c r="J79" s="3"/>
      <c r="K79" s="314"/>
      <c r="L79" s="142"/>
      <c r="M79" s="314"/>
      <c r="N79" s="142"/>
      <c r="O79" s="320"/>
      <c r="P79" s="236"/>
      <c r="Q79" s="318"/>
      <c r="R79" s="245"/>
      <c r="S79" s="245"/>
      <c r="T79" s="245"/>
      <c r="U79" s="245"/>
      <c r="V79" s="246"/>
      <c r="W79" s="30"/>
      <c r="X79" s="2"/>
      <c r="Y79" s="2"/>
      <c r="Z79" s="2"/>
      <c r="AA79" s="2"/>
      <c r="AB79" s="2"/>
      <c r="AC79" s="2"/>
      <c r="AD79" s="2"/>
    </row>
    <row r="80" spans="1:30" ht="12.5" x14ac:dyDescent="0.25">
      <c r="A80" s="2"/>
      <c r="B80" s="2"/>
      <c r="C80" s="11"/>
      <c r="D80" s="337"/>
      <c r="E80" s="277"/>
      <c r="F80" s="277"/>
      <c r="G80" s="277"/>
      <c r="H80" s="277"/>
      <c r="I80" s="338"/>
      <c r="J80" s="111"/>
      <c r="K80" s="316"/>
      <c r="L80" s="232"/>
      <c r="M80" s="316"/>
      <c r="N80" s="232"/>
      <c r="O80" s="317"/>
      <c r="P80" s="232"/>
      <c r="Q80" s="274"/>
      <c r="R80" s="245"/>
      <c r="S80" s="245"/>
      <c r="T80" s="245"/>
      <c r="U80" s="245"/>
      <c r="V80" s="246"/>
      <c r="W80" s="30"/>
      <c r="X80" s="2"/>
      <c r="Y80" s="2"/>
      <c r="Z80" s="2"/>
      <c r="AA80" s="2"/>
      <c r="AB80" s="2"/>
      <c r="AC80" s="2"/>
      <c r="AD80" s="2"/>
    </row>
    <row r="81" spans="1:30" ht="12.5" x14ac:dyDescent="0.25">
      <c r="A81" s="2"/>
      <c r="B81" s="2"/>
      <c r="C81" s="11"/>
      <c r="D81" s="93"/>
      <c r="E81" s="2"/>
      <c r="F81" s="2"/>
      <c r="G81" s="2"/>
      <c r="H81" s="2"/>
      <c r="I81" s="2"/>
      <c r="J81" s="3"/>
      <c r="K81" s="314"/>
      <c r="L81" s="142"/>
      <c r="M81" s="314"/>
      <c r="N81" s="142"/>
      <c r="O81" s="320"/>
      <c r="P81" s="236"/>
      <c r="Q81" s="318"/>
      <c r="R81" s="245"/>
      <c r="S81" s="245"/>
      <c r="T81" s="245"/>
      <c r="U81" s="245"/>
      <c r="V81" s="246"/>
      <c r="W81" s="30"/>
      <c r="X81" s="2"/>
      <c r="Y81" s="2"/>
      <c r="Z81" s="2"/>
      <c r="AA81" s="2"/>
      <c r="AB81" s="2"/>
      <c r="AC81" s="2"/>
      <c r="AD81" s="2"/>
    </row>
    <row r="82" spans="1:30" ht="12.5" x14ac:dyDescent="0.25">
      <c r="A82" s="2"/>
      <c r="B82" s="2"/>
      <c r="C82" s="11"/>
      <c r="D82" s="337"/>
      <c r="E82" s="277"/>
      <c r="F82" s="277"/>
      <c r="G82" s="277"/>
      <c r="H82" s="277"/>
      <c r="I82" s="338"/>
      <c r="J82" s="111"/>
      <c r="K82" s="316"/>
      <c r="L82" s="232"/>
      <c r="M82" s="316"/>
      <c r="N82" s="232"/>
      <c r="O82" s="317"/>
      <c r="P82" s="232"/>
      <c r="Q82" s="274"/>
      <c r="R82" s="245"/>
      <c r="S82" s="245"/>
      <c r="T82" s="245"/>
      <c r="U82" s="245"/>
      <c r="V82" s="246"/>
      <c r="W82" s="30"/>
      <c r="X82" s="2"/>
      <c r="Y82" s="2"/>
      <c r="Z82" s="2"/>
      <c r="AA82" s="2"/>
      <c r="AB82" s="2"/>
      <c r="AC82" s="2"/>
      <c r="AD82" s="2"/>
    </row>
    <row r="83" spans="1:30" ht="12.5" x14ac:dyDescent="0.25">
      <c r="A83" s="2"/>
      <c r="B83" s="2"/>
      <c r="C83" s="11"/>
      <c r="D83" s="93"/>
      <c r="E83" s="2"/>
      <c r="F83" s="2"/>
      <c r="G83" s="2"/>
      <c r="H83" s="2"/>
      <c r="I83" s="2"/>
      <c r="J83" s="3"/>
      <c r="K83" s="314"/>
      <c r="L83" s="142"/>
      <c r="M83" s="314"/>
      <c r="N83" s="142"/>
      <c r="O83" s="320"/>
      <c r="P83" s="236"/>
      <c r="Q83" s="318"/>
      <c r="R83" s="245"/>
      <c r="S83" s="245"/>
      <c r="T83" s="245"/>
      <c r="U83" s="245"/>
      <c r="V83" s="246"/>
      <c r="W83" s="30"/>
      <c r="X83" s="2"/>
      <c r="Y83" s="2"/>
      <c r="Z83" s="2"/>
      <c r="AA83" s="2"/>
      <c r="AB83" s="2"/>
      <c r="AC83" s="2"/>
      <c r="AD83" s="2"/>
    </row>
    <row r="84" spans="1:30" ht="12.5" x14ac:dyDescent="0.25">
      <c r="A84" s="2"/>
      <c r="B84" s="2"/>
      <c r="C84" s="11"/>
      <c r="D84" s="337"/>
      <c r="E84" s="277"/>
      <c r="F84" s="277"/>
      <c r="G84" s="277"/>
      <c r="H84" s="277"/>
      <c r="I84" s="338"/>
      <c r="J84" s="111"/>
      <c r="K84" s="316"/>
      <c r="L84" s="232"/>
      <c r="M84" s="316"/>
      <c r="N84" s="232"/>
      <c r="O84" s="317"/>
      <c r="P84" s="232"/>
      <c r="Q84" s="274"/>
      <c r="R84" s="245"/>
      <c r="S84" s="245"/>
      <c r="T84" s="245"/>
      <c r="U84" s="245"/>
      <c r="V84" s="246"/>
      <c r="W84" s="30"/>
      <c r="X84" s="2"/>
      <c r="Y84" s="2"/>
      <c r="Z84" s="2"/>
      <c r="AA84" s="2"/>
      <c r="AB84" s="2"/>
      <c r="AC84" s="2"/>
      <c r="AD84" s="2"/>
    </row>
    <row r="85" spans="1:30" ht="12.5" x14ac:dyDescent="0.25">
      <c r="A85" s="2"/>
      <c r="B85" s="2"/>
      <c r="C85" s="11"/>
      <c r="D85" s="93"/>
      <c r="E85" s="2"/>
      <c r="F85" s="2"/>
      <c r="G85" s="2"/>
      <c r="H85" s="2"/>
      <c r="I85" s="2"/>
      <c r="J85" s="3"/>
      <c r="K85" s="314"/>
      <c r="L85" s="142"/>
      <c r="M85" s="314"/>
      <c r="N85" s="142"/>
      <c r="O85" s="320"/>
      <c r="P85" s="236"/>
      <c r="Q85" s="318"/>
      <c r="R85" s="245"/>
      <c r="S85" s="245"/>
      <c r="T85" s="245"/>
      <c r="U85" s="245"/>
      <c r="V85" s="246"/>
      <c r="W85" s="30"/>
      <c r="X85" s="2"/>
      <c r="Y85" s="2"/>
      <c r="Z85" s="2"/>
      <c r="AA85" s="2"/>
      <c r="AB85" s="2"/>
      <c r="AC85" s="2"/>
      <c r="AD85" s="2"/>
    </row>
    <row r="86" spans="1:30" ht="12.5" x14ac:dyDescent="0.25">
      <c r="A86" s="2"/>
      <c r="B86" s="2"/>
      <c r="C86" s="11"/>
      <c r="D86" s="337"/>
      <c r="E86" s="277"/>
      <c r="F86" s="277"/>
      <c r="G86" s="277"/>
      <c r="H86" s="277"/>
      <c r="I86" s="338"/>
      <c r="J86" s="111"/>
      <c r="K86" s="316"/>
      <c r="L86" s="232"/>
      <c r="M86" s="316"/>
      <c r="N86" s="232"/>
      <c r="O86" s="317"/>
      <c r="P86" s="232"/>
      <c r="Q86" s="274"/>
      <c r="R86" s="245"/>
      <c r="S86" s="245"/>
      <c r="T86" s="245"/>
      <c r="U86" s="245"/>
      <c r="V86" s="246"/>
      <c r="W86" s="30"/>
      <c r="X86" s="2"/>
      <c r="Y86" s="2"/>
      <c r="Z86" s="2"/>
      <c r="AA86" s="2"/>
      <c r="AB86" s="2"/>
      <c r="AC86" s="2"/>
      <c r="AD86" s="2"/>
    </row>
    <row r="87" spans="1:30" ht="12.5" x14ac:dyDescent="0.25">
      <c r="A87" s="2"/>
      <c r="B87" s="2"/>
      <c r="C87" s="11"/>
      <c r="D87" s="93"/>
      <c r="E87" s="2"/>
      <c r="F87" s="2"/>
      <c r="G87" s="2"/>
      <c r="H87" s="2"/>
      <c r="I87" s="2"/>
      <c r="J87" s="3"/>
      <c r="K87" s="314"/>
      <c r="L87" s="142"/>
      <c r="M87" s="314"/>
      <c r="N87" s="142"/>
      <c r="O87" s="320"/>
      <c r="P87" s="236"/>
      <c r="Q87" s="318"/>
      <c r="R87" s="245"/>
      <c r="S87" s="245"/>
      <c r="T87" s="245"/>
      <c r="U87" s="245"/>
      <c r="V87" s="246"/>
      <c r="W87" s="30"/>
      <c r="X87" s="2"/>
      <c r="Y87" s="2"/>
      <c r="Z87" s="2"/>
      <c r="AA87" s="2"/>
      <c r="AB87" s="2"/>
      <c r="AC87" s="2"/>
      <c r="AD87" s="2"/>
    </row>
    <row r="88" spans="1:30" ht="12.5" x14ac:dyDescent="0.25">
      <c r="A88" s="2"/>
      <c r="B88" s="2"/>
      <c r="C88" s="11"/>
      <c r="D88" s="337"/>
      <c r="E88" s="277"/>
      <c r="F88" s="277"/>
      <c r="G88" s="277"/>
      <c r="H88" s="277"/>
      <c r="I88" s="338"/>
      <c r="J88" s="111"/>
      <c r="K88" s="316"/>
      <c r="L88" s="232"/>
      <c r="M88" s="316"/>
      <c r="N88" s="232"/>
      <c r="O88" s="317"/>
      <c r="P88" s="232"/>
      <c r="Q88" s="274"/>
      <c r="R88" s="245"/>
      <c r="S88" s="245"/>
      <c r="T88" s="245"/>
      <c r="U88" s="245"/>
      <c r="V88" s="246"/>
      <c r="W88" s="30"/>
      <c r="X88" s="2"/>
      <c r="Y88" s="2"/>
      <c r="Z88" s="2"/>
      <c r="AA88" s="2"/>
      <c r="AB88" s="2"/>
      <c r="AC88" s="2"/>
      <c r="AD88" s="2"/>
    </row>
    <row r="89" spans="1:30" ht="12.5" x14ac:dyDescent="0.25">
      <c r="A89" s="2"/>
      <c r="B89" s="2"/>
      <c r="C89" s="11"/>
      <c r="D89" s="93"/>
      <c r="E89" s="2"/>
      <c r="F89" s="2"/>
      <c r="G89" s="2"/>
      <c r="H89" s="2"/>
      <c r="I89" s="2"/>
      <c r="J89" s="3"/>
      <c r="K89" s="314"/>
      <c r="L89" s="142"/>
      <c r="M89" s="314"/>
      <c r="N89" s="142"/>
      <c r="O89" s="320"/>
      <c r="P89" s="236"/>
      <c r="Q89" s="318"/>
      <c r="R89" s="245"/>
      <c r="S89" s="245"/>
      <c r="T89" s="245"/>
      <c r="U89" s="245"/>
      <c r="V89" s="246"/>
      <c r="W89" s="30"/>
      <c r="X89" s="2"/>
      <c r="Y89" s="2"/>
      <c r="Z89" s="2"/>
      <c r="AA89" s="2"/>
      <c r="AB89" s="2"/>
      <c r="AC89" s="2"/>
      <c r="AD89" s="2"/>
    </row>
    <row r="90" spans="1:30" ht="12.5" x14ac:dyDescent="0.25">
      <c r="A90" s="2"/>
      <c r="B90" s="2"/>
      <c r="C90" s="11"/>
      <c r="D90" s="337"/>
      <c r="E90" s="277"/>
      <c r="F90" s="277"/>
      <c r="G90" s="277"/>
      <c r="H90" s="277"/>
      <c r="I90" s="338"/>
      <c r="J90" s="111"/>
      <c r="K90" s="316"/>
      <c r="L90" s="232"/>
      <c r="M90" s="316"/>
      <c r="N90" s="232"/>
      <c r="O90" s="317"/>
      <c r="P90" s="232"/>
      <c r="Q90" s="274"/>
      <c r="R90" s="245"/>
      <c r="S90" s="245"/>
      <c r="T90" s="245"/>
      <c r="U90" s="245"/>
      <c r="V90" s="246"/>
      <c r="W90" s="30"/>
      <c r="X90" s="2"/>
      <c r="Y90" s="2"/>
      <c r="Z90" s="2"/>
      <c r="AA90" s="2"/>
      <c r="AB90" s="2"/>
      <c r="AC90" s="2"/>
      <c r="AD90" s="2"/>
    </row>
    <row r="91" spans="1:30" ht="12.5" x14ac:dyDescent="0.25">
      <c r="A91" s="2"/>
      <c r="B91" s="2"/>
      <c r="C91" s="11"/>
      <c r="D91" s="93"/>
      <c r="E91" s="2"/>
      <c r="F91" s="2"/>
      <c r="G91" s="2"/>
      <c r="H91" s="2"/>
      <c r="I91" s="2"/>
      <c r="J91" s="3"/>
      <c r="K91" s="314"/>
      <c r="L91" s="142"/>
      <c r="M91" s="314"/>
      <c r="N91" s="142"/>
      <c r="O91" s="320"/>
      <c r="P91" s="236"/>
      <c r="Q91" s="318"/>
      <c r="R91" s="245"/>
      <c r="S91" s="245"/>
      <c r="T91" s="245"/>
      <c r="U91" s="245"/>
      <c r="V91" s="246"/>
      <c r="W91" s="30"/>
      <c r="X91" s="2"/>
      <c r="Y91" s="2"/>
      <c r="Z91" s="2"/>
      <c r="AA91" s="2"/>
      <c r="AB91" s="2"/>
      <c r="AC91" s="2"/>
      <c r="AD91" s="2"/>
    </row>
    <row r="92" spans="1:30" ht="12.5" x14ac:dyDescent="0.25">
      <c r="A92" s="2"/>
      <c r="B92" s="2"/>
      <c r="C92" s="11"/>
      <c r="D92" s="337"/>
      <c r="E92" s="277"/>
      <c r="F92" s="277"/>
      <c r="G92" s="277"/>
      <c r="H92" s="277"/>
      <c r="I92" s="338"/>
      <c r="J92" s="111"/>
      <c r="K92" s="316"/>
      <c r="L92" s="232"/>
      <c r="M92" s="316"/>
      <c r="N92" s="232"/>
      <c r="O92" s="317"/>
      <c r="P92" s="232"/>
      <c r="Q92" s="274"/>
      <c r="R92" s="245"/>
      <c r="S92" s="245"/>
      <c r="T92" s="245"/>
      <c r="U92" s="245"/>
      <c r="V92" s="246"/>
      <c r="W92" s="30"/>
      <c r="X92" s="2"/>
      <c r="Y92" s="2"/>
      <c r="Z92" s="2"/>
      <c r="AA92" s="2"/>
      <c r="AB92" s="2"/>
      <c r="AC92" s="2"/>
      <c r="AD92" s="2"/>
    </row>
    <row r="93" spans="1:30" ht="12.5" x14ac:dyDescent="0.25">
      <c r="A93" s="2"/>
      <c r="B93" s="2"/>
      <c r="C93" s="11"/>
      <c r="D93" s="93"/>
      <c r="E93" s="2"/>
      <c r="F93" s="2"/>
      <c r="G93" s="2"/>
      <c r="H93" s="2"/>
      <c r="I93" s="2"/>
      <c r="J93" s="3"/>
      <c r="K93" s="314"/>
      <c r="L93" s="142"/>
      <c r="M93" s="314"/>
      <c r="N93" s="142"/>
      <c r="O93" s="320"/>
      <c r="P93" s="236"/>
      <c r="Q93" s="318"/>
      <c r="R93" s="245"/>
      <c r="S93" s="245"/>
      <c r="T93" s="245"/>
      <c r="U93" s="245"/>
      <c r="V93" s="246"/>
      <c r="W93" s="30"/>
      <c r="X93" s="2"/>
      <c r="Y93" s="2"/>
      <c r="Z93" s="2"/>
      <c r="AA93" s="2"/>
      <c r="AB93" s="2"/>
      <c r="AC93" s="2"/>
      <c r="AD93" s="2"/>
    </row>
    <row r="94" spans="1:30" ht="12.5" x14ac:dyDescent="0.25">
      <c r="A94" s="2"/>
      <c r="B94" s="2"/>
      <c r="C94" s="11"/>
      <c r="D94" s="337"/>
      <c r="E94" s="277"/>
      <c r="F94" s="277"/>
      <c r="G94" s="277"/>
      <c r="H94" s="277"/>
      <c r="I94" s="338"/>
      <c r="J94" s="111"/>
      <c r="K94" s="316"/>
      <c r="L94" s="232"/>
      <c r="M94" s="316"/>
      <c r="N94" s="232"/>
      <c r="O94" s="317"/>
      <c r="P94" s="232"/>
      <c r="Q94" s="274"/>
      <c r="R94" s="245"/>
      <c r="S94" s="245"/>
      <c r="T94" s="245"/>
      <c r="U94" s="245"/>
      <c r="V94" s="246"/>
      <c r="W94" s="30"/>
      <c r="X94" s="2"/>
      <c r="Y94" s="2"/>
      <c r="Z94" s="2"/>
      <c r="AA94" s="2"/>
      <c r="AB94" s="2"/>
      <c r="AC94" s="2"/>
      <c r="AD94" s="2"/>
    </row>
    <row r="95" spans="1:30" ht="12.5" x14ac:dyDescent="0.25">
      <c r="A95" s="2"/>
      <c r="B95" s="2"/>
      <c r="C95" s="11"/>
      <c r="D95" s="93"/>
      <c r="E95" s="2"/>
      <c r="F95" s="2"/>
      <c r="G95" s="2"/>
      <c r="H95" s="2"/>
      <c r="I95" s="2"/>
      <c r="J95" s="3"/>
      <c r="K95" s="314"/>
      <c r="L95" s="142"/>
      <c r="M95" s="314"/>
      <c r="N95" s="142"/>
      <c r="O95" s="320"/>
      <c r="P95" s="236"/>
      <c r="Q95" s="318"/>
      <c r="R95" s="245"/>
      <c r="S95" s="245"/>
      <c r="T95" s="245"/>
      <c r="U95" s="245"/>
      <c r="V95" s="246"/>
      <c r="W95" s="30"/>
      <c r="X95" s="2"/>
      <c r="Y95" s="2"/>
      <c r="Z95" s="2"/>
      <c r="AA95" s="2"/>
      <c r="AB95" s="2"/>
      <c r="AC95" s="2"/>
      <c r="AD95" s="2"/>
    </row>
    <row r="96" spans="1:30" ht="12.5" x14ac:dyDescent="0.25">
      <c r="A96" s="2"/>
      <c r="B96" s="2"/>
      <c r="C96" s="11"/>
      <c r="D96" s="337"/>
      <c r="E96" s="277"/>
      <c r="F96" s="277"/>
      <c r="G96" s="277"/>
      <c r="H96" s="277"/>
      <c r="I96" s="338"/>
      <c r="J96" s="111"/>
      <c r="K96" s="316"/>
      <c r="L96" s="232"/>
      <c r="M96" s="316"/>
      <c r="N96" s="232"/>
      <c r="O96" s="317"/>
      <c r="P96" s="232"/>
      <c r="Q96" s="274"/>
      <c r="R96" s="245"/>
      <c r="S96" s="245"/>
      <c r="T96" s="245"/>
      <c r="U96" s="245"/>
      <c r="V96" s="246"/>
      <c r="W96" s="30"/>
      <c r="X96" s="2"/>
      <c r="Y96" s="2"/>
      <c r="Z96" s="2"/>
      <c r="AA96" s="2"/>
      <c r="AB96" s="2"/>
      <c r="AC96" s="2"/>
      <c r="AD96" s="2"/>
    </row>
    <row r="97" spans="1:30" ht="12.5" x14ac:dyDescent="0.25">
      <c r="A97" s="2"/>
      <c r="B97" s="2"/>
      <c r="C97" s="11"/>
      <c r="D97" s="93"/>
      <c r="E97" s="2"/>
      <c r="F97" s="2"/>
      <c r="G97" s="2"/>
      <c r="H97" s="2"/>
      <c r="I97" s="2"/>
      <c r="J97" s="3"/>
      <c r="K97" s="314"/>
      <c r="L97" s="142"/>
      <c r="M97" s="314"/>
      <c r="N97" s="142"/>
      <c r="O97" s="320"/>
      <c r="P97" s="236"/>
      <c r="Q97" s="318"/>
      <c r="R97" s="245"/>
      <c r="S97" s="245"/>
      <c r="T97" s="245"/>
      <c r="U97" s="245"/>
      <c r="V97" s="246"/>
      <c r="W97" s="30"/>
      <c r="X97" s="2"/>
      <c r="Y97" s="2"/>
      <c r="Z97" s="2"/>
      <c r="AA97" s="2"/>
      <c r="AB97" s="2"/>
      <c r="AC97" s="2"/>
      <c r="AD97" s="2"/>
    </row>
    <row r="98" spans="1:30" ht="12.5" x14ac:dyDescent="0.25">
      <c r="A98" s="2"/>
      <c r="B98" s="2"/>
      <c r="C98" s="11"/>
      <c r="D98" s="337"/>
      <c r="E98" s="277"/>
      <c r="F98" s="277"/>
      <c r="G98" s="277"/>
      <c r="H98" s="277"/>
      <c r="I98" s="338"/>
      <c r="J98" s="111"/>
      <c r="K98" s="316"/>
      <c r="L98" s="232"/>
      <c r="M98" s="316"/>
      <c r="N98" s="232"/>
      <c r="O98" s="317"/>
      <c r="P98" s="232"/>
      <c r="Q98" s="274"/>
      <c r="R98" s="245"/>
      <c r="S98" s="245"/>
      <c r="T98" s="245"/>
      <c r="U98" s="245"/>
      <c r="V98" s="246"/>
      <c r="W98" s="30"/>
      <c r="X98" s="2"/>
      <c r="Y98" s="2"/>
      <c r="Z98" s="2"/>
      <c r="AA98" s="2"/>
      <c r="AB98" s="2"/>
      <c r="AC98" s="2"/>
      <c r="AD98" s="2"/>
    </row>
    <row r="99" spans="1:30" ht="12.5" x14ac:dyDescent="0.25">
      <c r="A99" s="2"/>
      <c r="B99" s="2"/>
      <c r="C99" s="11"/>
      <c r="D99" s="93"/>
      <c r="E99" s="2"/>
      <c r="F99" s="2"/>
      <c r="G99" s="2"/>
      <c r="H99" s="2"/>
      <c r="I99" s="2"/>
      <c r="J99" s="3"/>
      <c r="K99" s="314"/>
      <c r="L99" s="142"/>
      <c r="M99" s="314"/>
      <c r="N99" s="142"/>
      <c r="O99" s="320"/>
      <c r="P99" s="236"/>
      <c r="Q99" s="318"/>
      <c r="R99" s="245"/>
      <c r="S99" s="245"/>
      <c r="T99" s="245"/>
      <c r="U99" s="245"/>
      <c r="V99" s="246"/>
      <c r="W99" s="30"/>
      <c r="X99" s="2"/>
      <c r="Y99" s="2"/>
      <c r="Z99" s="2"/>
      <c r="AA99" s="2"/>
      <c r="AB99" s="2"/>
      <c r="AC99" s="2"/>
      <c r="AD99" s="2"/>
    </row>
    <row r="100" spans="1:30" ht="12.5" x14ac:dyDescent="0.25">
      <c r="A100" s="2"/>
      <c r="B100" s="2"/>
      <c r="C100" s="11"/>
      <c r="D100" s="337"/>
      <c r="E100" s="277"/>
      <c r="F100" s="277"/>
      <c r="G100" s="277"/>
      <c r="H100" s="277"/>
      <c r="I100" s="338"/>
      <c r="J100" s="111"/>
      <c r="K100" s="316"/>
      <c r="L100" s="232"/>
      <c r="M100" s="316"/>
      <c r="N100" s="232"/>
      <c r="O100" s="317"/>
      <c r="P100" s="232"/>
      <c r="Q100" s="274"/>
      <c r="R100" s="245"/>
      <c r="S100" s="245"/>
      <c r="T100" s="245"/>
      <c r="U100" s="245"/>
      <c r="V100" s="246"/>
      <c r="W100" s="30"/>
      <c r="X100" s="2"/>
      <c r="Y100" s="2"/>
      <c r="Z100" s="2"/>
      <c r="AA100" s="2"/>
      <c r="AB100" s="2"/>
      <c r="AC100" s="2"/>
      <c r="AD100" s="2"/>
    </row>
    <row r="101" spans="1:30" ht="12.5" x14ac:dyDescent="0.25">
      <c r="A101" s="2"/>
      <c r="B101" s="2"/>
      <c r="C101" s="11"/>
      <c r="D101" s="93"/>
      <c r="E101" s="2"/>
      <c r="F101" s="2"/>
      <c r="G101" s="2"/>
      <c r="H101" s="2"/>
      <c r="I101" s="2"/>
      <c r="J101" s="3"/>
      <c r="K101" s="314"/>
      <c r="L101" s="142"/>
      <c r="M101" s="314"/>
      <c r="N101" s="142"/>
      <c r="O101" s="320"/>
      <c r="P101" s="236"/>
      <c r="Q101" s="318"/>
      <c r="R101" s="245"/>
      <c r="S101" s="245"/>
      <c r="T101" s="245"/>
      <c r="U101" s="245"/>
      <c r="V101" s="246"/>
      <c r="W101" s="30"/>
      <c r="X101" s="2"/>
      <c r="Y101" s="2"/>
      <c r="Z101" s="2"/>
      <c r="AA101" s="2"/>
      <c r="AB101" s="2"/>
      <c r="AC101" s="2"/>
      <c r="AD101" s="2"/>
    </row>
    <row r="102" spans="1:30" ht="12.5" x14ac:dyDescent="0.25">
      <c r="A102" s="2"/>
      <c r="B102" s="2"/>
      <c r="C102" s="11"/>
      <c r="D102" s="337"/>
      <c r="E102" s="277"/>
      <c r="F102" s="277"/>
      <c r="G102" s="277"/>
      <c r="H102" s="277"/>
      <c r="I102" s="338"/>
      <c r="J102" s="111"/>
      <c r="K102" s="316"/>
      <c r="L102" s="232"/>
      <c r="M102" s="316"/>
      <c r="N102" s="232"/>
      <c r="O102" s="317"/>
      <c r="P102" s="232"/>
      <c r="Q102" s="274"/>
      <c r="R102" s="245"/>
      <c r="S102" s="245"/>
      <c r="T102" s="245"/>
      <c r="U102" s="245"/>
      <c r="V102" s="246"/>
      <c r="W102" s="30"/>
      <c r="X102" s="2"/>
      <c r="Y102" s="2"/>
      <c r="Z102" s="2"/>
      <c r="AA102" s="2"/>
      <c r="AB102" s="2"/>
      <c r="AC102" s="2"/>
      <c r="AD102" s="2"/>
    </row>
    <row r="103" spans="1:30" ht="12.5" x14ac:dyDescent="0.25">
      <c r="A103" s="2"/>
      <c r="B103" s="2"/>
      <c r="C103" s="11"/>
      <c r="D103" s="93"/>
      <c r="E103" s="2"/>
      <c r="F103" s="2"/>
      <c r="G103" s="2"/>
      <c r="H103" s="2"/>
      <c r="I103" s="2"/>
      <c r="J103" s="3"/>
      <c r="K103" s="314"/>
      <c r="L103" s="142"/>
      <c r="M103" s="314"/>
      <c r="N103" s="142"/>
      <c r="O103" s="320"/>
      <c r="P103" s="236"/>
      <c r="Q103" s="318"/>
      <c r="R103" s="245"/>
      <c r="S103" s="245"/>
      <c r="T103" s="245"/>
      <c r="U103" s="245"/>
      <c r="V103" s="246"/>
      <c r="W103" s="30"/>
      <c r="X103" s="2"/>
      <c r="Y103" s="2"/>
      <c r="Z103" s="2"/>
      <c r="AA103" s="2"/>
      <c r="AB103" s="2"/>
      <c r="AC103" s="2"/>
      <c r="AD103" s="2"/>
    </row>
    <row r="104" spans="1:30" ht="12.5" x14ac:dyDescent="0.25">
      <c r="A104" s="2"/>
      <c r="B104" s="2"/>
      <c r="C104" s="11"/>
      <c r="D104" s="337"/>
      <c r="E104" s="277"/>
      <c r="F104" s="277"/>
      <c r="G104" s="277"/>
      <c r="H104" s="277"/>
      <c r="I104" s="338"/>
      <c r="J104" s="111"/>
      <c r="K104" s="316"/>
      <c r="L104" s="232"/>
      <c r="M104" s="316"/>
      <c r="N104" s="232"/>
      <c r="O104" s="317"/>
      <c r="P104" s="232"/>
      <c r="Q104" s="274"/>
      <c r="R104" s="245"/>
      <c r="S104" s="245"/>
      <c r="T104" s="245"/>
      <c r="U104" s="245"/>
      <c r="V104" s="246"/>
      <c r="W104" s="30"/>
      <c r="X104" s="2"/>
      <c r="Y104" s="2"/>
      <c r="Z104" s="2"/>
      <c r="AA104" s="2"/>
      <c r="AB104" s="2"/>
      <c r="AC104" s="2"/>
      <c r="AD104" s="2"/>
    </row>
    <row r="105" spans="1:30" ht="12.5" x14ac:dyDescent="0.25">
      <c r="A105" s="2"/>
      <c r="B105" s="2"/>
      <c r="C105" s="11"/>
      <c r="D105" s="93"/>
      <c r="E105" s="2"/>
      <c r="F105" s="2"/>
      <c r="G105" s="2"/>
      <c r="H105" s="2"/>
      <c r="I105" s="2"/>
      <c r="J105" s="3"/>
      <c r="K105" s="314"/>
      <c r="L105" s="142"/>
      <c r="M105" s="314"/>
      <c r="N105" s="142"/>
      <c r="O105" s="320"/>
      <c r="P105" s="236"/>
      <c r="Q105" s="318"/>
      <c r="R105" s="245"/>
      <c r="S105" s="245"/>
      <c r="T105" s="245"/>
      <c r="U105" s="245"/>
      <c r="V105" s="246"/>
      <c r="W105" s="30"/>
      <c r="X105" s="2"/>
      <c r="Y105" s="2"/>
      <c r="Z105" s="2"/>
      <c r="AA105" s="2"/>
      <c r="AB105" s="2"/>
      <c r="AC105" s="2"/>
      <c r="AD105" s="2"/>
    </row>
    <row r="106" spans="1:30" ht="12.5" x14ac:dyDescent="0.25">
      <c r="A106" s="2"/>
      <c r="B106" s="2"/>
      <c r="C106" s="11"/>
      <c r="D106" s="337"/>
      <c r="E106" s="277"/>
      <c r="F106" s="277"/>
      <c r="G106" s="277"/>
      <c r="H106" s="277"/>
      <c r="I106" s="338"/>
      <c r="J106" s="111"/>
      <c r="K106" s="316"/>
      <c r="L106" s="232"/>
      <c r="M106" s="316"/>
      <c r="N106" s="232"/>
      <c r="O106" s="317"/>
      <c r="P106" s="232"/>
      <c r="Q106" s="274"/>
      <c r="R106" s="245"/>
      <c r="S106" s="245"/>
      <c r="T106" s="245"/>
      <c r="U106" s="245"/>
      <c r="V106" s="246"/>
      <c r="W106" s="30"/>
      <c r="X106" s="2"/>
      <c r="Y106" s="2"/>
      <c r="Z106" s="2"/>
      <c r="AA106" s="2"/>
      <c r="AB106" s="2"/>
      <c r="AC106" s="2"/>
      <c r="AD106" s="2"/>
    </row>
    <row r="107" spans="1:30" ht="12.5" x14ac:dyDescent="0.25">
      <c r="A107" s="2"/>
      <c r="B107" s="2"/>
      <c r="C107" s="11"/>
      <c r="D107" s="93"/>
      <c r="E107" s="2"/>
      <c r="F107" s="2"/>
      <c r="G107" s="2"/>
      <c r="H107" s="2"/>
      <c r="I107" s="2"/>
      <c r="J107" s="3"/>
      <c r="K107" s="314"/>
      <c r="L107" s="142"/>
      <c r="M107" s="314"/>
      <c r="N107" s="142"/>
      <c r="O107" s="320"/>
      <c r="P107" s="236"/>
      <c r="Q107" s="318"/>
      <c r="R107" s="245"/>
      <c r="S107" s="245"/>
      <c r="T107" s="245"/>
      <c r="U107" s="245"/>
      <c r="V107" s="246"/>
      <c r="W107" s="30"/>
      <c r="X107" s="2"/>
      <c r="Y107" s="2"/>
      <c r="Z107" s="2"/>
      <c r="AA107" s="2"/>
      <c r="AB107" s="2"/>
      <c r="AC107" s="2"/>
      <c r="AD107" s="2"/>
    </row>
    <row r="108" spans="1:30" ht="12.5" x14ac:dyDescent="0.25">
      <c r="A108" s="2"/>
      <c r="B108" s="2"/>
      <c r="C108" s="11"/>
      <c r="D108" s="337"/>
      <c r="E108" s="277"/>
      <c r="F108" s="277"/>
      <c r="G108" s="277"/>
      <c r="H108" s="277"/>
      <c r="I108" s="338"/>
      <c r="J108" s="111"/>
      <c r="K108" s="316"/>
      <c r="L108" s="232"/>
      <c r="M108" s="316"/>
      <c r="N108" s="232"/>
      <c r="O108" s="317"/>
      <c r="P108" s="232"/>
      <c r="Q108" s="274"/>
      <c r="R108" s="245"/>
      <c r="S108" s="245"/>
      <c r="T108" s="245"/>
      <c r="U108" s="245"/>
      <c r="V108" s="246"/>
      <c r="W108" s="30"/>
      <c r="X108" s="2"/>
      <c r="Y108" s="2"/>
      <c r="Z108" s="2"/>
      <c r="AA108" s="2"/>
      <c r="AB108" s="2"/>
      <c r="AC108" s="2"/>
      <c r="AD108" s="2"/>
    </row>
    <row r="109" spans="1:30" ht="12.5" x14ac:dyDescent="0.25">
      <c r="A109" s="2"/>
      <c r="B109" s="2"/>
      <c r="C109" s="11"/>
      <c r="D109" s="93"/>
      <c r="E109" s="2"/>
      <c r="F109" s="2"/>
      <c r="G109" s="2"/>
      <c r="H109" s="2"/>
      <c r="I109" s="2"/>
      <c r="J109" s="3"/>
      <c r="K109" s="314"/>
      <c r="L109" s="142"/>
      <c r="M109" s="314"/>
      <c r="N109" s="142"/>
      <c r="O109" s="320"/>
      <c r="P109" s="236"/>
      <c r="Q109" s="318"/>
      <c r="R109" s="245"/>
      <c r="S109" s="245"/>
      <c r="T109" s="245"/>
      <c r="U109" s="245"/>
      <c r="V109" s="246"/>
      <c r="W109" s="30"/>
      <c r="X109" s="2"/>
      <c r="Y109" s="2"/>
      <c r="Z109" s="2"/>
      <c r="AA109" s="2"/>
      <c r="AB109" s="2"/>
      <c r="AC109" s="2"/>
      <c r="AD109" s="2"/>
    </row>
    <row r="110" spans="1:30" ht="12.5" x14ac:dyDescent="0.25">
      <c r="A110" s="2"/>
      <c r="B110" s="2"/>
      <c r="C110" s="11"/>
      <c r="D110" s="337"/>
      <c r="E110" s="277"/>
      <c r="F110" s="277"/>
      <c r="G110" s="277"/>
      <c r="H110" s="277"/>
      <c r="I110" s="338"/>
      <c r="J110" s="111"/>
      <c r="K110" s="316"/>
      <c r="L110" s="232"/>
      <c r="M110" s="316"/>
      <c r="N110" s="232"/>
      <c r="O110" s="317"/>
      <c r="P110" s="232"/>
      <c r="Q110" s="274"/>
      <c r="R110" s="245"/>
      <c r="S110" s="245"/>
      <c r="T110" s="245"/>
      <c r="U110" s="245"/>
      <c r="V110" s="246"/>
      <c r="W110" s="30"/>
      <c r="X110" s="2"/>
      <c r="Y110" s="2"/>
      <c r="Z110" s="2"/>
      <c r="AA110" s="2"/>
      <c r="AB110" s="2"/>
      <c r="AC110" s="2"/>
      <c r="AD110" s="2"/>
    </row>
    <row r="111" spans="1:30" ht="12.5" x14ac:dyDescent="0.25">
      <c r="A111" s="2"/>
      <c r="B111" s="2"/>
      <c r="C111" s="11"/>
      <c r="D111" s="93"/>
      <c r="E111" s="2"/>
      <c r="F111" s="2"/>
      <c r="G111" s="2"/>
      <c r="H111" s="2"/>
      <c r="I111" s="2"/>
      <c r="J111" s="3"/>
      <c r="K111" s="314"/>
      <c r="L111" s="142"/>
      <c r="M111" s="314"/>
      <c r="N111" s="142"/>
      <c r="O111" s="320"/>
      <c r="P111" s="236"/>
      <c r="Q111" s="318"/>
      <c r="R111" s="245"/>
      <c r="S111" s="245"/>
      <c r="T111" s="245"/>
      <c r="U111" s="245"/>
      <c r="V111" s="246"/>
      <c r="W111" s="30"/>
      <c r="X111" s="2"/>
      <c r="Y111" s="2"/>
      <c r="Z111" s="2"/>
      <c r="AA111" s="2"/>
      <c r="AB111" s="2"/>
      <c r="AC111" s="2"/>
      <c r="AD111" s="2"/>
    </row>
    <row r="112" spans="1:30" ht="12.5" x14ac:dyDescent="0.25">
      <c r="A112" s="2"/>
      <c r="B112" s="2"/>
      <c r="C112" s="11"/>
      <c r="D112" s="337"/>
      <c r="E112" s="277"/>
      <c r="F112" s="277"/>
      <c r="G112" s="277"/>
      <c r="H112" s="277"/>
      <c r="I112" s="338"/>
      <c r="J112" s="111"/>
      <c r="K112" s="316"/>
      <c r="L112" s="232"/>
      <c r="M112" s="316"/>
      <c r="N112" s="232"/>
      <c r="O112" s="317"/>
      <c r="P112" s="232"/>
      <c r="Q112" s="274"/>
      <c r="R112" s="245"/>
      <c r="S112" s="245"/>
      <c r="T112" s="245"/>
      <c r="U112" s="245"/>
      <c r="V112" s="246"/>
      <c r="W112" s="30"/>
      <c r="X112" s="2"/>
      <c r="Y112" s="2"/>
      <c r="Z112" s="2"/>
      <c r="AA112" s="2"/>
      <c r="AB112" s="2"/>
      <c r="AC112" s="2"/>
      <c r="AD112" s="2"/>
    </row>
    <row r="113" spans="1:30" ht="12.5" x14ac:dyDescent="0.25">
      <c r="A113" s="2"/>
      <c r="B113" s="2"/>
      <c r="C113" s="11"/>
      <c r="D113" s="93"/>
      <c r="E113" s="2"/>
      <c r="F113" s="2"/>
      <c r="G113" s="2"/>
      <c r="H113" s="2"/>
      <c r="I113" s="2"/>
      <c r="J113" s="3"/>
      <c r="K113" s="314"/>
      <c r="L113" s="142"/>
      <c r="M113" s="314"/>
      <c r="N113" s="142"/>
      <c r="O113" s="320"/>
      <c r="P113" s="236"/>
      <c r="Q113" s="318"/>
      <c r="R113" s="245"/>
      <c r="S113" s="245"/>
      <c r="T113" s="245"/>
      <c r="U113" s="245"/>
      <c r="V113" s="246"/>
      <c r="W113" s="30"/>
      <c r="X113" s="2"/>
      <c r="Y113" s="2"/>
      <c r="Z113" s="2"/>
      <c r="AA113" s="2"/>
      <c r="AB113" s="2"/>
      <c r="AC113" s="2"/>
      <c r="AD113" s="2"/>
    </row>
    <row r="114" spans="1:30" ht="12.5" x14ac:dyDescent="0.25">
      <c r="A114" s="2"/>
      <c r="B114" s="2"/>
      <c r="C114" s="11"/>
      <c r="D114" s="337"/>
      <c r="E114" s="277"/>
      <c r="F114" s="277"/>
      <c r="G114" s="277"/>
      <c r="H114" s="277"/>
      <c r="I114" s="338"/>
      <c r="J114" s="111"/>
      <c r="K114" s="316"/>
      <c r="L114" s="232"/>
      <c r="M114" s="316"/>
      <c r="N114" s="232"/>
      <c r="O114" s="317"/>
      <c r="P114" s="232"/>
      <c r="Q114" s="274"/>
      <c r="R114" s="245"/>
      <c r="S114" s="245"/>
      <c r="T114" s="245"/>
      <c r="U114" s="245"/>
      <c r="V114" s="246"/>
      <c r="W114" s="30"/>
      <c r="X114" s="2"/>
      <c r="Y114" s="2"/>
      <c r="Z114" s="2"/>
      <c r="AA114" s="2"/>
      <c r="AB114" s="2"/>
      <c r="AC114" s="2"/>
      <c r="AD114" s="2"/>
    </row>
    <row r="115" spans="1:30" ht="12.5" x14ac:dyDescent="0.25">
      <c r="A115" s="2"/>
      <c r="B115" s="2"/>
      <c r="C115" s="11"/>
      <c r="D115" s="93"/>
      <c r="E115" s="2"/>
      <c r="F115" s="2"/>
      <c r="G115" s="2"/>
      <c r="H115" s="2"/>
      <c r="I115" s="2"/>
      <c r="J115" s="3"/>
      <c r="K115" s="314"/>
      <c r="L115" s="142"/>
      <c r="M115" s="314"/>
      <c r="N115" s="142"/>
      <c r="O115" s="320"/>
      <c r="P115" s="236"/>
      <c r="Q115" s="318"/>
      <c r="R115" s="245"/>
      <c r="S115" s="245"/>
      <c r="T115" s="245"/>
      <c r="U115" s="245"/>
      <c r="V115" s="246"/>
      <c r="W115" s="30"/>
      <c r="X115" s="2"/>
      <c r="Y115" s="2"/>
      <c r="Z115" s="2"/>
      <c r="AA115" s="2"/>
      <c r="AB115" s="2"/>
      <c r="AC115" s="2"/>
      <c r="AD115" s="2"/>
    </row>
    <row r="116" spans="1:30" ht="12.5" x14ac:dyDescent="0.25">
      <c r="A116" s="2"/>
      <c r="B116" s="2"/>
      <c r="C116" s="11"/>
      <c r="D116" s="337"/>
      <c r="E116" s="277"/>
      <c r="F116" s="277"/>
      <c r="G116" s="277"/>
      <c r="H116" s="277"/>
      <c r="I116" s="338"/>
      <c r="J116" s="111"/>
      <c r="K116" s="316"/>
      <c r="L116" s="232"/>
      <c r="M116" s="316"/>
      <c r="N116" s="232"/>
      <c r="O116" s="317"/>
      <c r="P116" s="232"/>
      <c r="Q116" s="274"/>
      <c r="R116" s="245"/>
      <c r="S116" s="245"/>
      <c r="T116" s="245"/>
      <c r="U116" s="245"/>
      <c r="V116" s="246"/>
      <c r="W116" s="30"/>
      <c r="X116" s="2"/>
      <c r="Y116" s="2"/>
      <c r="Z116" s="2"/>
      <c r="AA116" s="2"/>
      <c r="AB116" s="2"/>
      <c r="AC116" s="2"/>
      <c r="AD116" s="2"/>
    </row>
    <row r="117" spans="1:30" ht="12.5" x14ac:dyDescent="0.25">
      <c r="A117" s="2"/>
      <c r="B117" s="2"/>
      <c r="C117" s="11"/>
      <c r="D117" s="93"/>
      <c r="E117" s="2"/>
      <c r="F117" s="2"/>
      <c r="G117" s="2"/>
      <c r="H117" s="2"/>
      <c r="I117" s="2"/>
      <c r="J117" s="3"/>
      <c r="K117" s="314"/>
      <c r="L117" s="142"/>
      <c r="M117" s="314"/>
      <c r="N117" s="142"/>
      <c r="O117" s="320"/>
      <c r="P117" s="236"/>
      <c r="Q117" s="318"/>
      <c r="R117" s="245"/>
      <c r="S117" s="245"/>
      <c r="T117" s="245"/>
      <c r="U117" s="245"/>
      <c r="V117" s="246"/>
      <c r="W117" s="30"/>
      <c r="X117" s="2"/>
      <c r="Y117" s="2"/>
      <c r="Z117" s="2"/>
      <c r="AA117" s="2"/>
      <c r="AB117" s="2"/>
      <c r="AC117" s="2"/>
      <c r="AD117" s="2"/>
    </row>
    <row r="118" spans="1:30" ht="12.5" x14ac:dyDescent="0.25">
      <c r="A118" s="2"/>
      <c r="B118" s="2"/>
      <c r="C118" s="11"/>
      <c r="D118" s="337"/>
      <c r="E118" s="277"/>
      <c r="F118" s="277"/>
      <c r="G118" s="277"/>
      <c r="H118" s="277"/>
      <c r="I118" s="338"/>
      <c r="J118" s="111"/>
      <c r="K118" s="316"/>
      <c r="L118" s="232"/>
      <c r="M118" s="316"/>
      <c r="N118" s="232"/>
      <c r="O118" s="317"/>
      <c r="P118" s="232"/>
      <c r="Q118" s="274"/>
      <c r="R118" s="245"/>
      <c r="S118" s="245"/>
      <c r="T118" s="245"/>
      <c r="U118" s="245"/>
      <c r="V118" s="246"/>
      <c r="W118" s="30"/>
      <c r="X118" s="2"/>
      <c r="Y118" s="2"/>
      <c r="Z118" s="2"/>
      <c r="AA118" s="2"/>
      <c r="AB118" s="2"/>
      <c r="AC118" s="2"/>
      <c r="AD118" s="2"/>
    </row>
    <row r="119" spans="1:30" ht="12.5" x14ac:dyDescent="0.25">
      <c r="A119" s="2"/>
      <c r="B119" s="2"/>
      <c r="C119" s="11"/>
      <c r="D119" s="112"/>
      <c r="E119" s="28"/>
      <c r="F119" s="28"/>
      <c r="G119" s="28"/>
      <c r="H119" s="28"/>
      <c r="I119" s="28"/>
      <c r="J119" s="5"/>
      <c r="K119" s="339"/>
      <c r="L119" s="198"/>
      <c r="M119" s="339"/>
      <c r="N119" s="198"/>
      <c r="O119" s="320"/>
      <c r="P119" s="236"/>
      <c r="Q119" s="322"/>
      <c r="R119" s="194"/>
      <c r="S119" s="194"/>
      <c r="T119" s="194"/>
      <c r="U119" s="194"/>
      <c r="V119" s="323"/>
      <c r="W119" s="30"/>
      <c r="X119" s="2"/>
      <c r="Y119" s="2"/>
      <c r="Z119" s="2"/>
      <c r="AA119" s="2"/>
      <c r="AB119" s="2"/>
      <c r="AC119" s="2"/>
      <c r="AD119" s="2"/>
    </row>
    <row r="120" spans="1:30" ht="13" x14ac:dyDescent="0.3">
      <c r="A120" s="2"/>
      <c r="B120" s="2"/>
      <c r="C120" s="11"/>
      <c r="D120" s="335" t="s">
        <v>14</v>
      </c>
      <c r="E120" s="224"/>
      <c r="F120" s="224"/>
      <c r="G120" s="224"/>
      <c r="H120" s="224"/>
      <c r="I120" s="224"/>
      <c r="J120" s="224"/>
      <c r="K120" s="224"/>
      <c r="L120" s="224"/>
      <c r="M120" s="224"/>
      <c r="N120" s="273"/>
      <c r="O120" s="340">
        <f>SUM(O59:P119)</f>
        <v>0</v>
      </c>
      <c r="P120" s="273"/>
      <c r="Q120" s="113"/>
      <c r="R120" s="113"/>
      <c r="S120" s="113"/>
      <c r="T120" s="113"/>
      <c r="U120" s="113"/>
      <c r="V120" s="114"/>
      <c r="W120" s="30"/>
      <c r="X120" s="2"/>
      <c r="Y120" s="2"/>
      <c r="Z120" s="2"/>
      <c r="AA120" s="2"/>
      <c r="AB120" s="2"/>
      <c r="AC120" s="2"/>
      <c r="AD120" s="2"/>
    </row>
    <row r="121" spans="1:30" ht="12.5" x14ac:dyDescent="0.25">
      <c r="A121" s="2"/>
      <c r="B121" s="2"/>
      <c r="C121" s="2"/>
      <c r="D121" s="35"/>
      <c r="E121" s="35"/>
      <c r="F121" s="35"/>
      <c r="G121" s="35"/>
      <c r="H121" s="35"/>
      <c r="I121" s="35"/>
      <c r="J121" s="4"/>
      <c r="K121" s="4"/>
      <c r="L121" s="4"/>
      <c r="M121" s="4"/>
      <c r="N121" s="4"/>
      <c r="O121" s="4"/>
      <c r="P121" s="4"/>
      <c r="Q121" s="35"/>
      <c r="R121" s="35"/>
      <c r="S121" s="35"/>
      <c r="T121" s="35"/>
      <c r="U121" s="35"/>
      <c r="V121" s="35"/>
      <c r="W121" s="2"/>
      <c r="X121" s="2"/>
      <c r="Y121" s="2"/>
      <c r="Z121" s="2"/>
      <c r="AA121" s="2"/>
      <c r="AB121" s="2"/>
      <c r="AC121" s="2"/>
      <c r="AD121" s="2"/>
    </row>
    <row r="122" spans="1:30" ht="12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3"/>
      <c r="K122" s="3"/>
      <c r="L122" s="3"/>
      <c r="M122" s="3"/>
      <c r="N122" s="3"/>
      <c r="O122" s="3"/>
      <c r="P122" s="3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2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3"/>
      <c r="K123" s="3"/>
      <c r="L123" s="3"/>
      <c r="M123" s="3"/>
      <c r="N123" s="3"/>
      <c r="O123" s="3"/>
      <c r="P123" s="3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2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3"/>
      <c r="K124" s="3"/>
      <c r="L124" s="3"/>
      <c r="M124" s="3"/>
      <c r="N124" s="3"/>
      <c r="O124" s="3"/>
      <c r="P124" s="3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2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3"/>
      <c r="K125" s="3"/>
      <c r="L125" s="3"/>
      <c r="M125" s="3"/>
      <c r="N125" s="3"/>
      <c r="O125" s="3"/>
      <c r="P125" s="3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2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3"/>
      <c r="K126" s="3"/>
      <c r="L126" s="3"/>
      <c r="M126" s="3"/>
      <c r="N126" s="3"/>
      <c r="O126" s="3"/>
      <c r="P126" s="3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2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3"/>
      <c r="K127" s="3"/>
      <c r="L127" s="3"/>
      <c r="M127" s="3"/>
      <c r="N127" s="3"/>
      <c r="O127" s="3"/>
      <c r="P127" s="3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2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3"/>
      <c r="K128" s="3"/>
      <c r="L128" s="3"/>
      <c r="M128" s="3"/>
      <c r="N128" s="3"/>
      <c r="O128" s="3"/>
      <c r="P128" s="3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2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3"/>
      <c r="K129" s="3"/>
      <c r="L129" s="3"/>
      <c r="M129" s="3"/>
      <c r="N129" s="3"/>
      <c r="O129" s="3"/>
      <c r="P129" s="3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2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3"/>
      <c r="K130" s="3"/>
      <c r="L130" s="3"/>
      <c r="M130" s="3"/>
      <c r="N130" s="3"/>
      <c r="O130" s="3"/>
      <c r="P130" s="3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2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3"/>
      <c r="K131" s="3"/>
      <c r="L131" s="3"/>
      <c r="M131" s="3"/>
      <c r="N131" s="3"/>
      <c r="O131" s="3"/>
      <c r="P131" s="3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2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3"/>
      <c r="K132" s="3"/>
      <c r="L132" s="3"/>
      <c r="M132" s="3"/>
      <c r="N132" s="3"/>
      <c r="O132" s="3"/>
      <c r="P132" s="3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2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3"/>
      <c r="K133" s="3"/>
      <c r="L133" s="3"/>
      <c r="M133" s="3"/>
      <c r="N133" s="3"/>
      <c r="O133" s="3"/>
      <c r="P133" s="3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2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3"/>
      <c r="K134" s="3"/>
      <c r="L134" s="3"/>
      <c r="M134" s="3"/>
      <c r="N134" s="3"/>
      <c r="O134" s="3"/>
      <c r="P134" s="3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2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3"/>
      <c r="K135" s="3"/>
      <c r="L135" s="3"/>
      <c r="M135" s="3"/>
      <c r="N135" s="3"/>
      <c r="O135" s="3"/>
      <c r="P135" s="3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2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3"/>
      <c r="K136" s="3"/>
      <c r="L136" s="3"/>
      <c r="M136" s="3"/>
      <c r="N136" s="3"/>
      <c r="O136" s="3"/>
      <c r="P136" s="3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2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3"/>
      <c r="K137" s="3"/>
      <c r="L137" s="3"/>
      <c r="M137" s="3"/>
      <c r="N137" s="3"/>
      <c r="O137" s="3"/>
      <c r="P137" s="3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2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3"/>
      <c r="K138" s="3"/>
      <c r="L138" s="3"/>
      <c r="M138" s="3"/>
      <c r="N138" s="3"/>
      <c r="O138" s="3"/>
      <c r="P138" s="3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2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3"/>
      <c r="K139" s="3"/>
      <c r="L139" s="3"/>
      <c r="M139" s="3"/>
      <c r="N139" s="3"/>
      <c r="O139" s="3"/>
      <c r="P139" s="3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2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3"/>
      <c r="K140" s="3"/>
      <c r="L140" s="3"/>
      <c r="M140" s="3"/>
      <c r="N140" s="3"/>
      <c r="O140" s="3"/>
      <c r="P140" s="3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2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3"/>
      <c r="K141" s="3"/>
      <c r="L141" s="3"/>
      <c r="M141" s="3"/>
      <c r="N141" s="3"/>
      <c r="O141" s="3"/>
      <c r="P141" s="3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2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3"/>
      <c r="K142" s="3"/>
      <c r="L142" s="3"/>
      <c r="M142" s="3"/>
      <c r="N142" s="3"/>
      <c r="O142" s="3"/>
      <c r="P142" s="3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2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3"/>
      <c r="K143" s="3"/>
      <c r="L143" s="3"/>
      <c r="M143" s="3"/>
      <c r="N143" s="3"/>
      <c r="O143" s="3"/>
      <c r="P143" s="3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2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3"/>
      <c r="K144" s="3"/>
      <c r="L144" s="3"/>
      <c r="M144" s="3"/>
      <c r="N144" s="3"/>
      <c r="O144" s="3"/>
      <c r="P144" s="3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2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3"/>
      <c r="K145" s="3"/>
      <c r="L145" s="3"/>
      <c r="M145" s="3"/>
      <c r="N145" s="3"/>
      <c r="O145" s="3"/>
      <c r="P145" s="3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2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3"/>
      <c r="K146" s="3"/>
      <c r="L146" s="3"/>
      <c r="M146" s="3"/>
      <c r="N146" s="3"/>
      <c r="O146" s="3"/>
      <c r="P146" s="3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2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3"/>
      <c r="K147" s="3"/>
      <c r="L147" s="3"/>
      <c r="M147" s="3"/>
      <c r="N147" s="3"/>
      <c r="O147" s="3"/>
      <c r="P147" s="3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2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3"/>
      <c r="K148" s="3"/>
      <c r="L148" s="3"/>
      <c r="M148" s="3"/>
      <c r="N148" s="3"/>
      <c r="O148" s="3"/>
      <c r="P148" s="3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2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3"/>
      <c r="K149" s="3"/>
      <c r="L149" s="3"/>
      <c r="M149" s="3"/>
      <c r="N149" s="3"/>
      <c r="O149" s="3"/>
      <c r="P149" s="3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2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3"/>
      <c r="K150" s="3"/>
      <c r="L150" s="3"/>
      <c r="M150" s="3"/>
      <c r="N150" s="3"/>
      <c r="O150" s="3"/>
      <c r="P150" s="3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2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3"/>
      <c r="K151" s="3"/>
      <c r="L151" s="3"/>
      <c r="M151" s="3"/>
      <c r="N151" s="3"/>
      <c r="O151" s="3"/>
      <c r="P151" s="3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2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3"/>
      <c r="K152" s="3"/>
      <c r="L152" s="3"/>
      <c r="M152" s="3"/>
      <c r="N152" s="3"/>
      <c r="O152" s="3"/>
      <c r="P152" s="3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2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3"/>
      <c r="K153" s="3"/>
      <c r="L153" s="3"/>
      <c r="M153" s="3"/>
      <c r="N153" s="3"/>
      <c r="O153" s="3"/>
      <c r="P153" s="3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2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3"/>
      <c r="K154" s="3"/>
      <c r="L154" s="3"/>
      <c r="M154" s="3"/>
      <c r="N154" s="3"/>
      <c r="O154" s="3"/>
      <c r="P154" s="3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2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3"/>
      <c r="K155" s="3"/>
      <c r="L155" s="3"/>
      <c r="M155" s="3"/>
      <c r="N155" s="3"/>
      <c r="O155" s="3"/>
      <c r="P155" s="3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2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3"/>
      <c r="K156" s="3"/>
      <c r="L156" s="3"/>
      <c r="M156" s="3"/>
      <c r="N156" s="3"/>
      <c r="O156" s="3"/>
      <c r="P156" s="3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2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3"/>
      <c r="K157" s="3"/>
      <c r="L157" s="3"/>
      <c r="M157" s="3"/>
      <c r="N157" s="3"/>
      <c r="O157" s="3"/>
      <c r="P157" s="3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2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3"/>
      <c r="K158" s="3"/>
      <c r="L158" s="3"/>
      <c r="M158" s="3"/>
      <c r="N158" s="3"/>
      <c r="O158" s="3"/>
      <c r="P158" s="3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2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3"/>
      <c r="K159" s="3"/>
      <c r="L159" s="3"/>
      <c r="M159" s="3"/>
      <c r="N159" s="3"/>
      <c r="O159" s="3"/>
      <c r="P159" s="3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2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3"/>
      <c r="K160" s="3"/>
      <c r="L160" s="3"/>
      <c r="M160" s="3"/>
      <c r="N160" s="3"/>
      <c r="O160" s="3"/>
      <c r="P160" s="3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2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3"/>
      <c r="K161" s="3"/>
      <c r="L161" s="3"/>
      <c r="M161" s="3"/>
      <c r="N161" s="3"/>
      <c r="O161" s="3"/>
      <c r="P161" s="3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2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3"/>
      <c r="K162" s="3"/>
      <c r="L162" s="3"/>
      <c r="M162" s="3"/>
      <c r="N162" s="3"/>
      <c r="O162" s="3"/>
      <c r="P162" s="3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2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3"/>
      <c r="K163" s="3"/>
      <c r="L163" s="3"/>
      <c r="M163" s="3"/>
      <c r="N163" s="3"/>
      <c r="O163" s="3"/>
      <c r="P163" s="3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2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3"/>
      <c r="K164" s="3"/>
      <c r="L164" s="3"/>
      <c r="M164" s="3"/>
      <c r="N164" s="3"/>
      <c r="O164" s="3"/>
      <c r="P164" s="3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2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3"/>
      <c r="K165" s="3"/>
      <c r="L165" s="3"/>
      <c r="M165" s="3"/>
      <c r="N165" s="3"/>
      <c r="O165" s="3"/>
      <c r="P165" s="3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2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3"/>
      <c r="K166" s="3"/>
      <c r="L166" s="3"/>
      <c r="M166" s="3"/>
      <c r="N166" s="3"/>
      <c r="O166" s="3"/>
      <c r="P166" s="3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2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3"/>
      <c r="K167" s="3"/>
      <c r="L167" s="3"/>
      <c r="M167" s="3"/>
      <c r="N167" s="3"/>
      <c r="O167" s="3"/>
      <c r="P167" s="3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2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3"/>
      <c r="K168" s="3"/>
      <c r="L168" s="3"/>
      <c r="M168" s="3"/>
      <c r="N168" s="3"/>
      <c r="O168" s="3"/>
      <c r="P168" s="3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2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3"/>
      <c r="K169" s="3"/>
      <c r="L169" s="3"/>
      <c r="M169" s="3"/>
      <c r="N169" s="3"/>
      <c r="O169" s="3"/>
      <c r="P169" s="3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2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3"/>
      <c r="K170" s="3"/>
      <c r="L170" s="3"/>
      <c r="M170" s="3"/>
      <c r="N170" s="3"/>
      <c r="O170" s="3"/>
      <c r="P170" s="3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2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3"/>
      <c r="K171" s="3"/>
      <c r="L171" s="3"/>
      <c r="M171" s="3"/>
      <c r="N171" s="3"/>
      <c r="O171" s="3"/>
      <c r="P171" s="3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2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3"/>
      <c r="K172" s="3"/>
      <c r="L172" s="3"/>
      <c r="M172" s="3"/>
      <c r="N172" s="3"/>
      <c r="O172" s="3"/>
      <c r="P172" s="3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2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3"/>
      <c r="K173" s="3"/>
      <c r="L173" s="3"/>
      <c r="M173" s="3"/>
      <c r="N173" s="3"/>
      <c r="O173" s="3"/>
      <c r="P173" s="3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2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3"/>
      <c r="K174" s="3"/>
      <c r="L174" s="3"/>
      <c r="M174" s="3"/>
      <c r="N174" s="3"/>
      <c r="O174" s="3"/>
      <c r="P174" s="3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2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3"/>
      <c r="K175" s="3"/>
      <c r="L175" s="3"/>
      <c r="M175" s="3"/>
      <c r="N175" s="3"/>
      <c r="O175" s="3"/>
      <c r="P175" s="3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2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3"/>
      <c r="K176" s="3"/>
      <c r="L176" s="3"/>
      <c r="M176" s="3"/>
      <c r="N176" s="3"/>
      <c r="O176" s="3"/>
      <c r="P176" s="3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2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3"/>
      <c r="K177" s="3"/>
      <c r="L177" s="3"/>
      <c r="M177" s="3"/>
      <c r="N177" s="3"/>
      <c r="O177" s="3"/>
      <c r="P177" s="3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2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3"/>
      <c r="K178" s="3"/>
      <c r="L178" s="3"/>
      <c r="M178" s="3"/>
      <c r="N178" s="3"/>
      <c r="O178" s="3"/>
      <c r="P178" s="3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2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3"/>
      <c r="K179" s="3"/>
      <c r="L179" s="3"/>
      <c r="M179" s="3"/>
      <c r="N179" s="3"/>
      <c r="O179" s="3"/>
      <c r="P179" s="3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2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3"/>
      <c r="K180" s="3"/>
      <c r="L180" s="3"/>
      <c r="M180" s="3"/>
      <c r="N180" s="3"/>
      <c r="O180" s="3"/>
      <c r="P180" s="3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2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3"/>
      <c r="K181" s="3"/>
      <c r="L181" s="3"/>
      <c r="M181" s="3"/>
      <c r="N181" s="3"/>
      <c r="O181" s="3"/>
      <c r="P181" s="3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2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3"/>
      <c r="K182" s="3"/>
      <c r="L182" s="3"/>
      <c r="M182" s="3"/>
      <c r="N182" s="3"/>
      <c r="O182" s="3"/>
      <c r="P182" s="3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2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3"/>
      <c r="K183" s="3"/>
      <c r="L183" s="3"/>
      <c r="M183" s="3"/>
      <c r="N183" s="3"/>
      <c r="O183" s="3"/>
      <c r="P183" s="3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2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3"/>
      <c r="K184" s="3"/>
      <c r="L184" s="3"/>
      <c r="M184" s="3"/>
      <c r="N184" s="3"/>
      <c r="O184" s="3"/>
      <c r="P184" s="3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2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3"/>
      <c r="K185" s="3"/>
      <c r="L185" s="3"/>
      <c r="M185" s="3"/>
      <c r="N185" s="3"/>
      <c r="O185" s="3"/>
      <c r="P185" s="3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2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3"/>
      <c r="K186" s="3"/>
      <c r="L186" s="3"/>
      <c r="M186" s="3"/>
      <c r="N186" s="3"/>
      <c r="O186" s="3"/>
      <c r="P186" s="3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2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3"/>
      <c r="K187" s="3"/>
      <c r="L187" s="3"/>
      <c r="M187" s="3"/>
      <c r="N187" s="3"/>
      <c r="O187" s="3"/>
      <c r="P187" s="3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2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3"/>
      <c r="K188" s="3"/>
      <c r="L188" s="3"/>
      <c r="M188" s="3"/>
      <c r="N188" s="3"/>
      <c r="O188" s="3"/>
      <c r="P188" s="3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2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3"/>
      <c r="K189" s="3"/>
      <c r="L189" s="3"/>
      <c r="M189" s="3"/>
      <c r="N189" s="3"/>
      <c r="O189" s="3"/>
      <c r="P189" s="3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2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3"/>
      <c r="K190" s="3"/>
      <c r="L190" s="3"/>
      <c r="M190" s="3"/>
      <c r="N190" s="3"/>
      <c r="O190" s="3"/>
      <c r="P190" s="3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2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3"/>
      <c r="K191" s="3"/>
      <c r="L191" s="3"/>
      <c r="M191" s="3"/>
      <c r="N191" s="3"/>
      <c r="O191" s="3"/>
      <c r="P191" s="3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3"/>
      <c r="K192" s="3"/>
      <c r="L192" s="3"/>
      <c r="M192" s="3"/>
      <c r="N192" s="3"/>
      <c r="O192" s="3"/>
      <c r="P192" s="3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3"/>
      <c r="K193" s="3"/>
      <c r="L193" s="3"/>
      <c r="M193" s="3"/>
      <c r="N193" s="3"/>
      <c r="O193" s="3"/>
      <c r="P193" s="3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3"/>
      <c r="K194" s="3"/>
      <c r="L194" s="3"/>
      <c r="M194" s="3"/>
      <c r="N194" s="3"/>
      <c r="O194" s="3"/>
      <c r="P194" s="3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3"/>
      <c r="K195" s="3"/>
      <c r="L195" s="3"/>
      <c r="M195" s="3"/>
      <c r="N195" s="3"/>
      <c r="O195" s="3"/>
      <c r="P195" s="3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3"/>
      <c r="K196" s="3"/>
      <c r="L196" s="3"/>
      <c r="M196" s="3"/>
      <c r="N196" s="3"/>
      <c r="O196" s="3"/>
      <c r="P196" s="3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3"/>
      <c r="K197" s="3"/>
      <c r="L197" s="3"/>
      <c r="M197" s="3"/>
      <c r="N197" s="3"/>
      <c r="O197" s="3"/>
      <c r="P197" s="3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3"/>
      <c r="K198" s="3"/>
      <c r="L198" s="3"/>
      <c r="M198" s="3"/>
      <c r="N198" s="3"/>
      <c r="O198" s="3"/>
      <c r="P198" s="3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3"/>
      <c r="K199" s="3"/>
      <c r="L199" s="3"/>
      <c r="M199" s="3"/>
      <c r="N199" s="3"/>
      <c r="O199" s="3"/>
      <c r="P199" s="3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3"/>
      <c r="K200" s="3"/>
      <c r="L200" s="3"/>
      <c r="M200" s="3"/>
      <c r="N200" s="3"/>
      <c r="O200" s="3"/>
      <c r="P200" s="3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3"/>
      <c r="K201" s="3"/>
      <c r="L201" s="3"/>
      <c r="M201" s="3"/>
      <c r="N201" s="3"/>
      <c r="O201" s="3"/>
      <c r="P201" s="3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3"/>
      <c r="K202" s="3"/>
      <c r="L202" s="3"/>
      <c r="M202" s="3"/>
      <c r="N202" s="3"/>
      <c r="O202" s="3"/>
      <c r="P202" s="3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3"/>
      <c r="K203" s="3"/>
      <c r="L203" s="3"/>
      <c r="M203" s="3"/>
      <c r="N203" s="3"/>
      <c r="O203" s="3"/>
      <c r="P203" s="3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3"/>
      <c r="K204" s="3"/>
      <c r="L204" s="3"/>
      <c r="M204" s="3"/>
      <c r="N204" s="3"/>
      <c r="O204" s="3"/>
      <c r="P204" s="3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3"/>
      <c r="K205" s="3"/>
      <c r="L205" s="3"/>
      <c r="M205" s="3"/>
      <c r="N205" s="3"/>
      <c r="O205" s="3"/>
      <c r="P205" s="3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3"/>
      <c r="K206" s="3"/>
      <c r="L206" s="3"/>
      <c r="M206" s="3"/>
      <c r="N206" s="3"/>
      <c r="O206" s="3"/>
      <c r="P206" s="3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3"/>
      <c r="K207" s="3"/>
      <c r="L207" s="3"/>
      <c r="M207" s="3"/>
      <c r="N207" s="3"/>
      <c r="O207" s="3"/>
      <c r="P207" s="3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3"/>
      <c r="K208" s="3"/>
      <c r="L208" s="3"/>
      <c r="M208" s="3"/>
      <c r="N208" s="3"/>
      <c r="O208" s="3"/>
      <c r="P208" s="3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3"/>
      <c r="K209" s="3"/>
      <c r="L209" s="3"/>
      <c r="M209" s="3"/>
      <c r="N209" s="3"/>
      <c r="O209" s="3"/>
      <c r="P209" s="3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3"/>
      <c r="K210" s="3"/>
      <c r="L210" s="3"/>
      <c r="M210" s="3"/>
      <c r="N210" s="3"/>
      <c r="O210" s="3"/>
      <c r="P210" s="3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3"/>
      <c r="K211" s="3"/>
      <c r="L211" s="3"/>
      <c r="M211" s="3"/>
      <c r="N211" s="3"/>
      <c r="O211" s="3"/>
      <c r="P211" s="3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3"/>
      <c r="K212" s="3"/>
      <c r="L212" s="3"/>
      <c r="M212" s="3"/>
      <c r="N212" s="3"/>
      <c r="O212" s="3"/>
      <c r="P212" s="3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3"/>
      <c r="K213" s="3"/>
      <c r="L213" s="3"/>
      <c r="M213" s="3"/>
      <c r="N213" s="3"/>
      <c r="O213" s="3"/>
      <c r="P213" s="3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3"/>
      <c r="K214" s="3"/>
      <c r="L214" s="3"/>
      <c r="M214" s="3"/>
      <c r="N214" s="3"/>
      <c r="O214" s="3"/>
      <c r="P214" s="3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3"/>
      <c r="K215" s="3"/>
      <c r="L215" s="3"/>
      <c r="M215" s="3"/>
      <c r="N215" s="3"/>
      <c r="O215" s="3"/>
      <c r="P215" s="3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3"/>
      <c r="K216" s="3"/>
      <c r="L216" s="3"/>
      <c r="M216" s="3"/>
      <c r="N216" s="3"/>
      <c r="O216" s="3"/>
      <c r="P216" s="3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3"/>
      <c r="K217" s="3"/>
      <c r="L217" s="3"/>
      <c r="M217" s="3"/>
      <c r="N217" s="3"/>
      <c r="O217" s="3"/>
      <c r="P217" s="3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3"/>
      <c r="K218" s="3"/>
      <c r="L218" s="3"/>
      <c r="M218" s="3"/>
      <c r="N218" s="3"/>
      <c r="O218" s="3"/>
      <c r="P218" s="3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3"/>
      <c r="K219" s="3"/>
      <c r="L219" s="3"/>
      <c r="M219" s="3"/>
      <c r="N219" s="3"/>
      <c r="O219" s="3"/>
      <c r="P219" s="3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3"/>
      <c r="K220" s="3"/>
      <c r="L220" s="3"/>
      <c r="M220" s="3"/>
      <c r="N220" s="3"/>
      <c r="O220" s="3"/>
      <c r="P220" s="3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3"/>
      <c r="K221" s="3"/>
      <c r="L221" s="3"/>
      <c r="M221" s="3"/>
      <c r="N221" s="3"/>
      <c r="O221" s="3"/>
      <c r="P221" s="3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3"/>
      <c r="K222" s="3"/>
      <c r="L222" s="3"/>
      <c r="M222" s="3"/>
      <c r="N222" s="3"/>
      <c r="O222" s="3"/>
      <c r="P222" s="3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3"/>
      <c r="K223" s="3"/>
      <c r="L223" s="3"/>
      <c r="M223" s="3"/>
      <c r="N223" s="3"/>
      <c r="O223" s="3"/>
      <c r="P223" s="3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3"/>
      <c r="K224" s="3"/>
      <c r="L224" s="3"/>
      <c r="M224" s="3"/>
      <c r="N224" s="3"/>
      <c r="O224" s="3"/>
      <c r="P224" s="3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3"/>
      <c r="K225" s="3"/>
      <c r="L225" s="3"/>
      <c r="M225" s="3"/>
      <c r="N225" s="3"/>
      <c r="O225" s="3"/>
      <c r="P225" s="3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3"/>
      <c r="K226" s="3"/>
      <c r="L226" s="3"/>
      <c r="M226" s="3"/>
      <c r="N226" s="3"/>
      <c r="O226" s="3"/>
      <c r="P226" s="3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3"/>
      <c r="K227" s="3"/>
      <c r="L227" s="3"/>
      <c r="M227" s="3"/>
      <c r="N227" s="3"/>
      <c r="O227" s="3"/>
      <c r="P227" s="3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3"/>
      <c r="K228" s="3"/>
      <c r="L228" s="3"/>
      <c r="M228" s="3"/>
      <c r="N228" s="3"/>
      <c r="O228" s="3"/>
      <c r="P228" s="3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3"/>
      <c r="K229" s="3"/>
      <c r="L229" s="3"/>
      <c r="M229" s="3"/>
      <c r="N229" s="3"/>
      <c r="O229" s="3"/>
      <c r="P229" s="3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3"/>
      <c r="K230" s="3"/>
      <c r="L230" s="3"/>
      <c r="M230" s="3"/>
      <c r="N230" s="3"/>
      <c r="O230" s="3"/>
      <c r="P230" s="3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3"/>
      <c r="K231" s="3"/>
      <c r="L231" s="3"/>
      <c r="M231" s="3"/>
      <c r="N231" s="3"/>
      <c r="O231" s="3"/>
      <c r="P231" s="3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3"/>
      <c r="K232" s="3"/>
      <c r="L232" s="3"/>
      <c r="M232" s="3"/>
      <c r="N232" s="3"/>
      <c r="O232" s="3"/>
      <c r="P232" s="3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3"/>
      <c r="K233" s="3"/>
      <c r="L233" s="3"/>
      <c r="M233" s="3"/>
      <c r="N233" s="3"/>
      <c r="O233" s="3"/>
      <c r="P233" s="3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3"/>
      <c r="K234" s="3"/>
      <c r="L234" s="3"/>
      <c r="M234" s="3"/>
      <c r="N234" s="3"/>
      <c r="O234" s="3"/>
      <c r="P234" s="3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3"/>
      <c r="K235" s="3"/>
      <c r="L235" s="3"/>
      <c r="M235" s="3"/>
      <c r="N235" s="3"/>
      <c r="O235" s="3"/>
      <c r="P235" s="3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3"/>
      <c r="K236" s="3"/>
      <c r="L236" s="3"/>
      <c r="M236" s="3"/>
      <c r="N236" s="3"/>
      <c r="O236" s="3"/>
      <c r="P236" s="3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3"/>
      <c r="K237" s="3"/>
      <c r="L237" s="3"/>
      <c r="M237" s="3"/>
      <c r="N237" s="3"/>
      <c r="O237" s="3"/>
      <c r="P237" s="3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3"/>
      <c r="K238" s="3"/>
      <c r="L238" s="3"/>
      <c r="M238" s="3"/>
      <c r="N238" s="3"/>
      <c r="O238" s="3"/>
      <c r="P238" s="3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3"/>
      <c r="K239" s="3"/>
      <c r="L239" s="3"/>
      <c r="M239" s="3"/>
      <c r="N239" s="3"/>
      <c r="O239" s="3"/>
      <c r="P239" s="3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3"/>
      <c r="K240" s="3"/>
      <c r="L240" s="3"/>
      <c r="M240" s="3"/>
      <c r="N240" s="3"/>
      <c r="O240" s="3"/>
      <c r="P240" s="3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3"/>
      <c r="K241" s="3"/>
      <c r="L241" s="3"/>
      <c r="M241" s="3"/>
      <c r="N241" s="3"/>
      <c r="O241" s="3"/>
      <c r="P241" s="3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3"/>
      <c r="K242" s="3"/>
      <c r="L242" s="3"/>
      <c r="M242" s="3"/>
      <c r="N242" s="3"/>
      <c r="O242" s="3"/>
      <c r="P242" s="3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3"/>
      <c r="K243" s="3"/>
      <c r="L243" s="3"/>
      <c r="M243" s="3"/>
      <c r="N243" s="3"/>
      <c r="O243" s="3"/>
      <c r="P243" s="3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3"/>
      <c r="K244" s="3"/>
      <c r="L244" s="3"/>
      <c r="M244" s="3"/>
      <c r="N244" s="3"/>
      <c r="O244" s="3"/>
      <c r="P244" s="3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3"/>
      <c r="K245" s="3"/>
      <c r="L245" s="3"/>
      <c r="M245" s="3"/>
      <c r="N245" s="3"/>
      <c r="O245" s="3"/>
      <c r="P245" s="3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3"/>
      <c r="K246" s="3"/>
      <c r="L246" s="3"/>
      <c r="M246" s="3"/>
      <c r="N246" s="3"/>
      <c r="O246" s="3"/>
      <c r="P246" s="3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3"/>
      <c r="K247" s="3"/>
      <c r="L247" s="3"/>
      <c r="M247" s="3"/>
      <c r="N247" s="3"/>
      <c r="O247" s="3"/>
      <c r="P247" s="3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3"/>
      <c r="K248" s="3"/>
      <c r="L248" s="3"/>
      <c r="M248" s="3"/>
      <c r="N248" s="3"/>
      <c r="O248" s="3"/>
      <c r="P248" s="3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3"/>
      <c r="K249" s="3"/>
      <c r="L249" s="3"/>
      <c r="M249" s="3"/>
      <c r="N249" s="3"/>
      <c r="O249" s="3"/>
      <c r="P249" s="3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3"/>
      <c r="K250" s="3"/>
      <c r="L250" s="3"/>
      <c r="M250" s="3"/>
      <c r="N250" s="3"/>
      <c r="O250" s="3"/>
      <c r="P250" s="3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3"/>
      <c r="K251" s="3"/>
      <c r="L251" s="3"/>
      <c r="M251" s="3"/>
      <c r="N251" s="3"/>
      <c r="O251" s="3"/>
      <c r="P251" s="3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3"/>
      <c r="K252" s="3"/>
      <c r="L252" s="3"/>
      <c r="M252" s="3"/>
      <c r="N252" s="3"/>
      <c r="O252" s="3"/>
      <c r="P252" s="3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3"/>
      <c r="K253" s="3"/>
      <c r="L253" s="3"/>
      <c r="M253" s="3"/>
      <c r="N253" s="3"/>
      <c r="O253" s="3"/>
      <c r="P253" s="3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3"/>
      <c r="K254" s="3"/>
      <c r="L254" s="3"/>
      <c r="M254" s="3"/>
      <c r="N254" s="3"/>
      <c r="O254" s="3"/>
      <c r="P254" s="3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3"/>
      <c r="K255" s="3"/>
      <c r="L255" s="3"/>
      <c r="M255" s="3"/>
      <c r="N255" s="3"/>
      <c r="O255" s="3"/>
      <c r="P255" s="3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3"/>
      <c r="K256" s="3"/>
      <c r="L256" s="3"/>
      <c r="M256" s="3"/>
      <c r="N256" s="3"/>
      <c r="O256" s="3"/>
      <c r="P256" s="3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3"/>
      <c r="K257" s="3"/>
      <c r="L257" s="3"/>
      <c r="M257" s="3"/>
      <c r="N257" s="3"/>
      <c r="O257" s="3"/>
      <c r="P257" s="3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3"/>
      <c r="K258" s="3"/>
      <c r="L258" s="3"/>
      <c r="M258" s="3"/>
      <c r="N258" s="3"/>
      <c r="O258" s="3"/>
      <c r="P258" s="3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3"/>
      <c r="K259" s="3"/>
      <c r="L259" s="3"/>
      <c r="M259" s="3"/>
      <c r="N259" s="3"/>
      <c r="O259" s="3"/>
      <c r="P259" s="3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3"/>
      <c r="K260" s="3"/>
      <c r="L260" s="3"/>
      <c r="M260" s="3"/>
      <c r="N260" s="3"/>
      <c r="O260" s="3"/>
      <c r="P260" s="3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3"/>
      <c r="K261" s="3"/>
      <c r="L261" s="3"/>
      <c r="M261" s="3"/>
      <c r="N261" s="3"/>
      <c r="O261" s="3"/>
      <c r="P261" s="3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3"/>
      <c r="K262" s="3"/>
      <c r="L262" s="3"/>
      <c r="M262" s="3"/>
      <c r="N262" s="3"/>
      <c r="O262" s="3"/>
      <c r="P262" s="3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3"/>
      <c r="K263" s="3"/>
      <c r="L263" s="3"/>
      <c r="M263" s="3"/>
      <c r="N263" s="3"/>
      <c r="O263" s="3"/>
      <c r="P263" s="3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3"/>
      <c r="K264" s="3"/>
      <c r="L264" s="3"/>
      <c r="M264" s="3"/>
      <c r="N264" s="3"/>
      <c r="O264" s="3"/>
      <c r="P264" s="3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3"/>
      <c r="K265" s="3"/>
      <c r="L265" s="3"/>
      <c r="M265" s="3"/>
      <c r="N265" s="3"/>
      <c r="O265" s="3"/>
      <c r="P265" s="3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3"/>
      <c r="K266" s="3"/>
      <c r="L266" s="3"/>
      <c r="M266" s="3"/>
      <c r="N266" s="3"/>
      <c r="O266" s="3"/>
      <c r="P266" s="3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3"/>
      <c r="K267" s="3"/>
      <c r="L267" s="3"/>
      <c r="M267" s="3"/>
      <c r="N267" s="3"/>
      <c r="O267" s="3"/>
      <c r="P267" s="3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3"/>
      <c r="K268" s="3"/>
      <c r="L268" s="3"/>
      <c r="M268" s="3"/>
      <c r="N268" s="3"/>
      <c r="O268" s="3"/>
      <c r="P268" s="3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3"/>
      <c r="K269" s="3"/>
      <c r="L269" s="3"/>
      <c r="M269" s="3"/>
      <c r="N269" s="3"/>
      <c r="O269" s="3"/>
      <c r="P269" s="3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3"/>
      <c r="K270" s="3"/>
      <c r="L270" s="3"/>
      <c r="M270" s="3"/>
      <c r="N270" s="3"/>
      <c r="O270" s="3"/>
      <c r="P270" s="3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3"/>
      <c r="K271" s="3"/>
      <c r="L271" s="3"/>
      <c r="M271" s="3"/>
      <c r="N271" s="3"/>
      <c r="O271" s="3"/>
      <c r="P271" s="3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3"/>
      <c r="K272" s="3"/>
      <c r="L272" s="3"/>
      <c r="M272" s="3"/>
      <c r="N272" s="3"/>
      <c r="O272" s="3"/>
      <c r="P272" s="3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3"/>
      <c r="K273" s="3"/>
      <c r="L273" s="3"/>
      <c r="M273" s="3"/>
      <c r="N273" s="3"/>
      <c r="O273" s="3"/>
      <c r="P273" s="3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3"/>
      <c r="K274" s="3"/>
      <c r="L274" s="3"/>
      <c r="M274" s="3"/>
      <c r="N274" s="3"/>
      <c r="O274" s="3"/>
      <c r="P274" s="3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3"/>
      <c r="K275" s="3"/>
      <c r="L275" s="3"/>
      <c r="M275" s="3"/>
      <c r="N275" s="3"/>
      <c r="O275" s="3"/>
      <c r="P275" s="3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3"/>
      <c r="K276" s="3"/>
      <c r="L276" s="3"/>
      <c r="M276" s="3"/>
      <c r="N276" s="3"/>
      <c r="O276" s="3"/>
      <c r="P276" s="3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3"/>
      <c r="K277" s="3"/>
      <c r="L277" s="3"/>
      <c r="M277" s="3"/>
      <c r="N277" s="3"/>
      <c r="O277" s="3"/>
      <c r="P277" s="3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3"/>
      <c r="K278" s="3"/>
      <c r="L278" s="3"/>
      <c r="M278" s="3"/>
      <c r="N278" s="3"/>
      <c r="O278" s="3"/>
      <c r="P278" s="3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3"/>
      <c r="K279" s="3"/>
      <c r="L279" s="3"/>
      <c r="M279" s="3"/>
      <c r="N279" s="3"/>
      <c r="O279" s="3"/>
      <c r="P279" s="3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3"/>
      <c r="K280" s="3"/>
      <c r="L280" s="3"/>
      <c r="M280" s="3"/>
      <c r="N280" s="3"/>
      <c r="O280" s="3"/>
      <c r="P280" s="3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3"/>
      <c r="K281" s="3"/>
      <c r="L281" s="3"/>
      <c r="M281" s="3"/>
      <c r="N281" s="3"/>
      <c r="O281" s="3"/>
      <c r="P281" s="3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3"/>
      <c r="K282" s="3"/>
      <c r="L282" s="3"/>
      <c r="M282" s="3"/>
      <c r="N282" s="3"/>
      <c r="O282" s="3"/>
      <c r="P282" s="3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3"/>
      <c r="K283" s="3"/>
      <c r="L283" s="3"/>
      <c r="M283" s="3"/>
      <c r="N283" s="3"/>
      <c r="O283" s="3"/>
      <c r="P283" s="3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3"/>
      <c r="K284" s="3"/>
      <c r="L284" s="3"/>
      <c r="M284" s="3"/>
      <c r="N284" s="3"/>
      <c r="O284" s="3"/>
      <c r="P284" s="3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3"/>
      <c r="K285" s="3"/>
      <c r="L285" s="3"/>
      <c r="M285" s="3"/>
      <c r="N285" s="3"/>
      <c r="O285" s="3"/>
      <c r="P285" s="3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3"/>
      <c r="K286" s="3"/>
      <c r="L286" s="3"/>
      <c r="M286" s="3"/>
      <c r="N286" s="3"/>
      <c r="O286" s="3"/>
      <c r="P286" s="3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3"/>
      <c r="K287" s="3"/>
      <c r="L287" s="3"/>
      <c r="M287" s="3"/>
      <c r="N287" s="3"/>
      <c r="O287" s="3"/>
      <c r="P287" s="3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3"/>
      <c r="K288" s="3"/>
      <c r="L288" s="3"/>
      <c r="M288" s="3"/>
      <c r="N288" s="3"/>
      <c r="O288" s="3"/>
      <c r="P288" s="3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3"/>
      <c r="K289" s="3"/>
      <c r="L289" s="3"/>
      <c r="M289" s="3"/>
      <c r="N289" s="3"/>
      <c r="O289" s="3"/>
      <c r="P289" s="3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3"/>
      <c r="K290" s="3"/>
      <c r="L290" s="3"/>
      <c r="M290" s="3"/>
      <c r="N290" s="3"/>
      <c r="O290" s="3"/>
      <c r="P290" s="3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3"/>
      <c r="K291" s="3"/>
      <c r="L291" s="3"/>
      <c r="M291" s="3"/>
      <c r="N291" s="3"/>
      <c r="O291" s="3"/>
      <c r="P291" s="3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3"/>
      <c r="K292" s="3"/>
      <c r="L292" s="3"/>
      <c r="M292" s="3"/>
      <c r="N292" s="3"/>
      <c r="O292" s="3"/>
      <c r="P292" s="3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3"/>
      <c r="K293" s="3"/>
      <c r="L293" s="3"/>
      <c r="M293" s="3"/>
      <c r="N293" s="3"/>
      <c r="O293" s="3"/>
      <c r="P293" s="3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3"/>
      <c r="K294" s="3"/>
      <c r="L294" s="3"/>
      <c r="M294" s="3"/>
      <c r="N294" s="3"/>
      <c r="O294" s="3"/>
      <c r="P294" s="3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3"/>
      <c r="K295" s="3"/>
      <c r="L295" s="3"/>
      <c r="M295" s="3"/>
      <c r="N295" s="3"/>
      <c r="O295" s="3"/>
      <c r="P295" s="3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3"/>
      <c r="K296" s="3"/>
      <c r="L296" s="3"/>
      <c r="M296" s="3"/>
      <c r="N296" s="3"/>
      <c r="O296" s="3"/>
      <c r="P296" s="3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3"/>
      <c r="K297" s="3"/>
      <c r="L297" s="3"/>
      <c r="M297" s="3"/>
      <c r="N297" s="3"/>
      <c r="O297" s="3"/>
      <c r="P297" s="3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3"/>
      <c r="K298" s="3"/>
      <c r="L298" s="3"/>
      <c r="M298" s="3"/>
      <c r="N298" s="3"/>
      <c r="O298" s="3"/>
      <c r="P298" s="3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3"/>
      <c r="K299" s="3"/>
      <c r="L299" s="3"/>
      <c r="M299" s="3"/>
      <c r="N299" s="3"/>
      <c r="O299" s="3"/>
      <c r="P299" s="3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3"/>
      <c r="K300" s="3"/>
      <c r="L300" s="3"/>
      <c r="M300" s="3"/>
      <c r="N300" s="3"/>
      <c r="O300" s="3"/>
      <c r="P300" s="3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3"/>
      <c r="K301" s="3"/>
      <c r="L301" s="3"/>
      <c r="M301" s="3"/>
      <c r="N301" s="3"/>
      <c r="O301" s="3"/>
      <c r="P301" s="3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3"/>
      <c r="K302" s="3"/>
      <c r="L302" s="3"/>
      <c r="M302" s="3"/>
      <c r="N302" s="3"/>
      <c r="O302" s="3"/>
      <c r="P302" s="3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3"/>
      <c r="K303" s="3"/>
      <c r="L303" s="3"/>
      <c r="M303" s="3"/>
      <c r="N303" s="3"/>
      <c r="O303" s="3"/>
      <c r="P303" s="3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3"/>
      <c r="K304" s="3"/>
      <c r="L304" s="3"/>
      <c r="M304" s="3"/>
      <c r="N304" s="3"/>
      <c r="O304" s="3"/>
      <c r="P304" s="3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3"/>
      <c r="K305" s="3"/>
      <c r="L305" s="3"/>
      <c r="M305" s="3"/>
      <c r="N305" s="3"/>
      <c r="O305" s="3"/>
      <c r="P305" s="3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3"/>
      <c r="K306" s="3"/>
      <c r="L306" s="3"/>
      <c r="M306" s="3"/>
      <c r="N306" s="3"/>
      <c r="O306" s="3"/>
      <c r="P306" s="3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3"/>
      <c r="K307" s="3"/>
      <c r="L307" s="3"/>
      <c r="M307" s="3"/>
      <c r="N307" s="3"/>
      <c r="O307" s="3"/>
      <c r="P307" s="3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3"/>
      <c r="K308" s="3"/>
      <c r="L308" s="3"/>
      <c r="M308" s="3"/>
      <c r="N308" s="3"/>
      <c r="O308" s="3"/>
      <c r="P308" s="3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3"/>
      <c r="K309" s="3"/>
      <c r="L309" s="3"/>
      <c r="M309" s="3"/>
      <c r="N309" s="3"/>
      <c r="O309" s="3"/>
      <c r="P309" s="3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3"/>
      <c r="K310" s="3"/>
      <c r="L310" s="3"/>
      <c r="M310" s="3"/>
      <c r="N310" s="3"/>
      <c r="O310" s="3"/>
      <c r="P310" s="3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3"/>
      <c r="K311" s="3"/>
      <c r="L311" s="3"/>
      <c r="M311" s="3"/>
      <c r="N311" s="3"/>
      <c r="O311" s="3"/>
      <c r="P311" s="3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3"/>
      <c r="K312" s="3"/>
      <c r="L312" s="3"/>
      <c r="M312" s="3"/>
      <c r="N312" s="3"/>
      <c r="O312" s="3"/>
      <c r="P312" s="3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3"/>
      <c r="K313" s="3"/>
      <c r="L313" s="3"/>
      <c r="M313" s="3"/>
      <c r="N313" s="3"/>
      <c r="O313" s="3"/>
      <c r="P313" s="3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3"/>
      <c r="K314" s="3"/>
      <c r="L314" s="3"/>
      <c r="M314" s="3"/>
      <c r="N314" s="3"/>
      <c r="O314" s="3"/>
      <c r="P314" s="3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3"/>
      <c r="K315" s="3"/>
      <c r="L315" s="3"/>
      <c r="M315" s="3"/>
      <c r="N315" s="3"/>
      <c r="O315" s="3"/>
      <c r="P315" s="3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3"/>
      <c r="K316" s="3"/>
      <c r="L316" s="3"/>
      <c r="M316" s="3"/>
      <c r="N316" s="3"/>
      <c r="O316" s="3"/>
      <c r="P316" s="3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3"/>
      <c r="K317" s="3"/>
      <c r="L317" s="3"/>
      <c r="M317" s="3"/>
      <c r="N317" s="3"/>
      <c r="O317" s="3"/>
      <c r="P317" s="3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3"/>
      <c r="K318" s="3"/>
      <c r="L318" s="3"/>
      <c r="M318" s="3"/>
      <c r="N318" s="3"/>
      <c r="O318" s="3"/>
      <c r="P318" s="3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3"/>
      <c r="K319" s="3"/>
      <c r="L319" s="3"/>
      <c r="M319" s="3"/>
      <c r="N319" s="3"/>
      <c r="O319" s="3"/>
      <c r="P319" s="3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3"/>
      <c r="K320" s="3"/>
      <c r="L320" s="3"/>
      <c r="M320" s="3"/>
      <c r="N320" s="3"/>
      <c r="O320" s="3"/>
      <c r="P320" s="3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3"/>
      <c r="K321" s="3"/>
      <c r="L321" s="3"/>
      <c r="M321" s="3"/>
      <c r="N321" s="3"/>
      <c r="O321" s="3"/>
      <c r="P321" s="3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3"/>
      <c r="K322" s="3"/>
      <c r="L322" s="3"/>
      <c r="M322" s="3"/>
      <c r="N322" s="3"/>
      <c r="O322" s="3"/>
      <c r="P322" s="3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3"/>
      <c r="K323" s="3"/>
      <c r="L323" s="3"/>
      <c r="M323" s="3"/>
      <c r="N323" s="3"/>
      <c r="O323" s="3"/>
      <c r="P323" s="3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3"/>
      <c r="K324" s="3"/>
      <c r="L324" s="3"/>
      <c r="M324" s="3"/>
      <c r="N324" s="3"/>
      <c r="O324" s="3"/>
      <c r="P324" s="3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3"/>
      <c r="K325" s="3"/>
      <c r="L325" s="3"/>
      <c r="M325" s="3"/>
      <c r="N325" s="3"/>
      <c r="O325" s="3"/>
      <c r="P325" s="3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2.5" x14ac:dyDescent="0.25">
      <c r="J326" s="115"/>
      <c r="K326" s="115"/>
      <c r="L326" s="115"/>
      <c r="M326" s="115"/>
      <c r="N326" s="115"/>
      <c r="O326" s="115"/>
      <c r="P326" s="115"/>
    </row>
    <row r="327" spans="1:30" ht="12.5" x14ac:dyDescent="0.25">
      <c r="J327" s="115"/>
      <c r="K327" s="115"/>
      <c r="L327" s="115"/>
      <c r="M327" s="115"/>
      <c r="N327" s="115"/>
      <c r="O327" s="115"/>
      <c r="P327" s="115"/>
    </row>
    <row r="328" spans="1:30" ht="12.5" x14ac:dyDescent="0.25">
      <c r="J328" s="115"/>
      <c r="K328" s="115"/>
      <c r="L328" s="115"/>
      <c r="M328" s="115"/>
      <c r="N328" s="115"/>
      <c r="O328" s="115"/>
      <c r="P328" s="115"/>
    </row>
    <row r="329" spans="1:30" ht="12.5" x14ac:dyDescent="0.25">
      <c r="J329" s="115"/>
      <c r="K329" s="115"/>
      <c r="L329" s="115"/>
      <c r="M329" s="115"/>
      <c r="N329" s="115"/>
      <c r="O329" s="115"/>
      <c r="P329" s="115"/>
    </row>
    <row r="330" spans="1:30" ht="12.5" x14ac:dyDescent="0.25">
      <c r="J330" s="115"/>
      <c r="K330" s="115"/>
      <c r="L330" s="115"/>
      <c r="M330" s="115"/>
      <c r="N330" s="115"/>
      <c r="O330" s="115"/>
      <c r="P330" s="115"/>
    </row>
    <row r="331" spans="1:30" ht="12.5" x14ac:dyDescent="0.25">
      <c r="J331" s="115"/>
      <c r="K331" s="115"/>
      <c r="L331" s="115"/>
      <c r="M331" s="115"/>
      <c r="N331" s="115"/>
      <c r="O331" s="115"/>
      <c r="P331" s="115"/>
    </row>
    <row r="332" spans="1:30" ht="12.5" x14ac:dyDescent="0.25">
      <c r="J332" s="115"/>
      <c r="K332" s="115"/>
      <c r="L332" s="115"/>
      <c r="M332" s="115"/>
      <c r="N332" s="115"/>
      <c r="O332" s="115"/>
      <c r="P332" s="115"/>
    </row>
    <row r="333" spans="1:30" ht="12.5" x14ac:dyDescent="0.25">
      <c r="J333" s="115"/>
      <c r="K333" s="115"/>
      <c r="L333" s="115"/>
      <c r="M333" s="115"/>
      <c r="N333" s="115"/>
      <c r="O333" s="115"/>
      <c r="P333" s="115"/>
    </row>
    <row r="334" spans="1:30" ht="12.5" x14ac:dyDescent="0.25">
      <c r="J334" s="115"/>
      <c r="K334" s="115"/>
      <c r="L334" s="115"/>
      <c r="M334" s="115"/>
      <c r="N334" s="115"/>
      <c r="O334" s="115"/>
      <c r="P334" s="115"/>
    </row>
    <row r="335" spans="1:30" ht="12.5" x14ac:dyDescent="0.25">
      <c r="J335" s="115"/>
      <c r="K335" s="115"/>
      <c r="L335" s="115"/>
      <c r="M335" s="115"/>
      <c r="N335" s="115"/>
      <c r="O335" s="115"/>
      <c r="P335" s="115"/>
    </row>
    <row r="336" spans="1:30" ht="12.5" x14ac:dyDescent="0.25">
      <c r="J336" s="115"/>
      <c r="K336" s="115"/>
      <c r="L336" s="115"/>
      <c r="M336" s="115"/>
      <c r="N336" s="115"/>
      <c r="O336" s="115"/>
      <c r="P336" s="115"/>
    </row>
    <row r="337" spans="10:16" ht="12.5" x14ac:dyDescent="0.25">
      <c r="J337" s="115"/>
      <c r="K337" s="115"/>
      <c r="L337" s="115"/>
      <c r="M337" s="115"/>
      <c r="N337" s="115"/>
      <c r="O337" s="115"/>
      <c r="P337" s="115"/>
    </row>
    <row r="338" spans="10:16" ht="12.5" x14ac:dyDescent="0.25">
      <c r="J338" s="115"/>
      <c r="K338" s="115"/>
      <c r="L338" s="115"/>
      <c r="M338" s="115"/>
      <c r="N338" s="115"/>
      <c r="O338" s="115"/>
      <c r="P338" s="115"/>
    </row>
    <row r="339" spans="10:16" ht="12.5" x14ac:dyDescent="0.25">
      <c r="J339" s="115"/>
      <c r="K339" s="115"/>
      <c r="L339" s="115"/>
      <c r="M339" s="115"/>
      <c r="N339" s="115"/>
      <c r="O339" s="115"/>
      <c r="P339" s="115"/>
    </row>
    <row r="340" spans="10:16" ht="12.5" x14ac:dyDescent="0.25">
      <c r="J340" s="115"/>
      <c r="K340" s="115"/>
      <c r="L340" s="115"/>
      <c r="M340" s="115"/>
      <c r="N340" s="115"/>
      <c r="O340" s="115"/>
      <c r="P340" s="115"/>
    </row>
    <row r="341" spans="10:16" ht="12.5" x14ac:dyDescent="0.25">
      <c r="J341" s="115"/>
      <c r="K341" s="115"/>
      <c r="L341" s="115"/>
      <c r="M341" s="115"/>
      <c r="N341" s="115"/>
      <c r="O341" s="115"/>
      <c r="P341" s="115"/>
    </row>
    <row r="342" spans="10:16" ht="12.5" x14ac:dyDescent="0.25">
      <c r="J342" s="115"/>
      <c r="K342" s="115"/>
      <c r="L342" s="115"/>
      <c r="M342" s="115"/>
      <c r="N342" s="115"/>
      <c r="O342" s="115"/>
      <c r="P342" s="115"/>
    </row>
    <row r="343" spans="10:16" ht="12.5" x14ac:dyDescent="0.25">
      <c r="J343" s="115"/>
      <c r="K343" s="115"/>
      <c r="L343" s="115"/>
      <c r="M343" s="115"/>
      <c r="N343" s="115"/>
      <c r="O343" s="115"/>
      <c r="P343" s="115"/>
    </row>
    <row r="344" spans="10:16" ht="12.5" x14ac:dyDescent="0.25">
      <c r="J344" s="115"/>
      <c r="K344" s="115"/>
      <c r="L344" s="115"/>
      <c r="M344" s="115"/>
      <c r="N344" s="115"/>
      <c r="O344" s="115"/>
      <c r="P344" s="115"/>
    </row>
    <row r="345" spans="10:16" ht="12.5" x14ac:dyDescent="0.25">
      <c r="J345" s="115"/>
      <c r="K345" s="115"/>
      <c r="L345" s="115"/>
      <c r="M345" s="115"/>
      <c r="N345" s="115"/>
      <c r="O345" s="115"/>
      <c r="P345" s="115"/>
    </row>
    <row r="346" spans="10:16" ht="12.5" x14ac:dyDescent="0.25">
      <c r="J346" s="115"/>
      <c r="K346" s="115"/>
      <c r="L346" s="115"/>
      <c r="M346" s="115"/>
      <c r="N346" s="115"/>
      <c r="O346" s="115"/>
      <c r="P346" s="115"/>
    </row>
    <row r="347" spans="10:16" ht="12.5" x14ac:dyDescent="0.25">
      <c r="J347" s="115"/>
      <c r="K347" s="115"/>
      <c r="L347" s="115"/>
      <c r="M347" s="115"/>
      <c r="N347" s="115"/>
      <c r="O347" s="115"/>
      <c r="P347" s="115"/>
    </row>
    <row r="348" spans="10:16" ht="12.5" x14ac:dyDescent="0.25">
      <c r="J348" s="115"/>
      <c r="K348" s="115"/>
      <c r="L348" s="115"/>
      <c r="M348" s="115"/>
      <c r="N348" s="115"/>
      <c r="O348" s="115"/>
      <c r="P348" s="115"/>
    </row>
    <row r="349" spans="10:16" ht="12.5" x14ac:dyDescent="0.25">
      <c r="J349" s="115"/>
      <c r="K349" s="115"/>
      <c r="L349" s="115"/>
      <c r="M349" s="115"/>
      <c r="N349" s="115"/>
      <c r="O349" s="115"/>
      <c r="P349" s="115"/>
    </row>
    <row r="350" spans="10:16" ht="12.5" x14ac:dyDescent="0.25">
      <c r="J350" s="115"/>
      <c r="K350" s="115"/>
      <c r="L350" s="115"/>
      <c r="M350" s="115"/>
      <c r="N350" s="115"/>
      <c r="O350" s="115"/>
      <c r="P350" s="115"/>
    </row>
    <row r="351" spans="10:16" ht="12.5" x14ac:dyDescent="0.25">
      <c r="J351" s="115"/>
      <c r="K351" s="115"/>
      <c r="L351" s="115"/>
      <c r="M351" s="115"/>
      <c r="N351" s="115"/>
      <c r="O351" s="115"/>
      <c r="P351" s="115"/>
    </row>
    <row r="352" spans="10:16" ht="12.5" x14ac:dyDescent="0.25">
      <c r="J352" s="115"/>
      <c r="K352" s="115"/>
      <c r="L352" s="115"/>
      <c r="M352" s="115"/>
      <c r="N352" s="115"/>
      <c r="O352" s="115"/>
      <c r="P352" s="115"/>
    </row>
    <row r="353" spans="10:16" ht="12.5" x14ac:dyDescent="0.25">
      <c r="J353" s="115"/>
      <c r="K353" s="115"/>
      <c r="L353" s="115"/>
      <c r="M353" s="115"/>
      <c r="N353" s="115"/>
      <c r="O353" s="115"/>
      <c r="P353" s="115"/>
    </row>
    <row r="354" spans="10:16" ht="12.5" x14ac:dyDescent="0.25">
      <c r="J354" s="115"/>
      <c r="K354" s="115"/>
      <c r="L354" s="115"/>
      <c r="M354" s="115"/>
      <c r="N354" s="115"/>
      <c r="O354" s="115"/>
      <c r="P354" s="115"/>
    </row>
    <row r="355" spans="10:16" ht="12.5" x14ac:dyDescent="0.25">
      <c r="J355" s="115"/>
      <c r="K355" s="115"/>
      <c r="L355" s="115"/>
      <c r="M355" s="115"/>
      <c r="N355" s="115"/>
      <c r="O355" s="115"/>
      <c r="P355" s="115"/>
    </row>
    <row r="356" spans="10:16" ht="12.5" x14ac:dyDescent="0.25">
      <c r="J356" s="115"/>
      <c r="K356" s="115"/>
      <c r="L356" s="115"/>
      <c r="M356" s="115"/>
      <c r="N356" s="115"/>
      <c r="O356" s="115"/>
      <c r="P356" s="115"/>
    </row>
    <row r="357" spans="10:16" ht="12.5" x14ac:dyDescent="0.25">
      <c r="J357" s="115"/>
      <c r="K357" s="115"/>
      <c r="L357" s="115"/>
      <c r="M357" s="115"/>
      <c r="N357" s="115"/>
      <c r="O357" s="115"/>
      <c r="P357" s="115"/>
    </row>
    <row r="358" spans="10:16" ht="12.5" x14ac:dyDescent="0.25">
      <c r="J358" s="115"/>
      <c r="K358" s="115"/>
      <c r="L358" s="115"/>
      <c r="M358" s="115"/>
      <c r="N358" s="115"/>
      <c r="O358" s="115"/>
      <c r="P358" s="115"/>
    </row>
    <row r="359" spans="10:16" ht="12.5" x14ac:dyDescent="0.25">
      <c r="J359" s="115"/>
      <c r="K359" s="115"/>
      <c r="L359" s="115"/>
      <c r="M359" s="115"/>
      <c r="N359" s="115"/>
      <c r="O359" s="115"/>
      <c r="P359" s="115"/>
    </row>
    <row r="360" spans="10:16" ht="12.5" x14ac:dyDescent="0.25">
      <c r="J360" s="115"/>
      <c r="K360" s="115"/>
      <c r="L360" s="115"/>
      <c r="M360" s="115"/>
      <c r="N360" s="115"/>
      <c r="O360" s="115"/>
      <c r="P360" s="115"/>
    </row>
    <row r="361" spans="10:16" ht="12.5" x14ac:dyDescent="0.25">
      <c r="J361" s="115"/>
      <c r="K361" s="115"/>
      <c r="L361" s="115"/>
      <c r="M361" s="115"/>
      <c r="N361" s="115"/>
      <c r="O361" s="115"/>
      <c r="P361" s="115"/>
    </row>
    <row r="362" spans="10:16" ht="12.5" x14ac:dyDescent="0.25">
      <c r="J362" s="115"/>
      <c r="K362" s="115"/>
      <c r="L362" s="115"/>
      <c r="M362" s="115"/>
      <c r="N362" s="115"/>
      <c r="O362" s="115"/>
      <c r="P362" s="115"/>
    </row>
    <row r="363" spans="10:16" ht="12.5" x14ac:dyDescent="0.25">
      <c r="J363" s="115"/>
      <c r="K363" s="115"/>
      <c r="L363" s="115"/>
      <c r="M363" s="115"/>
      <c r="N363" s="115"/>
      <c r="O363" s="115"/>
      <c r="P363" s="115"/>
    </row>
    <row r="364" spans="10:16" ht="12.5" x14ac:dyDescent="0.25">
      <c r="J364" s="115"/>
      <c r="K364" s="115"/>
      <c r="L364" s="115"/>
      <c r="M364" s="115"/>
      <c r="N364" s="115"/>
      <c r="O364" s="115"/>
      <c r="P364" s="115"/>
    </row>
    <row r="365" spans="10:16" ht="12.5" x14ac:dyDescent="0.25">
      <c r="J365" s="115"/>
      <c r="K365" s="115"/>
      <c r="L365" s="115"/>
      <c r="M365" s="115"/>
      <c r="N365" s="115"/>
      <c r="O365" s="115"/>
      <c r="P365" s="115"/>
    </row>
    <row r="366" spans="10:16" ht="12.5" x14ac:dyDescent="0.25">
      <c r="J366" s="115"/>
      <c r="K366" s="115"/>
      <c r="L366" s="115"/>
      <c r="M366" s="115"/>
      <c r="N366" s="115"/>
      <c r="O366" s="115"/>
      <c r="P366" s="115"/>
    </row>
    <row r="367" spans="10:16" ht="12.5" x14ac:dyDescent="0.25">
      <c r="J367" s="115"/>
      <c r="K367" s="115"/>
      <c r="L367" s="115"/>
      <c r="M367" s="115"/>
      <c r="N367" s="115"/>
      <c r="O367" s="115"/>
      <c r="P367" s="115"/>
    </row>
    <row r="368" spans="10:16" ht="12.5" x14ac:dyDescent="0.25">
      <c r="J368" s="115"/>
      <c r="K368" s="115"/>
      <c r="L368" s="115"/>
      <c r="M368" s="115"/>
      <c r="N368" s="115"/>
      <c r="O368" s="115"/>
      <c r="P368" s="115"/>
    </row>
    <row r="369" spans="10:16" ht="12.5" x14ac:dyDescent="0.25">
      <c r="J369" s="115"/>
      <c r="K369" s="115"/>
      <c r="L369" s="115"/>
      <c r="M369" s="115"/>
      <c r="N369" s="115"/>
      <c r="O369" s="115"/>
      <c r="P369" s="115"/>
    </row>
    <row r="370" spans="10:16" ht="12.5" x14ac:dyDescent="0.25">
      <c r="J370" s="115"/>
      <c r="K370" s="115"/>
      <c r="L370" s="115"/>
      <c r="M370" s="115"/>
      <c r="N370" s="115"/>
      <c r="O370" s="115"/>
      <c r="P370" s="115"/>
    </row>
    <row r="371" spans="10:16" ht="12.5" x14ac:dyDescent="0.25">
      <c r="J371" s="115"/>
      <c r="K371" s="115"/>
      <c r="L371" s="115"/>
      <c r="M371" s="115"/>
      <c r="N371" s="115"/>
      <c r="O371" s="115"/>
      <c r="P371" s="115"/>
    </row>
    <row r="372" spans="10:16" ht="12.5" x14ac:dyDescent="0.25">
      <c r="J372" s="115"/>
      <c r="K372" s="115"/>
      <c r="L372" s="115"/>
      <c r="M372" s="115"/>
      <c r="N372" s="115"/>
      <c r="O372" s="115"/>
      <c r="P372" s="115"/>
    </row>
    <row r="373" spans="10:16" ht="12.5" x14ac:dyDescent="0.25">
      <c r="J373" s="115"/>
      <c r="K373" s="115"/>
      <c r="L373" s="115"/>
      <c r="M373" s="115"/>
      <c r="N373" s="115"/>
      <c r="O373" s="115"/>
      <c r="P373" s="115"/>
    </row>
    <row r="374" spans="10:16" ht="12.5" x14ac:dyDescent="0.25">
      <c r="J374" s="115"/>
      <c r="K374" s="115"/>
      <c r="L374" s="115"/>
      <c r="M374" s="115"/>
      <c r="N374" s="115"/>
      <c r="O374" s="115"/>
      <c r="P374" s="115"/>
    </row>
    <row r="375" spans="10:16" ht="12.5" x14ac:dyDescent="0.25">
      <c r="J375" s="115"/>
      <c r="K375" s="115"/>
      <c r="L375" s="115"/>
      <c r="M375" s="115"/>
      <c r="N375" s="115"/>
      <c r="O375" s="115"/>
      <c r="P375" s="115"/>
    </row>
    <row r="376" spans="10:16" ht="12.5" x14ac:dyDescent="0.25">
      <c r="J376" s="115"/>
      <c r="K376" s="115"/>
      <c r="L376" s="115"/>
      <c r="M376" s="115"/>
      <c r="N376" s="115"/>
      <c r="O376" s="115"/>
      <c r="P376" s="115"/>
    </row>
    <row r="377" spans="10:16" ht="12.5" x14ac:dyDescent="0.25">
      <c r="J377" s="115"/>
      <c r="K377" s="115"/>
      <c r="L377" s="115"/>
      <c r="M377" s="115"/>
      <c r="N377" s="115"/>
      <c r="O377" s="115"/>
      <c r="P377" s="115"/>
    </row>
    <row r="378" spans="10:16" ht="12.5" x14ac:dyDescent="0.25">
      <c r="J378" s="115"/>
      <c r="K378" s="115"/>
      <c r="L378" s="115"/>
      <c r="M378" s="115"/>
      <c r="N378" s="115"/>
      <c r="O378" s="115"/>
      <c r="P378" s="115"/>
    </row>
    <row r="379" spans="10:16" ht="12.5" x14ac:dyDescent="0.25">
      <c r="J379" s="115"/>
      <c r="K379" s="115"/>
      <c r="L379" s="115"/>
      <c r="M379" s="115"/>
      <c r="N379" s="115"/>
      <c r="O379" s="115"/>
      <c r="P379" s="115"/>
    </row>
    <row r="380" spans="10:16" ht="12.5" x14ac:dyDescent="0.25">
      <c r="J380" s="115"/>
      <c r="K380" s="115"/>
      <c r="L380" s="115"/>
      <c r="M380" s="115"/>
      <c r="N380" s="115"/>
      <c r="O380" s="115"/>
      <c r="P380" s="115"/>
    </row>
    <row r="381" spans="10:16" ht="12.5" x14ac:dyDescent="0.25">
      <c r="J381" s="115"/>
      <c r="K381" s="115"/>
      <c r="L381" s="115"/>
      <c r="M381" s="115"/>
      <c r="N381" s="115"/>
      <c r="O381" s="115"/>
      <c r="P381" s="115"/>
    </row>
    <row r="382" spans="10:16" ht="12.5" x14ac:dyDescent="0.25">
      <c r="J382" s="115"/>
      <c r="K382" s="115"/>
      <c r="L382" s="115"/>
      <c r="M382" s="115"/>
      <c r="N382" s="115"/>
      <c r="O382" s="115"/>
      <c r="P382" s="115"/>
    </row>
    <row r="383" spans="10:16" ht="12.5" x14ac:dyDescent="0.25">
      <c r="J383" s="115"/>
      <c r="K383" s="115"/>
      <c r="L383" s="115"/>
      <c r="M383" s="115"/>
      <c r="N383" s="115"/>
      <c r="O383" s="115"/>
      <c r="P383" s="115"/>
    </row>
    <row r="384" spans="10:16" ht="12.5" x14ac:dyDescent="0.25">
      <c r="J384" s="115"/>
      <c r="K384" s="115"/>
      <c r="L384" s="115"/>
      <c r="M384" s="115"/>
      <c r="N384" s="115"/>
      <c r="O384" s="115"/>
      <c r="P384" s="115"/>
    </row>
    <row r="385" spans="10:16" ht="12.5" x14ac:dyDescent="0.25">
      <c r="J385" s="115"/>
      <c r="K385" s="115"/>
      <c r="L385" s="115"/>
      <c r="M385" s="115"/>
      <c r="N385" s="115"/>
      <c r="O385" s="115"/>
      <c r="P385" s="115"/>
    </row>
    <row r="386" spans="10:16" ht="12.5" x14ac:dyDescent="0.25">
      <c r="J386" s="115"/>
      <c r="K386" s="115"/>
      <c r="L386" s="115"/>
      <c r="M386" s="115"/>
      <c r="N386" s="115"/>
      <c r="O386" s="115"/>
      <c r="P386" s="115"/>
    </row>
    <row r="387" spans="10:16" ht="12.5" x14ac:dyDescent="0.25">
      <c r="J387" s="115"/>
      <c r="K387" s="115"/>
      <c r="L387" s="115"/>
      <c r="M387" s="115"/>
      <c r="N387" s="115"/>
      <c r="O387" s="115"/>
      <c r="P387" s="115"/>
    </row>
    <row r="388" spans="10:16" ht="12.5" x14ac:dyDescent="0.25">
      <c r="J388" s="115"/>
      <c r="K388" s="115"/>
      <c r="L388" s="115"/>
      <c r="M388" s="115"/>
      <c r="N388" s="115"/>
      <c r="O388" s="115"/>
      <c r="P388" s="115"/>
    </row>
    <row r="389" spans="10:16" ht="12.5" x14ac:dyDescent="0.25">
      <c r="J389" s="115"/>
      <c r="K389" s="115"/>
      <c r="L389" s="115"/>
      <c r="M389" s="115"/>
      <c r="N389" s="115"/>
      <c r="O389" s="115"/>
      <c r="P389" s="115"/>
    </row>
    <row r="390" spans="10:16" ht="12.5" x14ac:dyDescent="0.25">
      <c r="J390" s="115"/>
      <c r="K390" s="115"/>
      <c r="L390" s="115"/>
      <c r="M390" s="115"/>
      <c r="N390" s="115"/>
      <c r="O390" s="115"/>
      <c r="P390" s="115"/>
    </row>
    <row r="391" spans="10:16" ht="12.5" x14ac:dyDescent="0.25">
      <c r="J391" s="115"/>
      <c r="K391" s="115"/>
      <c r="L391" s="115"/>
      <c r="M391" s="115"/>
      <c r="N391" s="115"/>
      <c r="O391" s="115"/>
      <c r="P391" s="115"/>
    </row>
    <row r="392" spans="10:16" ht="12.5" x14ac:dyDescent="0.25">
      <c r="J392" s="115"/>
      <c r="K392" s="115"/>
      <c r="L392" s="115"/>
      <c r="M392" s="115"/>
      <c r="N392" s="115"/>
      <c r="O392" s="115"/>
      <c r="P392" s="115"/>
    </row>
    <row r="393" spans="10:16" ht="12.5" x14ac:dyDescent="0.25">
      <c r="J393" s="115"/>
      <c r="K393" s="115"/>
      <c r="L393" s="115"/>
      <c r="M393" s="115"/>
      <c r="N393" s="115"/>
      <c r="O393" s="115"/>
      <c r="P393" s="115"/>
    </row>
    <row r="394" spans="10:16" ht="12.5" x14ac:dyDescent="0.25">
      <c r="J394" s="115"/>
      <c r="K394" s="115"/>
      <c r="L394" s="115"/>
      <c r="M394" s="115"/>
      <c r="N394" s="115"/>
      <c r="O394" s="115"/>
      <c r="P394" s="115"/>
    </row>
    <row r="395" spans="10:16" ht="12.5" x14ac:dyDescent="0.25">
      <c r="J395" s="115"/>
      <c r="K395" s="115"/>
      <c r="L395" s="115"/>
      <c r="M395" s="115"/>
      <c r="N395" s="115"/>
      <c r="O395" s="115"/>
      <c r="P395" s="115"/>
    </row>
    <row r="396" spans="10:16" ht="12.5" x14ac:dyDescent="0.25">
      <c r="J396" s="115"/>
      <c r="K396" s="115"/>
      <c r="L396" s="115"/>
      <c r="M396" s="115"/>
      <c r="N396" s="115"/>
      <c r="O396" s="115"/>
      <c r="P396" s="115"/>
    </row>
    <row r="397" spans="10:16" ht="12.5" x14ac:dyDescent="0.25">
      <c r="J397" s="115"/>
      <c r="K397" s="115"/>
      <c r="L397" s="115"/>
      <c r="M397" s="115"/>
      <c r="N397" s="115"/>
      <c r="O397" s="115"/>
      <c r="P397" s="115"/>
    </row>
    <row r="398" spans="10:16" ht="12.5" x14ac:dyDescent="0.25">
      <c r="J398" s="115"/>
      <c r="K398" s="115"/>
      <c r="L398" s="115"/>
      <c r="M398" s="115"/>
      <c r="N398" s="115"/>
      <c r="O398" s="115"/>
      <c r="P398" s="115"/>
    </row>
    <row r="399" spans="10:16" ht="12.5" x14ac:dyDescent="0.25">
      <c r="J399" s="115"/>
      <c r="K399" s="115"/>
      <c r="L399" s="115"/>
      <c r="M399" s="115"/>
      <c r="N399" s="115"/>
      <c r="O399" s="115"/>
      <c r="P399" s="115"/>
    </row>
    <row r="400" spans="10:16" ht="12.5" x14ac:dyDescent="0.25">
      <c r="J400" s="115"/>
      <c r="K400" s="115"/>
      <c r="L400" s="115"/>
      <c r="M400" s="115"/>
      <c r="N400" s="115"/>
      <c r="O400" s="115"/>
      <c r="P400" s="115"/>
    </row>
    <row r="401" spans="10:16" ht="12.5" x14ac:dyDescent="0.25">
      <c r="J401" s="115"/>
      <c r="K401" s="115"/>
      <c r="L401" s="115"/>
      <c r="M401" s="115"/>
      <c r="N401" s="115"/>
      <c r="O401" s="115"/>
      <c r="P401" s="115"/>
    </row>
    <row r="402" spans="10:16" ht="12.5" x14ac:dyDescent="0.25">
      <c r="J402" s="115"/>
      <c r="K402" s="115"/>
      <c r="L402" s="115"/>
      <c r="M402" s="115"/>
      <c r="N402" s="115"/>
      <c r="O402" s="115"/>
      <c r="P402" s="115"/>
    </row>
    <row r="403" spans="10:16" ht="12.5" x14ac:dyDescent="0.25">
      <c r="J403" s="115"/>
      <c r="K403" s="115"/>
      <c r="L403" s="115"/>
      <c r="M403" s="115"/>
      <c r="N403" s="115"/>
      <c r="O403" s="115"/>
      <c r="P403" s="115"/>
    </row>
    <row r="404" spans="10:16" ht="12.5" x14ac:dyDescent="0.25">
      <c r="J404" s="115"/>
      <c r="K404" s="115"/>
      <c r="L404" s="115"/>
      <c r="M404" s="115"/>
      <c r="N404" s="115"/>
      <c r="O404" s="115"/>
      <c r="P404" s="115"/>
    </row>
    <row r="405" spans="10:16" ht="12.5" x14ac:dyDescent="0.25">
      <c r="J405" s="115"/>
      <c r="K405" s="115"/>
      <c r="L405" s="115"/>
      <c r="M405" s="115"/>
      <c r="N405" s="115"/>
      <c r="O405" s="115"/>
      <c r="P405" s="115"/>
    </row>
    <row r="406" spans="10:16" ht="12.5" x14ac:dyDescent="0.25">
      <c r="J406" s="115"/>
      <c r="K406" s="115"/>
      <c r="L406" s="115"/>
      <c r="M406" s="115"/>
      <c r="N406" s="115"/>
      <c r="O406" s="115"/>
      <c r="P406" s="115"/>
    </row>
    <row r="407" spans="10:16" ht="12.5" x14ac:dyDescent="0.25">
      <c r="J407" s="115"/>
      <c r="K407" s="115"/>
      <c r="L407" s="115"/>
      <c r="M407" s="115"/>
      <c r="N407" s="115"/>
      <c r="O407" s="115"/>
      <c r="P407" s="115"/>
    </row>
    <row r="408" spans="10:16" ht="12.5" x14ac:dyDescent="0.25">
      <c r="J408" s="115"/>
      <c r="K408" s="115"/>
      <c r="L408" s="115"/>
      <c r="M408" s="115"/>
      <c r="N408" s="115"/>
      <c r="O408" s="115"/>
      <c r="P408" s="115"/>
    </row>
    <row r="409" spans="10:16" ht="12.5" x14ac:dyDescent="0.25">
      <c r="J409" s="115"/>
      <c r="K409" s="115"/>
      <c r="L409" s="115"/>
      <c r="M409" s="115"/>
      <c r="N409" s="115"/>
      <c r="O409" s="115"/>
      <c r="P409" s="115"/>
    </row>
    <row r="410" spans="10:16" ht="12.5" x14ac:dyDescent="0.25">
      <c r="J410" s="115"/>
      <c r="K410" s="115"/>
      <c r="L410" s="115"/>
      <c r="M410" s="115"/>
      <c r="N410" s="115"/>
      <c r="O410" s="115"/>
      <c r="P410" s="115"/>
    </row>
    <row r="411" spans="10:16" ht="12.5" x14ac:dyDescent="0.25">
      <c r="J411" s="115"/>
      <c r="K411" s="115"/>
      <c r="L411" s="115"/>
      <c r="M411" s="115"/>
      <c r="N411" s="115"/>
      <c r="O411" s="115"/>
      <c r="P411" s="115"/>
    </row>
    <row r="412" spans="10:16" ht="12.5" x14ac:dyDescent="0.25">
      <c r="J412" s="115"/>
      <c r="K412" s="115"/>
      <c r="L412" s="115"/>
      <c r="M412" s="115"/>
      <c r="N412" s="115"/>
      <c r="O412" s="115"/>
      <c r="P412" s="115"/>
    </row>
    <row r="413" spans="10:16" ht="12.5" x14ac:dyDescent="0.25">
      <c r="J413" s="115"/>
      <c r="K413" s="115"/>
      <c r="L413" s="115"/>
      <c r="M413" s="115"/>
      <c r="N413" s="115"/>
      <c r="O413" s="115"/>
      <c r="P413" s="115"/>
    </row>
    <row r="414" spans="10:16" ht="12.5" x14ac:dyDescent="0.25">
      <c r="J414" s="115"/>
      <c r="K414" s="115"/>
      <c r="L414" s="115"/>
      <c r="M414" s="115"/>
      <c r="N414" s="115"/>
      <c r="O414" s="115"/>
      <c r="P414" s="115"/>
    </row>
    <row r="415" spans="10:16" ht="12.5" x14ac:dyDescent="0.25">
      <c r="J415" s="115"/>
      <c r="K415" s="115"/>
      <c r="L415" s="115"/>
      <c r="M415" s="115"/>
      <c r="N415" s="115"/>
      <c r="O415" s="115"/>
      <c r="P415" s="115"/>
    </row>
    <row r="416" spans="10:16" ht="12.5" x14ac:dyDescent="0.25">
      <c r="J416" s="115"/>
      <c r="K416" s="115"/>
      <c r="L416" s="115"/>
      <c r="M416" s="115"/>
      <c r="N416" s="115"/>
      <c r="O416" s="115"/>
      <c r="P416" s="115"/>
    </row>
    <row r="417" spans="10:16" ht="12.5" x14ac:dyDescent="0.25">
      <c r="J417" s="115"/>
      <c r="K417" s="115"/>
      <c r="L417" s="115"/>
      <c r="M417" s="115"/>
      <c r="N417" s="115"/>
      <c r="O417" s="115"/>
      <c r="P417" s="115"/>
    </row>
    <row r="418" spans="10:16" ht="12.5" x14ac:dyDescent="0.25">
      <c r="J418" s="115"/>
      <c r="K418" s="115"/>
      <c r="L418" s="115"/>
      <c r="M418" s="115"/>
      <c r="N418" s="115"/>
      <c r="O418" s="115"/>
      <c r="P418" s="115"/>
    </row>
    <row r="419" spans="10:16" ht="12.5" x14ac:dyDescent="0.25">
      <c r="J419" s="115"/>
      <c r="K419" s="115"/>
      <c r="L419" s="115"/>
      <c r="M419" s="115"/>
      <c r="N419" s="115"/>
      <c r="O419" s="115"/>
      <c r="P419" s="115"/>
    </row>
    <row r="420" spans="10:16" ht="12.5" x14ac:dyDescent="0.25">
      <c r="J420" s="115"/>
      <c r="K420" s="115"/>
      <c r="L420" s="115"/>
      <c r="M420" s="115"/>
      <c r="N420" s="115"/>
      <c r="O420" s="115"/>
      <c r="P420" s="115"/>
    </row>
    <row r="421" spans="10:16" ht="12.5" x14ac:dyDescent="0.25">
      <c r="J421" s="115"/>
      <c r="K421" s="115"/>
      <c r="L421" s="115"/>
      <c r="M421" s="115"/>
      <c r="N421" s="115"/>
      <c r="O421" s="115"/>
      <c r="P421" s="115"/>
    </row>
    <row r="422" spans="10:16" ht="12.5" x14ac:dyDescent="0.25">
      <c r="J422" s="115"/>
      <c r="K422" s="115"/>
      <c r="L422" s="115"/>
      <c r="M422" s="115"/>
      <c r="N422" s="115"/>
      <c r="O422" s="115"/>
      <c r="P422" s="115"/>
    </row>
    <row r="423" spans="10:16" ht="12.5" x14ac:dyDescent="0.25">
      <c r="J423" s="115"/>
      <c r="K423" s="115"/>
      <c r="L423" s="115"/>
      <c r="M423" s="115"/>
      <c r="N423" s="115"/>
      <c r="O423" s="115"/>
      <c r="P423" s="115"/>
    </row>
    <row r="424" spans="10:16" ht="12.5" x14ac:dyDescent="0.25">
      <c r="J424" s="115"/>
      <c r="K424" s="115"/>
      <c r="L424" s="115"/>
      <c r="M424" s="115"/>
      <c r="N424" s="115"/>
      <c r="O424" s="115"/>
      <c r="P424" s="115"/>
    </row>
    <row r="425" spans="10:16" ht="12.5" x14ac:dyDescent="0.25">
      <c r="J425" s="115"/>
      <c r="K425" s="115"/>
      <c r="L425" s="115"/>
      <c r="M425" s="115"/>
      <c r="N425" s="115"/>
      <c r="O425" s="115"/>
      <c r="P425" s="115"/>
    </row>
    <row r="426" spans="10:16" ht="12.5" x14ac:dyDescent="0.25">
      <c r="J426" s="115"/>
      <c r="K426" s="115"/>
      <c r="L426" s="115"/>
      <c r="M426" s="115"/>
      <c r="N426" s="115"/>
      <c r="O426" s="115"/>
      <c r="P426" s="115"/>
    </row>
    <row r="427" spans="10:16" ht="12.5" x14ac:dyDescent="0.25">
      <c r="J427" s="115"/>
      <c r="K427" s="115"/>
      <c r="L427" s="115"/>
      <c r="M427" s="115"/>
      <c r="N427" s="115"/>
      <c r="O427" s="115"/>
      <c r="P427" s="115"/>
    </row>
    <row r="428" spans="10:16" ht="12.5" x14ac:dyDescent="0.25">
      <c r="J428" s="115"/>
      <c r="K428" s="115"/>
      <c r="L428" s="115"/>
      <c r="M428" s="115"/>
      <c r="N428" s="115"/>
      <c r="O428" s="115"/>
      <c r="P428" s="115"/>
    </row>
    <row r="429" spans="10:16" ht="12.5" x14ac:dyDescent="0.25">
      <c r="J429" s="115"/>
      <c r="K429" s="115"/>
      <c r="L429" s="115"/>
      <c r="M429" s="115"/>
      <c r="N429" s="115"/>
      <c r="O429" s="115"/>
      <c r="P429" s="115"/>
    </row>
    <row r="430" spans="10:16" ht="12.5" x14ac:dyDescent="0.25">
      <c r="J430" s="115"/>
      <c r="K430" s="115"/>
      <c r="L430" s="115"/>
      <c r="M430" s="115"/>
      <c r="N430" s="115"/>
      <c r="O430" s="115"/>
      <c r="P430" s="115"/>
    </row>
    <row r="431" spans="10:16" ht="12.5" x14ac:dyDescent="0.25">
      <c r="J431" s="115"/>
      <c r="K431" s="115"/>
      <c r="L431" s="115"/>
      <c r="M431" s="115"/>
      <c r="N431" s="115"/>
      <c r="O431" s="115"/>
      <c r="P431" s="115"/>
    </row>
    <row r="432" spans="10:16" ht="12.5" x14ac:dyDescent="0.25">
      <c r="J432" s="115"/>
      <c r="K432" s="115"/>
      <c r="L432" s="115"/>
      <c r="M432" s="115"/>
      <c r="N432" s="115"/>
      <c r="O432" s="115"/>
      <c r="P432" s="115"/>
    </row>
    <row r="433" spans="10:16" ht="12.5" x14ac:dyDescent="0.25">
      <c r="J433" s="115"/>
      <c r="K433" s="115"/>
      <c r="L433" s="115"/>
      <c r="M433" s="115"/>
      <c r="N433" s="115"/>
      <c r="O433" s="115"/>
      <c r="P433" s="115"/>
    </row>
    <row r="434" spans="10:16" ht="12.5" x14ac:dyDescent="0.25">
      <c r="J434" s="115"/>
      <c r="K434" s="115"/>
      <c r="L434" s="115"/>
      <c r="M434" s="115"/>
      <c r="N434" s="115"/>
      <c r="O434" s="115"/>
      <c r="P434" s="115"/>
    </row>
    <row r="435" spans="10:16" ht="12.5" x14ac:dyDescent="0.25">
      <c r="J435" s="115"/>
      <c r="K435" s="115"/>
      <c r="L435" s="115"/>
      <c r="M435" s="115"/>
      <c r="N435" s="115"/>
      <c r="O435" s="115"/>
      <c r="P435" s="115"/>
    </row>
    <row r="436" spans="10:16" ht="12.5" x14ac:dyDescent="0.25">
      <c r="J436" s="115"/>
      <c r="K436" s="115"/>
      <c r="L436" s="115"/>
      <c r="M436" s="115"/>
      <c r="N436" s="115"/>
      <c r="O436" s="115"/>
      <c r="P436" s="115"/>
    </row>
    <row r="437" spans="10:16" ht="12.5" x14ac:dyDescent="0.25">
      <c r="J437" s="115"/>
      <c r="K437" s="115"/>
      <c r="L437" s="115"/>
      <c r="M437" s="115"/>
      <c r="N437" s="115"/>
      <c r="O437" s="115"/>
      <c r="P437" s="115"/>
    </row>
    <row r="438" spans="10:16" ht="12.5" x14ac:dyDescent="0.25">
      <c r="J438" s="115"/>
      <c r="K438" s="115"/>
      <c r="L438" s="115"/>
      <c r="M438" s="115"/>
      <c r="N438" s="115"/>
      <c r="O438" s="115"/>
      <c r="P438" s="115"/>
    </row>
    <row r="439" spans="10:16" ht="12.5" x14ac:dyDescent="0.25">
      <c r="J439" s="115"/>
      <c r="K439" s="115"/>
      <c r="L439" s="115"/>
      <c r="M439" s="115"/>
      <c r="N439" s="115"/>
      <c r="O439" s="115"/>
      <c r="P439" s="115"/>
    </row>
    <row r="440" spans="10:16" ht="12.5" x14ac:dyDescent="0.25">
      <c r="J440" s="115"/>
      <c r="K440" s="115"/>
      <c r="L440" s="115"/>
      <c r="M440" s="115"/>
      <c r="N440" s="115"/>
      <c r="O440" s="115"/>
      <c r="P440" s="115"/>
    </row>
    <row r="441" spans="10:16" ht="12.5" x14ac:dyDescent="0.25">
      <c r="J441" s="115"/>
      <c r="K441" s="115"/>
      <c r="L441" s="115"/>
      <c r="M441" s="115"/>
      <c r="N441" s="115"/>
      <c r="O441" s="115"/>
      <c r="P441" s="115"/>
    </row>
    <row r="442" spans="10:16" ht="12.5" x14ac:dyDescent="0.25">
      <c r="J442" s="115"/>
      <c r="K442" s="115"/>
      <c r="L442" s="115"/>
      <c r="M442" s="115"/>
      <c r="N442" s="115"/>
      <c r="O442" s="115"/>
      <c r="P442" s="115"/>
    </row>
    <row r="443" spans="10:16" ht="12.5" x14ac:dyDescent="0.25">
      <c r="J443" s="115"/>
      <c r="K443" s="115"/>
      <c r="L443" s="115"/>
      <c r="M443" s="115"/>
      <c r="N443" s="115"/>
      <c r="O443" s="115"/>
      <c r="P443" s="115"/>
    </row>
    <row r="444" spans="10:16" ht="12.5" x14ac:dyDescent="0.25">
      <c r="J444" s="115"/>
      <c r="K444" s="115"/>
      <c r="L444" s="115"/>
      <c r="M444" s="115"/>
      <c r="N444" s="115"/>
      <c r="O444" s="115"/>
      <c r="P444" s="115"/>
    </row>
    <row r="445" spans="10:16" ht="12.5" x14ac:dyDescent="0.25">
      <c r="J445" s="115"/>
      <c r="K445" s="115"/>
      <c r="L445" s="115"/>
      <c r="M445" s="115"/>
      <c r="N445" s="115"/>
      <c r="O445" s="115"/>
      <c r="P445" s="115"/>
    </row>
    <row r="446" spans="10:16" ht="12.5" x14ac:dyDescent="0.25">
      <c r="J446" s="115"/>
      <c r="K446" s="115"/>
      <c r="L446" s="115"/>
      <c r="M446" s="115"/>
      <c r="N446" s="115"/>
      <c r="O446" s="115"/>
      <c r="P446" s="115"/>
    </row>
    <row r="447" spans="10:16" ht="12.5" x14ac:dyDescent="0.25">
      <c r="J447" s="115"/>
      <c r="K447" s="115"/>
      <c r="L447" s="115"/>
      <c r="M447" s="115"/>
      <c r="N447" s="115"/>
      <c r="O447" s="115"/>
      <c r="P447" s="115"/>
    </row>
    <row r="448" spans="10:16" ht="12.5" x14ac:dyDescent="0.25">
      <c r="J448" s="115"/>
      <c r="K448" s="115"/>
      <c r="L448" s="115"/>
      <c r="M448" s="115"/>
      <c r="N448" s="115"/>
      <c r="O448" s="115"/>
      <c r="P448" s="115"/>
    </row>
    <row r="449" spans="10:16" ht="12.5" x14ac:dyDescent="0.25">
      <c r="J449" s="115"/>
      <c r="K449" s="115"/>
      <c r="L449" s="115"/>
      <c r="M449" s="115"/>
      <c r="N449" s="115"/>
      <c r="O449" s="115"/>
      <c r="P449" s="115"/>
    </row>
    <row r="450" spans="10:16" ht="12.5" x14ac:dyDescent="0.25">
      <c r="J450" s="115"/>
      <c r="K450" s="115"/>
      <c r="L450" s="115"/>
      <c r="M450" s="115"/>
      <c r="N450" s="115"/>
      <c r="O450" s="115"/>
      <c r="P450" s="115"/>
    </row>
    <row r="451" spans="10:16" ht="12.5" x14ac:dyDescent="0.25">
      <c r="J451" s="115"/>
      <c r="K451" s="115"/>
      <c r="L451" s="115"/>
      <c r="M451" s="115"/>
      <c r="N451" s="115"/>
      <c r="O451" s="115"/>
      <c r="P451" s="115"/>
    </row>
    <row r="452" spans="10:16" ht="12.5" x14ac:dyDescent="0.25">
      <c r="J452" s="115"/>
      <c r="K452" s="115"/>
      <c r="L452" s="115"/>
      <c r="M452" s="115"/>
      <c r="N452" s="115"/>
      <c r="O452" s="115"/>
      <c r="P452" s="115"/>
    </row>
    <row r="453" spans="10:16" ht="12.5" x14ac:dyDescent="0.25">
      <c r="J453" s="115"/>
      <c r="K453" s="115"/>
      <c r="L453" s="115"/>
      <c r="M453" s="115"/>
      <c r="N453" s="115"/>
      <c r="O453" s="115"/>
      <c r="P453" s="115"/>
    </row>
    <row r="454" spans="10:16" ht="12.5" x14ac:dyDescent="0.25">
      <c r="J454" s="115"/>
      <c r="K454" s="115"/>
      <c r="L454" s="115"/>
      <c r="M454" s="115"/>
      <c r="N454" s="115"/>
      <c r="O454" s="115"/>
      <c r="P454" s="115"/>
    </row>
    <row r="455" spans="10:16" ht="12.5" x14ac:dyDescent="0.25">
      <c r="J455" s="115"/>
      <c r="K455" s="115"/>
      <c r="L455" s="115"/>
      <c r="M455" s="115"/>
      <c r="N455" s="115"/>
      <c r="O455" s="115"/>
      <c r="P455" s="115"/>
    </row>
    <row r="456" spans="10:16" ht="12.5" x14ac:dyDescent="0.25">
      <c r="J456" s="115"/>
      <c r="K456" s="115"/>
      <c r="L456" s="115"/>
      <c r="M456" s="115"/>
      <c r="N456" s="115"/>
      <c r="O456" s="115"/>
      <c r="P456" s="115"/>
    </row>
    <row r="457" spans="10:16" ht="12.5" x14ac:dyDescent="0.25">
      <c r="J457" s="115"/>
      <c r="K457" s="115"/>
      <c r="L457" s="115"/>
      <c r="M457" s="115"/>
      <c r="N457" s="115"/>
      <c r="O457" s="115"/>
      <c r="P457" s="115"/>
    </row>
    <row r="458" spans="10:16" ht="12.5" x14ac:dyDescent="0.25">
      <c r="J458" s="115"/>
      <c r="K458" s="115"/>
      <c r="L458" s="115"/>
      <c r="M458" s="115"/>
      <c r="N458" s="115"/>
      <c r="O458" s="115"/>
      <c r="P458" s="115"/>
    </row>
    <row r="459" spans="10:16" ht="12.5" x14ac:dyDescent="0.25">
      <c r="J459" s="115"/>
      <c r="K459" s="115"/>
      <c r="L459" s="115"/>
      <c r="M459" s="115"/>
      <c r="N459" s="115"/>
      <c r="O459" s="115"/>
      <c r="P459" s="115"/>
    </row>
    <row r="460" spans="10:16" ht="12.5" x14ac:dyDescent="0.25">
      <c r="J460" s="115"/>
      <c r="K460" s="115"/>
      <c r="L460" s="115"/>
      <c r="M460" s="115"/>
      <c r="N460" s="115"/>
      <c r="O460" s="115"/>
      <c r="P460" s="115"/>
    </row>
    <row r="461" spans="10:16" ht="12.5" x14ac:dyDescent="0.25">
      <c r="J461" s="115"/>
      <c r="K461" s="115"/>
      <c r="L461" s="115"/>
      <c r="M461" s="115"/>
      <c r="N461" s="115"/>
      <c r="O461" s="115"/>
      <c r="P461" s="115"/>
    </row>
    <row r="462" spans="10:16" ht="12.5" x14ac:dyDescent="0.25">
      <c r="J462" s="115"/>
      <c r="K462" s="115"/>
      <c r="L462" s="115"/>
      <c r="M462" s="115"/>
      <c r="N462" s="115"/>
      <c r="O462" s="115"/>
      <c r="P462" s="115"/>
    </row>
    <row r="463" spans="10:16" ht="12.5" x14ac:dyDescent="0.25">
      <c r="J463" s="115"/>
      <c r="K463" s="115"/>
      <c r="L463" s="115"/>
      <c r="M463" s="115"/>
      <c r="N463" s="115"/>
      <c r="O463" s="115"/>
      <c r="P463" s="115"/>
    </row>
    <row r="464" spans="10:16" ht="12.5" x14ac:dyDescent="0.25">
      <c r="J464" s="115"/>
      <c r="K464" s="115"/>
      <c r="L464" s="115"/>
      <c r="M464" s="115"/>
      <c r="N464" s="115"/>
      <c r="O464" s="115"/>
      <c r="P464" s="115"/>
    </row>
    <row r="465" spans="10:16" ht="12.5" x14ac:dyDescent="0.25">
      <c r="J465" s="115"/>
      <c r="K465" s="115"/>
      <c r="L465" s="115"/>
      <c r="M465" s="115"/>
      <c r="N465" s="115"/>
      <c r="O465" s="115"/>
      <c r="P465" s="115"/>
    </row>
    <row r="466" spans="10:16" ht="12.5" x14ac:dyDescent="0.25">
      <c r="J466" s="115"/>
      <c r="K466" s="115"/>
      <c r="L466" s="115"/>
      <c r="M466" s="115"/>
      <c r="N466" s="115"/>
      <c r="O466" s="115"/>
      <c r="P466" s="115"/>
    </row>
    <row r="467" spans="10:16" ht="12.5" x14ac:dyDescent="0.25">
      <c r="J467" s="115"/>
      <c r="K467" s="115"/>
      <c r="L467" s="115"/>
      <c r="M467" s="115"/>
      <c r="N467" s="115"/>
      <c r="O467" s="115"/>
      <c r="P467" s="115"/>
    </row>
    <row r="468" spans="10:16" ht="12.5" x14ac:dyDescent="0.25">
      <c r="J468" s="115"/>
      <c r="K468" s="115"/>
      <c r="L468" s="115"/>
      <c r="M468" s="115"/>
      <c r="N468" s="115"/>
      <c r="O468" s="115"/>
      <c r="P468" s="115"/>
    </row>
    <row r="469" spans="10:16" ht="12.5" x14ac:dyDescent="0.25">
      <c r="J469" s="115"/>
      <c r="K469" s="115"/>
      <c r="L469" s="115"/>
      <c r="M469" s="115"/>
      <c r="N469" s="115"/>
      <c r="O469" s="115"/>
      <c r="P469" s="115"/>
    </row>
    <row r="470" spans="10:16" ht="12.5" x14ac:dyDescent="0.25">
      <c r="J470" s="115"/>
      <c r="K470" s="115"/>
      <c r="L470" s="115"/>
      <c r="M470" s="115"/>
      <c r="N470" s="115"/>
      <c r="O470" s="115"/>
      <c r="P470" s="115"/>
    </row>
    <row r="471" spans="10:16" ht="12.5" x14ac:dyDescent="0.25">
      <c r="J471" s="115"/>
      <c r="K471" s="115"/>
      <c r="L471" s="115"/>
      <c r="M471" s="115"/>
      <c r="N471" s="115"/>
      <c r="O471" s="115"/>
      <c r="P471" s="115"/>
    </row>
    <row r="472" spans="10:16" ht="12.5" x14ac:dyDescent="0.25">
      <c r="J472" s="115"/>
      <c r="K472" s="115"/>
      <c r="L472" s="115"/>
      <c r="M472" s="115"/>
      <c r="N472" s="115"/>
      <c r="O472" s="115"/>
      <c r="P472" s="115"/>
    </row>
    <row r="473" spans="10:16" ht="12.5" x14ac:dyDescent="0.25">
      <c r="J473" s="115"/>
      <c r="K473" s="115"/>
      <c r="L473" s="115"/>
      <c r="M473" s="115"/>
      <c r="N473" s="115"/>
      <c r="O473" s="115"/>
      <c r="P473" s="115"/>
    </row>
    <row r="474" spans="10:16" ht="12.5" x14ac:dyDescent="0.25">
      <c r="J474" s="115"/>
      <c r="K474" s="115"/>
      <c r="L474" s="115"/>
      <c r="M474" s="115"/>
      <c r="N474" s="115"/>
      <c r="O474" s="115"/>
      <c r="P474" s="115"/>
    </row>
    <row r="475" spans="10:16" ht="12.5" x14ac:dyDescent="0.25">
      <c r="J475" s="115"/>
      <c r="K475" s="115"/>
      <c r="L475" s="115"/>
      <c r="M475" s="115"/>
      <c r="N475" s="115"/>
      <c r="O475" s="115"/>
      <c r="P475" s="115"/>
    </row>
    <row r="476" spans="10:16" ht="12.5" x14ac:dyDescent="0.25">
      <c r="J476" s="115"/>
      <c r="K476" s="115"/>
      <c r="L476" s="115"/>
      <c r="M476" s="115"/>
      <c r="N476" s="115"/>
      <c r="O476" s="115"/>
      <c r="P476" s="115"/>
    </row>
    <row r="477" spans="10:16" ht="12.5" x14ac:dyDescent="0.25">
      <c r="J477" s="115"/>
      <c r="K477" s="115"/>
      <c r="L477" s="115"/>
      <c r="M477" s="115"/>
      <c r="N477" s="115"/>
      <c r="O477" s="115"/>
      <c r="P477" s="115"/>
    </row>
    <row r="478" spans="10:16" ht="12.5" x14ac:dyDescent="0.25">
      <c r="J478" s="115"/>
      <c r="K478" s="115"/>
      <c r="L478" s="115"/>
      <c r="M478" s="115"/>
      <c r="N478" s="115"/>
      <c r="O478" s="115"/>
      <c r="P478" s="115"/>
    </row>
    <row r="479" spans="10:16" ht="12.5" x14ac:dyDescent="0.25">
      <c r="J479" s="115"/>
      <c r="K479" s="115"/>
      <c r="L479" s="115"/>
      <c r="M479" s="115"/>
      <c r="N479" s="115"/>
      <c r="O479" s="115"/>
      <c r="P479" s="115"/>
    </row>
    <row r="480" spans="10:16" ht="12.5" x14ac:dyDescent="0.25">
      <c r="J480" s="115"/>
      <c r="K480" s="115"/>
      <c r="L480" s="115"/>
      <c r="M480" s="115"/>
      <c r="N480" s="115"/>
      <c r="O480" s="115"/>
      <c r="P480" s="115"/>
    </row>
    <row r="481" spans="10:16" ht="12.5" x14ac:dyDescent="0.25">
      <c r="J481" s="115"/>
      <c r="K481" s="115"/>
      <c r="L481" s="115"/>
      <c r="M481" s="115"/>
      <c r="N481" s="115"/>
      <c r="O481" s="115"/>
      <c r="P481" s="115"/>
    </row>
    <row r="482" spans="10:16" ht="12.5" x14ac:dyDescent="0.25">
      <c r="J482" s="115"/>
      <c r="K482" s="115"/>
      <c r="L482" s="115"/>
      <c r="M482" s="115"/>
      <c r="N482" s="115"/>
      <c r="O482" s="115"/>
      <c r="P482" s="115"/>
    </row>
    <row r="483" spans="10:16" ht="12.5" x14ac:dyDescent="0.25">
      <c r="J483" s="115"/>
      <c r="K483" s="115"/>
      <c r="L483" s="115"/>
      <c r="M483" s="115"/>
      <c r="N483" s="115"/>
      <c r="O483" s="115"/>
      <c r="P483" s="115"/>
    </row>
    <row r="484" spans="10:16" ht="12.5" x14ac:dyDescent="0.25">
      <c r="J484" s="115"/>
      <c r="K484" s="115"/>
      <c r="L484" s="115"/>
      <c r="M484" s="115"/>
      <c r="N484" s="115"/>
      <c r="O484" s="115"/>
      <c r="P484" s="115"/>
    </row>
    <row r="485" spans="10:16" ht="12.5" x14ac:dyDescent="0.25">
      <c r="J485" s="115"/>
      <c r="K485" s="115"/>
      <c r="L485" s="115"/>
      <c r="M485" s="115"/>
      <c r="N485" s="115"/>
      <c r="O485" s="115"/>
      <c r="P485" s="115"/>
    </row>
    <row r="486" spans="10:16" ht="12.5" x14ac:dyDescent="0.25">
      <c r="J486" s="115"/>
      <c r="K486" s="115"/>
      <c r="L486" s="115"/>
      <c r="M486" s="115"/>
      <c r="N486" s="115"/>
      <c r="O486" s="115"/>
      <c r="P486" s="115"/>
    </row>
    <row r="487" spans="10:16" ht="12.5" x14ac:dyDescent="0.25">
      <c r="J487" s="115"/>
      <c r="K487" s="115"/>
      <c r="L487" s="115"/>
      <c r="M487" s="115"/>
      <c r="N487" s="115"/>
      <c r="O487" s="115"/>
      <c r="P487" s="115"/>
    </row>
    <row r="488" spans="10:16" ht="12.5" x14ac:dyDescent="0.25">
      <c r="J488" s="115"/>
      <c r="K488" s="115"/>
      <c r="L488" s="115"/>
      <c r="M488" s="115"/>
      <c r="N488" s="115"/>
      <c r="O488" s="115"/>
      <c r="P488" s="115"/>
    </row>
    <row r="489" spans="10:16" ht="12.5" x14ac:dyDescent="0.25">
      <c r="J489" s="115"/>
      <c r="K489" s="115"/>
      <c r="L489" s="115"/>
      <c r="M489" s="115"/>
      <c r="N489" s="115"/>
      <c r="O489" s="115"/>
      <c r="P489" s="115"/>
    </row>
    <row r="490" spans="10:16" ht="12.5" x14ac:dyDescent="0.25">
      <c r="J490" s="115"/>
      <c r="K490" s="115"/>
      <c r="L490" s="115"/>
      <c r="M490" s="115"/>
      <c r="N490" s="115"/>
      <c r="O490" s="115"/>
      <c r="P490" s="115"/>
    </row>
    <row r="491" spans="10:16" ht="12.5" x14ac:dyDescent="0.25">
      <c r="J491" s="115"/>
      <c r="K491" s="115"/>
      <c r="L491" s="115"/>
      <c r="M491" s="115"/>
      <c r="N491" s="115"/>
      <c r="O491" s="115"/>
      <c r="P491" s="115"/>
    </row>
    <row r="492" spans="10:16" ht="12.5" x14ac:dyDescent="0.25">
      <c r="J492" s="115"/>
      <c r="K492" s="115"/>
      <c r="L492" s="115"/>
      <c r="M492" s="115"/>
      <c r="N492" s="115"/>
      <c r="O492" s="115"/>
      <c r="P492" s="115"/>
    </row>
    <row r="493" spans="10:16" ht="12.5" x14ac:dyDescent="0.25">
      <c r="J493" s="115"/>
      <c r="K493" s="115"/>
      <c r="L493" s="115"/>
      <c r="M493" s="115"/>
      <c r="N493" s="115"/>
      <c r="O493" s="115"/>
      <c r="P493" s="115"/>
    </row>
    <row r="494" spans="10:16" ht="12.5" x14ac:dyDescent="0.25">
      <c r="J494" s="115"/>
      <c r="K494" s="115"/>
      <c r="L494" s="115"/>
      <c r="M494" s="115"/>
      <c r="N494" s="115"/>
      <c r="O494" s="115"/>
      <c r="P494" s="115"/>
    </row>
    <row r="495" spans="10:16" ht="12.5" x14ac:dyDescent="0.25">
      <c r="J495" s="115"/>
      <c r="K495" s="115"/>
      <c r="L495" s="115"/>
      <c r="M495" s="115"/>
      <c r="N495" s="115"/>
      <c r="O495" s="115"/>
      <c r="P495" s="115"/>
    </row>
    <row r="496" spans="10:16" ht="12.5" x14ac:dyDescent="0.25">
      <c r="J496" s="115"/>
      <c r="K496" s="115"/>
      <c r="L496" s="115"/>
      <c r="M496" s="115"/>
      <c r="N496" s="115"/>
      <c r="O496" s="115"/>
      <c r="P496" s="115"/>
    </row>
    <row r="497" spans="10:16" ht="12.5" x14ac:dyDescent="0.25">
      <c r="J497" s="115"/>
      <c r="K497" s="115"/>
      <c r="L497" s="115"/>
      <c r="M497" s="115"/>
      <c r="N497" s="115"/>
      <c r="O497" s="115"/>
      <c r="P497" s="115"/>
    </row>
    <row r="498" spans="10:16" ht="12.5" x14ac:dyDescent="0.25">
      <c r="J498" s="115"/>
      <c r="K498" s="115"/>
      <c r="L498" s="115"/>
      <c r="M498" s="115"/>
      <c r="N498" s="115"/>
      <c r="O498" s="115"/>
      <c r="P498" s="115"/>
    </row>
    <row r="499" spans="10:16" ht="12.5" x14ac:dyDescent="0.25">
      <c r="J499" s="115"/>
      <c r="K499" s="115"/>
      <c r="L499" s="115"/>
      <c r="M499" s="115"/>
      <c r="N499" s="115"/>
      <c r="O499" s="115"/>
      <c r="P499" s="115"/>
    </row>
    <row r="500" spans="10:16" ht="12.5" x14ac:dyDescent="0.25">
      <c r="J500" s="115"/>
      <c r="K500" s="115"/>
      <c r="L500" s="115"/>
      <c r="M500" s="115"/>
      <c r="N500" s="115"/>
      <c r="O500" s="115"/>
      <c r="P500" s="115"/>
    </row>
    <row r="501" spans="10:16" ht="12.5" x14ac:dyDescent="0.25">
      <c r="J501" s="115"/>
      <c r="K501" s="115"/>
      <c r="L501" s="115"/>
      <c r="M501" s="115"/>
      <c r="N501" s="115"/>
      <c r="O501" s="115"/>
      <c r="P501" s="115"/>
    </row>
    <row r="502" spans="10:16" ht="12.5" x14ac:dyDescent="0.25">
      <c r="J502" s="115"/>
      <c r="K502" s="115"/>
      <c r="L502" s="115"/>
      <c r="M502" s="115"/>
      <c r="N502" s="115"/>
      <c r="O502" s="115"/>
      <c r="P502" s="115"/>
    </row>
    <row r="503" spans="10:16" ht="12.5" x14ac:dyDescent="0.25">
      <c r="J503" s="115"/>
      <c r="K503" s="115"/>
      <c r="L503" s="115"/>
      <c r="M503" s="115"/>
      <c r="N503" s="115"/>
      <c r="O503" s="115"/>
      <c r="P503" s="115"/>
    </row>
    <row r="504" spans="10:16" ht="12.5" x14ac:dyDescent="0.25">
      <c r="J504" s="115"/>
      <c r="K504" s="115"/>
      <c r="L504" s="115"/>
      <c r="M504" s="115"/>
      <c r="N504" s="115"/>
      <c r="O504" s="115"/>
      <c r="P504" s="115"/>
    </row>
    <row r="505" spans="10:16" ht="12.5" x14ac:dyDescent="0.25">
      <c r="J505" s="115"/>
      <c r="K505" s="115"/>
      <c r="L505" s="115"/>
      <c r="M505" s="115"/>
      <c r="N505" s="115"/>
      <c r="O505" s="115"/>
      <c r="P505" s="115"/>
    </row>
    <row r="506" spans="10:16" ht="12.5" x14ac:dyDescent="0.25">
      <c r="J506" s="115"/>
      <c r="K506" s="115"/>
      <c r="L506" s="115"/>
      <c r="M506" s="115"/>
      <c r="N506" s="115"/>
      <c r="O506" s="115"/>
      <c r="P506" s="115"/>
    </row>
    <row r="507" spans="10:16" ht="12.5" x14ac:dyDescent="0.25">
      <c r="J507" s="115"/>
      <c r="K507" s="115"/>
      <c r="L507" s="115"/>
      <c r="M507" s="115"/>
      <c r="N507" s="115"/>
      <c r="O507" s="115"/>
      <c r="P507" s="115"/>
    </row>
    <row r="508" spans="10:16" ht="12.5" x14ac:dyDescent="0.25">
      <c r="J508" s="115"/>
      <c r="K508" s="115"/>
      <c r="L508" s="115"/>
      <c r="M508" s="115"/>
      <c r="N508" s="115"/>
      <c r="O508" s="115"/>
      <c r="P508" s="115"/>
    </row>
    <row r="509" spans="10:16" ht="12.5" x14ac:dyDescent="0.25">
      <c r="J509" s="115"/>
      <c r="K509" s="115"/>
      <c r="L509" s="115"/>
      <c r="M509" s="115"/>
      <c r="N509" s="115"/>
      <c r="O509" s="115"/>
      <c r="P509" s="115"/>
    </row>
    <row r="510" spans="10:16" ht="12.5" x14ac:dyDescent="0.25">
      <c r="J510" s="115"/>
      <c r="K510" s="115"/>
      <c r="L510" s="115"/>
      <c r="M510" s="115"/>
      <c r="N510" s="115"/>
      <c r="O510" s="115"/>
      <c r="P510" s="115"/>
    </row>
    <row r="511" spans="10:16" ht="12.5" x14ac:dyDescent="0.25">
      <c r="J511" s="115"/>
      <c r="K511" s="115"/>
      <c r="L511" s="115"/>
      <c r="M511" s="115"/>
      <c r="N511" s="115"/>
      <c r="O511" s="115"/>
      <c r="P511" s="115"/>
    </row>
    <row r="512" spans="10:16" ht="12.5" x14ac:dyDescent="0.25">
      <c r="J512" s="115"/>
      <c r="K512" s="115"/>
      <c r="L512" s="115"/>
      <c r="M512" s="115"/>
      <c r="N512" s="115"/>
      <c r="O512" s="115"/>
      <c r="P512" s="115"/>
    </row>
    <row r="513" spans="10:16" ht="12.5" x14ac:dyDescent="0.25">
      <c r="J513" s="115"/>
      <c r="K513" s="115"/>
      <c r="L513" s="115"/>
      <c r="M513" s="115"/>
      <c r="N513" s="115"/>
      <c r="O513" s="115"/>
      <c r="P513" s="115"/>
    </row>
    <row r="514" spans="10:16" ht="12.5" x14ac:dyDescent="0.25">
      <c r="J514" s="115"/>
      <c r="K514" s="115"/>
      <c r="L514" s="115"/>
      <c r="M514" s="115"/>
      <c r="N514" s="115"/>
      <c r="O514" s="115"/>
      <c r="P514" s="115"/>
    </row>
    <row r="515" spans="10:16" ht="12.5" x14ac:dyDescent="0.25">
      <c r="J515" s="115"/>
      <c r="K515" s="115"/>
      <c r="L515" s="115"/>
      <c r="M515" s="115"/>
      <c r="N515" s="115"/>
      <c r="O515" s="115"/>
      <c r="P515" s="115"/>
    </row>
    <row r="516" spans="10:16" ht="12.5" x14ac:dyDescent="0.25">
      <c r="J516" s="115"/>
      <c r="K516" s="115"/>
      <c r="L516" s="115"/>
      <c r="M516" s="115"/>
      <c r="N516" s="115"/>
      <c r="O516" s="115"/>
      <c r="P516" s="115"/>
    </row>
    <row r="517" spans="10:16" ht="12.5" x14ac:dyDescent="0.25">
      <c r="J517" s="115"/>
      <c r="K517" s="115"/>
      <c r="L517" s="115"/>
      <c r="M517" s="115"/>
      <c r="N517" s="115"/>
      <c r="O517" s="115"/>
      <c r="P517" s="115"/>
    </row>
    <row r="518" spans="10:16" ht="12.5" x14ac:dyDescent="0.25">
      <c r="J518" s="115"/>
      <c r="K518" s="115"/>
      <c r="L518" s="115"/>
      <c r="M518" s="115"/>
      <c r="N518" s="115"/>
      <c r="O518" s="115"/>
      <c r="P518" s="115"/>
    </row>
    <row r="519" spans="10:16" ht="12.5" x14ac:dyDescent="0.25">
      <c r="J519" s="115"/>
      <c r="K519" s="115"/>
      <c r="L519" s="115"/>
      <c r="M519" s="115"/>
      <c r="N519" s="115"/>
      <c r="O519" s="115"/>
      <c r="P519" s="115"/>
    </row>
    <row r="520" spans="10:16" ht="12.5" x14ac:dyDescent="0.25">
      <c r="J520" s="115"/>
      <c r="K520" s="115"/>
      <c r="L520" s="115"/>
      <c r="M520" s="115"/>
      <c r="N520" s="115"/>
      <c r="O520" s="115"/>
      <c r="P520" s="115"/>
    </row>
    <row r="521" spans="10:16" ht="12.5" x14ac:dyDescent="0.25">
      <c r="J521" s="115"/>
      <c r="K521" s="115"/>
      <c r="L521" s="115"/>
      <c r="M521" s="115"/>
      <c r="N521" s="115"/>
      <c r="O521" s="115"/>
      <c r="P521" s="115"/>
    </row>
    <row r="522" spans="10:16" ht="12.5" x14ac:dyDescent="0.25">
      <c r="J522" s="115"/>
      <c r="K522" s="115"/>
      <c r="L522" s="115"/>
      <c r="M522" s="115"/>
      <c r="N522" s="115"/>
      <c r="O522" s="115"/>
      <c r="P522" s="115"/>
    </row>
    <row r="523" spans="10:16" ht="12.5" x14ac:dyDescent="0.25">
      <c r="J523" s="115"/>
      <c r="K523" s="115"/>
      <c r="L523" s="115"/>
      <c r="M523" s="115"/>
      <c r="N523" s="115"/>
      <c r="O523" s="115"/>
      <c r="P523" s="115"/>
    </row>
    <row r="524" spans="10:16" ht="12.5" x14ac:dyDescent="0.25">
      <c r="J524" s="115"/>
      <c r="K524" s="115"/>
      <c r="L524" s="115"/>
      <c r="M524" s="115"/>
      <c r="N524" s="115"/>
      <c r="O524" s="115"/>
      <c r="P524" s="115"/>
    </row>
    <row r="525" spans="10:16" ht="12.5" x14ac:dyDescent="0.25">
      <c r="J525" s="115"/>
      <c r="K525" s="115"/>
      <c r="L525" s="115"/>
      <c r="M525" s="115"/>
      <c r="N525" s="115"/>
      <c r="O525" s="115"/>
      <c r="P525" s="115"/>
    </row>
    <row r="526" spans="10:16" ht="12.5" x14ac:dyDescent="0.25">
      <c r="J526" s="115"/>
      <c r="K526" s="115"/>
      <c r="L526" s="115"/>
      <c r="M526" s="115"/>
      <c r="N526" s="115"/>
      <c r="O526" s="115"/>
      <c r="P526" s="115"/>
    </row>
    <row r="527" spans="10:16" ht="12.5" x14ac:dyDescent="0.25">
      <c r="J527" s="115"/>
      <c r="K527" s="115"/>
      <c r="L527" s="115"/>
      <c r="M527" s="115"/>
      <c r="N527" s="115"/>
      <c r="O527" s="115"/>
      <c r="P527" s="115"/>
    </row>
    <row r="528" spans="10:16" ht="12.5" x14ac:dyDescent="0.25">
      <c r="J528" s="115"/>
      <c r="K528" s="115"/>
      <c r="L528" s="115"/>
      <c r="M528" s="115"/>
      <c r="N528" s="115"/>
      <c r="O528" s="115"/>
      <c r="P528" s="115"/>
    </row>
    <row r="529" spans="10:16" ht="12.5" x14ac:dyDescent="0.25">
      <c r="J529" s="115"/>
      <c r="K529" s="115"/>
      <c r="L529" s="115"/>
      <c r="M529" s="115"/>
      <c r="N529" s="115"/>
      <c r="O529" s="115"/>
      <c r="P529" s="115"/>
    </row>
    <row r="530" spans="10:16" ht="12.5" x14ac:dyDescent="0.25">
      <c r="J530" s="115"/>
      <c r="K530" s="115"/>
      <c r="L530" s="115"/>
      <c r="M530" s="115"/>
      <c r="N530" s="115"/>
      <c r="O530" s="115"/>
      <c r="P530" s="115"/>
    </row>
    <row r="531" spans="10:16" ht="12.5" x14ac:dyDescent="0.25">
      <c r="J531" s="115"/>
      <c r="K531" s="115"/>
      <c r="L531" s="115"/>
      <c r="M531" s="115"/>
      <c r="N531" s="115"/>
      <c r="O531" s="115"/>
      <c r="P531" s="115"/>
    </row>
    <row r="532" spans="10:16" ht="12.5" x14ac:dyDescent="0.25">
      <c r="J532" s="115"/>
      <c r="K532" s="115"/>
      <c r="L532" s="115"/>
      <c r="M532" s="115"/>
      <c r="N532" s="115"/>
      <c r="O532" s="115"/>
      <c r="P532" s="115"/>
    </row>
    <row r="533" spans="10:16" ht="12.5" x14ac:dyDescent="0.25">
      <c r="J533" s="115"/>
      <c r="K533" s="115"/>
      <c r="L533" s="115"/>
      <c r="M533" s="115"/>
      <c r="N533" s="115"/>
      <c r="O533" s="115"/>
      <c r="P533" s="115"/>
    </row>
    <row r="534" spans="10:16" ht="12.5" x14ac:dyDescent="0.25">
      <c r="J534" s="115"/>
      <c r="K534" s="115"/>
      <c r="L534" s="115"/>
      <c r="M534" s="115"/>
      <c r="N534" s="115"/>
      <c r="O534" s="115"/>
      <c r="P534" s="115"/>
    </row>
    <row r="535" spans="10:16" ht="12.5" x14ac:dyDescent="0.25">
      <c r="J535" s="115"/>
      <c r="K535" s="115"/>
      <c r="L535" s="115"/>
      <c r="M535" s="115"/>
      <c r="N535" s="115"/>
      <c r="O535" s="115"/>
      <c r="P535" s="115"/>
    </row>
    <row r="536" spans="10:16" ht="12.5" x14ac:dyDescent="0.25">
      <c r="J536" s="115"/>
      <c r="K536" s="115"/>
      <c r="L536" s="115"/>
      <c r="M536" s="115"/>
      <c r="N536" s="115"/>
      <c r="O536" s="115"/>
      <c r="P536" s="115"/>
    </row>
    <row r="537" spans="10:16" ht="12.5" x14ac:dyDescent="0.25">
      <c r="J537" s="115"/>
      <c r="K537" s="115"/>
      <c r="L537" s="115"/>
      <c r="M537" s="115"/>
      <c r="N537" s="115"/>
      <c r="O537" s="115"/>
      <c r="P537" s="115"/>
    </row>
    <row r="538" spans="10:16" ht="12.5" x14ac:dyDescent="0.25">
      <c r="J538" s="115"/>
      <c r="K538" s="115"/>
      <c r="L538" s="115"/>
      <c r="M538" s="115"/>
      <c r="N538" s="115"/>
      <c r="O538" s="115"/>
      <c r="P538" s="115"/>
    </row>
    <row r="539" spans="10:16" ht="12.5" x14ac:dyDescent="0.25">
      <c r="J539" s="115"/>
      <c r="K539" s="115"/>
      <c r="L539" s="115"/>
      <c r="M539" s="115"/>
      <c r="N539" s="115"/>
      <c r="O539" s="115"/>
      <c r="P539" s="115"/>
    </row>
    <row r="540" spans="10:16" ht="12.5" x14ac:dyDescent="0.25">
      <c r="J540" s="115"/>
      <c r="K540" s="115"/>
      <c r="L540" s="115"/>
      <c r="M540" s="115"/>
      <c r="N540" s="115"/>
      <c r="O540" s="115"/>
      <c r="P540" s="115"/>
    </row>
    <row r="541" spans="10:16" ht="12.5" x14ac:dyDescent="0.25">
      <c r="J541" s="115"/>
      <c r="K541" s="115"/>
      <c r="L541" s="115"/>
      <c r="M541" s="115"/>
      <c r="N541" s="115"/>
      <c r="O541" s="115"/>
      <c r="P541" s="115"/>
    </row>
    <row r="542" spans="10:16" ht="12.5" x14ac:dyDescent="0.25">
      <c r="J542" s="115"/>
      <c r="K542" s="115"/>
      <c r="L542" s="115"/>
      <c r="M542" s="115"/>
      <c r="N542" s="115"/>
      <c r="O542" s="115"/>
      <c r="P542" s="115"/>
    </row>
    <row r="543" spans="10:16" ht="12.5" x14ac:dyDescent="0.25">
      <c r="J543" s="115"/>
      <c r="K543" s="115"/>
      <c r="L543" s="115"/>
      <c r="M543" s="115"/>
      <c r="N543" s="115"/>
      <c r="O543" s="115"/>
      <c r="P543" s="115"/>
    </row>
    <row r="544" spans="10:16" ht="12.5" x14ac:dyDescent="0.25">
      <c r="J544" s="115"/>
      <c r="K544" s="115"/>
      <c r="L544" s="115"/>
      <c r="M544" s="115"/>
      <c r="N544" s="115"/>
      <c r="O544" s="115"/>
      <c r="P544" s="115"/>
    </row>
    <row r="545" spans="10:16" ht="12.5" x14ac:dyDescent="0.25">
      <c r="J545" s="115"/>
      <c r="K545" s="115"/>
      <c r="L545" s="115"/>
      <c r="M545" s="115"/>
      <c r="N545" s="115"/>
      <c r="O545" s="115"/>
      <c r="P545" s="115"/>
    </row>
    <row r="546" spans="10:16" ht="12.5" x14ac:dyDescent="0.25">
      <c r="J546" s="115"/>
      <c r="K546" s="115"/>
      <c r="L546" s="115"/>
      <c r="M546" s="115"/>
      <c r="N546" s="115"/>
      <c r="O546" s="115"/>
      <c r="P546" s="115"/>
    </row>
    <row r="547" spans="10:16" ht="12.5" x14ac:dyDescent="0.25">
      <c r="J547" s="115"/>
      <c r="K547" s="115"/>
      <c r="L547" s="115"/>
      <c r="M547" s="115"/>
      <c r="N547" s="115"/>
      <c r="O547" s="115"/>
      <c r="P547" s="115"/>
    </row>
    <row r="548" spans="10:16" ht="12.5" x14ac:dyDescent="0.25">
      <c r="J548" s="115"/>
      <c r="K548" s="115"/>
      <c r="L548" s="115"/>
      <c r="M548" s="115"/>
      <c r="N548" s="115"/>
      <c r="O548" s="115"/>
      <c r="P548" s="115"/>
    </row>
    <row r="549" spans="10:16" ht="12.5" x14ac:dyDescent="0.25">
      <c r="J549" s="115"/>
      <c r="K549" s="115"/>
      <c r="L549" s="115"/>
      <c r="M549" s="115"/>
      <c r="N549" s="115"/>
      <c r="O549" s="115"/>
      <c r="P549" s="115"/>
    </row>
    <row r="550" spans="10:16" ht="12.5" x14ac:dyDescent="0.25">
      <c r="J550" s="115"/>
      <c r="K550" s="115"/>
      <c r="L550" s="115"/>
      <c r="M550" s="115"/>
      <c r="N550" s="115"/>
      <c r="O550" s="115"/>
      <c r="P550" s="115"/>
    </row>
    <row r="551" spans="10:16" ht="12.5" x14ac:dyDescent="0.25">
      <c r="J551" s="115"/>
      <c r="K551" s="115"/>
      <c r="L551" s="115"/>
      <c r="M551" s="115"/>
      <c r="N551" s="115"/>
      <c r="O551" s="115"/>
      <c r="P551" s="115"/>
    </row>
    <row r="552" spans="10:16" ht="12.5" x14ac:dyDescent="0.25">
      <c r="J552" s="115"/>
      <c r="K552" s="115"/>
      <c r="L552" s="115"/>
      <c r="M552" s="115"/>
      <c r="N552" s="115"/>
      <c r="O552" s="115"/>
      <c r="P552" s="115"/>
    </row>
    <row r="553" spans="10:16" ht="12.5" x14ac:dyDescent="0.25">
      <c r="J553" s="115"/>
      <c r="K553" s="115"/>
      <c r="L553" s="115"/>
      <c r="M553" s="115"/>
      <c r="N553" s="115"/>
      <c r="O553" s="115"/>
      <c r="P553" s="115"/>
    </row>
    <row r="554" spans="10:16" ht="12.5" x14ac:dyDescent="0.25">
      <c r="J554" s="115"/>
      <c r="K554" s="115"/>
      <c r="L554" s="115"/>
      <c r="M554" s="115"/>
      <c r="N554" s="115"/>
      <c r="O554" s="115"/>
      <c r="P554" s="115"/>
    </row>
    <row r="555" spans="10:16" ht="12.5" x14ac:dyDescent="0.25">
      <c r="J555" s="115"/>
      <c r="K555" s="115"/>
      <c r="L555" s="115"/>
      <c r="M555" s="115"/>
      <c r="N555" s="115"/>
      <c r="O555" s="115"/>
      <c r="P555" s="115"/>
    </row>
    <row r="556" spans="10:16" ht="12.5" x14ac:dyDescent="0.25">
      <c r="J556" s="115"/>
      <c r="K556" s="115"/>
      <c r="L556" s="115"/>
      <c r="M556" s="115"/>
      <c r="N556" s="115"/>
      <c r="O556" s="115"/>
      <c r="P556" s="115"/>
    </row>
    <row r="557" spans="10:16" ht="12.5" x14ac:dyDescent="0.25">
      <c r="J557" s="115"/>
      <c r="K557" s="115"/>
      <c r="L557" s="115"/>
      <c r="M557" s="115"/>
      <c r="N557" s="115"/>
      <c r="O557" s="115"/>
      <c r="P557" s="115"/>
    </row>
    <row r="558" spans="10:16" ht="12.5" x14ac:dyDescent="0.25">
      <c r="J558" s="115"/>
      <c r="K558" s="115"/>
      <c r="L558" s="115"/>
      <c r="M558" s="115"/>
      <c r="N558" s="115"/>
      <c r="O558" s="115"/>
      <c r="P558" s="115"/>
    </row>
    <row r="559" spans="10:16" ht="12.5" x14ac:dyDescent="0.25">
      <c r="J559" s="115"/>
      <c r="K559" s="115"/>
      <c r="L559" s="115"/>
      <c r="M559" s="115"/>
      <c r="N559" s="115"/>
      <c r="O559" s="115"/>
      <c r="P559" s="115"/>
    </row>
    <row r="560" spans="10:16" ht="12.5" x14ac:dyDescent="0.25">
      <c r="J560" s="115"/>
      <c r="K560" s="115"/>
      <c r="L560" s="115"/>
      <c r="M560" s="115"/>
      <c r="N560" s="115"/>
      <c r="O560" s="115"/>
      <c r="P560" s="115"/>
    </row>
    <row r="561" spans="10:16" ht="12.5" x14ac:dyDescent="0.25">
      <c r="J561" s="115"/>
      <c r="K561" s="115"/>
      <c r="L561" s="115"/>
      <c r="M561" s="115"/>
      <c r="N561" s="115"/>
      <c r="O561" s="115"/>
      <c r="P561" s="115"/>
    </row>
    <row r="562" spans="10:16" ht="12.5" x14ac:dyDescent="0.25">
      <c r="J562" s="115"/>
      <c r="K562" s="115"/>
      <c r="L562" s="115"/>
      <c r="M562" s="115"/>
      <c r="N562" s="115"/>
      <c r="O562" s="115"/>
      <c r="P562" s="115"/>
    </row>
    <row r="563" spans="10:16" ht="12.5" x14ac:dyDescent="0.25">
      <c r="J563" s="115"/>
      <c r="K563" s="115"/>
      <c r="L563" s="115"/>
      <c r="M563" s="115"/>
      <c r="N563" s="115"/>
      <c r="O563" s="115"/>
      <c r="P563" s="115"/>
    </row>
    <row r="564" spans="10:16" ht="12.5" x14ac:dyDescent="0.25">
      <c r="J564" s="115"/>
      <c r="K564" s="115"/>
      <c r="L564" s="115"/>
      <c r="M564" s="115"/>
      <c r="N564" s="115"/>
      <c r="O564" s="115"/>
      <c r="P564" s="115"/>
    </row>
    <row r="565" spans="10:16" ht="12.5" x14ac:dyDescent="0.25">
      <c r="J565" s="115"/>
      <c r="K565" s="115"/>
      <c r="L565" s="115"/>
      <c r="M565" s="115"/>
      <c r="N565" s="115"/>
      <c r="O565" s="115"/>
      <c r="P565" s="115"/>
    </row>
    <row r="566" spans="10:16" ht="12.5" x14ac:dyDescent="0.25">
      <c r="J566" s="115"/>
      <c r="K566" s="115"/>
      <c r="L566" s="115"/>
      <c r="M566" s="115"/>
      <c r="N566" s="115"/>
      <c r="O566" s="115"/>
      <c r="P566" s="115"/>
    </row>
    <row r="567" spans="10:16" ht="12.5" x14ac:dyDescent="0.25">
      <c r="J567" s="115"/>
      <c r="K567" s="115"/>
      <c r="L567" s="115"/>
      <c r="M567" s="115"/>
      <c r="N567" s="115"/>
      <c r="O567" s="115"/>
      <c r="P567" s="115"/>
    </row>
    <row r="568" spans="10:16" ht="12.5" x14ac:dyDescent="0.25">
      <c r="J568" s="115"/>
      <c r="K568" s="115"/>
      <c r="L568" s="115"/>
      <c r="M568" s="115"/>
      <c r="N568" s="115"/>
      <c r="O568" s="115"/>
      <c r="P568" s="115"/>
    </row>
    <row r="569" spans="10:16" ht="12.5" x14ac:dyDescent="0.25">
      <c r="J569" s="115"/>
      <c r="K569" s="115"/>
      <c r="L569" s="115"/>
      <c r="M569" s="115"/>
      <c r="N569" s="115"/>
      <c r="O569" s="115"/>
      <c r="P569" s="115"/>
    </row>
    <row r="570" spans="10:16" ht="12.5" x14ac:dyDescent="0.25">
      <c r="J570" s="115"/>
      <c r="K570" s="115"/>
      <c r="L570" s="115"/>
      <c r="M570" s="115"/>
      <c r="N570" s="115"/>
      <c r="O570" s="115"/>
      <c r="P570" s="115"/>
    </row>
    <row r="571" spans="10:16" ht="12.5" x14ac:dyDescent="0.25">
      <c r="J571" s="115"/>
      <c r="K571" s="115"/>
      <c r="L571" s="115"/>
      <c r="M571" s="115"/>
      <c r="N571" s="115"/>
      <c r="O571" s="115"/>
      <c r="P571" s="115"/>
    </row>
    <row r="572" spans="10:16" ht="12.5" x14ac:dyDescent="0.25">
      <c r="J572" s="115"/>
      <c r="K572" s="115"/>
      <c r="L572" s="115"/>
      <c r="M572" s="115"/>
      <c r="N572" s="115"/>
      <c r="O572" s="115"/>
      <c r="P572" s="115"/>
    </row>
    <row r="573" spans="10:16" ht="12.5" x14ac:dyDescent="0.25">
      <c r="J573" s="115"/>
      <c r="K573" s="115"/>
      <c r="L573" s="115"/>
      <c r="M573" s="115"/>
      <c r="N573" s="115"/>
      <c r="O573" s="115"/>
      <c r="P573" s="115"/>
    </row>
    <row r="574" spans="10:16" ht="12.5" x14ac:dyDescent="0.25">
      <c r="J574" s="115"/>
      <c r="K574" s="115"/>
      <c r="L574" s="115"/>
      <c r="M574" s="115"/>
      <c r="N574" s="115"/>
      <c r="O574" s="115"/>
      <c r="P574" s="115"/>
    </row>
    <row r="575" spans="10:16" ht="12.5" x14ac:dyDescent="0.25">
      <c r="J575" s="115"/>
      <c r="K575" s="115"/>
      <c r="L575" s="115"/>
      <c r="M575" s="115"/>
      <c r="N575" s="115"/>
      <c r="O575" s="115"/>
      <c r="P575" s="115"/>
    </row>
    <row r="576" spans="10:16" ht="12.5" x14ac:dyDescent="0.25">
      <c r="J576" s="115"/>
      <c r="K576" s="115"/>
      <c r="L576" s="115"/>
      <c r="M576" s="115"/>
      <c r="N576" s="115"/>
      <c r="O576" s="115"/>
      <c r="P576" s="115"/>
    </row>
    <row r="577" spans="10:16" ht="12.5" x14ac:dyDescent="0.25">
      <c r="J577" s="115"/>
      <c r="K577" s="115"/>
      <c r="L577" s="115"/>
      <c r="M577" s="115"/>
      <c r="N577" s="115"/>
      <c r="O577" s="115"/>
      <c r="P577" s="115"/>
    </row>
    <row r="578" spans="10:16" ht="12.5" x14ac:dyDescent="0.25">
      <c r="J578" s="115"/>
      <c r="K578" s="115"/>
      <c r="L578" s="115"/>
      <c r="M578" s="115"/>
      <c r="N578" s="115"/>
      <c r="O578" s="115"/>
      <c r="P578" s="115"/>
    </row>
    <row r="579" spans="10:16" ht="12.5" x14ac:dyDescent="0.25">
      <c r="J579" s="115"/>
      <c r="K579" s="115"/>
      <c r="L579" s="115"/>
      <c r="M579" s="115"/>
      <c r="N579" s="115"/>
      <c r="O579" s="115"/>
      <c r="P579" s="115"/>
    </row>
    <row r="580" spans="10:16" ht="12.5" x14ac:dyDescent="0.25">
      <c r="J580" s="115"/>
      <c r="K580" s="115"/>
      <c r="L580" s="115"/>
      <c r="M580" s="115"/>
      <c r="N580" s="115"/>
      <c r="O580" s="115"/>
      <c r="P580" s="115"/>
    </row>
    <row r="581" spans="10:16" ht="12.5" x14ac:dyDescent="0.25">
      <c r="J581" s="115"/>
      <c r="K581" s="115"/>
      <c r="L581" s="115"/>
      <c r="M581" s="115"/>
      <c r="N581" s="115"/>
      <c r="O581" s="115"/>
      <c r="P581" s="115"/>
    </row>
    <row r="582" spans="10:16" ht="12.5" x14ac:dyDescent="0.25">
      <c r="J582" s="115"/>
      <c r="K582" s="115"/>
      <c r="L582" s="115"/>
      <c r="M582" s="115"/>
      <c r="N582" s="115"/>
      <c r="O582" s="115"/>
      <c r="P582" s="115"/>
    </row>
    <row r="583" spans="10:16" ht="12.5" x14ac:dyDescent="0.25">
      <c r="J583" s="115"/>
      <c r="K583" s="115"/>
      <c r="L583" s="115"/>
      <c r="M583" s="115"/>
      <c r="N583" s="115"/>
      <c r="O583" s="115"/>
      <c r="P583" s="115"/>
    </row>
    <row r="584" spans="10:16" ht="12.5" x14ac:dyDescent="0.25">
      <c r="J584" s="115"/>
      <c r="K584" s="115"/>
      <c r="L584" s="115"/>
      <c r="M584" s="115"/>
      <c r="N584" s="115"/>
      <c r="O584" s="115"/>
      <c r="P584" s="115"/>
    </row>
    <row r="585" spans="10:16" ht="12.5" x14ac:dyDescent="0.25">
      <c r="J585" s="115"/>
      <c r="K585" s="115"/>
      <c r="L585" s="115"/>
      <c r="M585" s="115"/>
      <c r="N585" s="115"/>
      <c r="O585" s="115"/>
      <c r="P585" s="115"/>
    </row>
    <row r="586" spans="10:16" ht="12.5" x14ac:dyDescent="0.25">
      <c r="J586" s="115"/>
      <c r="K586" s="115"/>
      <c r="L586" s="115"/>
      <c r="M586" s="115"/>
      <c r="N586" s="115"/>
      <c r="O586" s="115"/>
      <c r="P586" s="115"/>
    </row>
    <row r="587" spans="10:16" ht="12.5" x14ac:dyDescent="0.25">
      <c r="J587" s="115"/>
      <c r="K587" s="115"/>
      <c r="L587" s="115"/>
      <c r="M587" s="115"/>
      <c r="N587" s="115"/>
      <c r="O587" s="115"/>
      <c r="P587" s="115"/>
    </row>
    <row r="588" spans="10:16" ht="12.5" x14ac:dyDescent="0.25">
      <c r="J588" s="115"/>
      <c r="K588" s="115"/>
      <c r="L588" s="115"/>
      <c r="M588" s="115"/>
      <c r="N588" s="115"/>
      <c r="O588" s="115"/>
      <c r="P588" s="115"/>
    </row>
    <row r="589" spans="10:16" ht="12.5" x14ac:dyDescent="0.25">
      <c r="J589" s="115"/>
      <c r="K589" s="115"/>
      <c r="L589" s="115"/>
      <c r="M589" s="115"/>
      <c r="N589" s="115"/>
      <c r="O589" s="115"/>
      <c r="P589" s="115"/>
    </row>
    <row r="590" spans="10:16" ht="12.5" x14ac:dyDescent="0.25">
      <c r="J590" s="115"/>
      <c r="K590" s="115"/>
      <c r="L590" s="115"/>
      <c r="M590" s="115"/>
      <c r="N590" s="115"/>
      <c r="O590" s="115"/>
      <c r="P590" s="115"/>
    </row>
    <row r="591" spans="10:16" ht="12.5" x14ac:dyDescent="0.25">
      <c r="J591" s="115"/>
      <c r="K591" s="115"/>
      <c r="L591" s="115"/>
      <c r="M591" s="115"/>
      <c r="N591" s="115"/>
      <c r="O591" s="115"/>
      <c r="P591" s="115"/>
    </row>
    <row r="592" spans="10:16" ht="12.5" x14ac:dyDescent="0.25">
      <c r="J592" s="115"/>
      <c r="K592" s="115"/>
      <c r="L592" s="115"/>
      <c r="M592" s="115"/>
      <c r="N592" s="115"/>
      <c r="O592" s="115"/>
      <c r="P592" s="115"/>
    </row>
    <row r="593" spans="10:16" ht="12.5" x14ac:dyDescent="0.25">
      <c r="J593" s="115"/>
      <c r="K593" s="115"/>
      <c r="L593" s="115"/>
      <c r="M593" s="115"/>
      <c r="N593" s="115"/>
      <c r="O593" s="115"/>
      <c r="P593" s="115"/>
    </row>
    <row r="594" spans="10:16" ht="12.5" x14ac:dyDescent="0.25">
      <c r="J594" s="115"/>
      <c r="K594" s="115"/>
      <c r="L594" s="115"/>
      <c r="M594" s="115"/>
      <c r="N594" s="115"/>
      <c r="O594" s="115"/>
      <c r="P594" s="115"/>
    </row>
    <row r="595" spans="10:16" ht="12.5" x14ac:dyDescent="0.25">
      <c r="J595" s="115"/>
      <c r="K595" s="115"/>
      <c r="L595" s="115"/>
      <c r="M595" s="115"/>
      <c r="N595" s="115"/>
      <c r="O595" s="115"/>
      <c r="P595" s="115"/>
    </row>
    <row r="596" spans="10:16" ht="12.5" x14ac:dyDescent="0.25">
      <c r="J596" s="115"/>
      <c r="K596" s="115"/>
      <c r="L596" s="115"/>
      <c r="M596" s="115"/>
      <c r="N596" s="115"/>
      <c r="O596" s="115"/>
      <c r="P596" s="115"/>
    </row>
    <row r="597" spans="10:16" ht="12.5" x14ac:dyDescent="0.25">
      <c r="J597" s="115"/>
      <c r="K597" s="115"/>
      <c r="L597" s="115"/>
      <c r="M597" s="115"/>
      <c r="N597" s="115"/>
      <c r="O597" s="115"/>
      <c r="P597" s="115"/>
    </row>
    <row r="598" spans="10:16" ht="12.5" x14ac:dyDescent="0.25">
      <c r="J598" s="115"/>
      <c r="K598" s="115"/>
      <c r="L598" s="115"/>
      <c r="M598" s="115"/>
      <c r="N598" s="115"/>
      <c r="O598" s="115"/>
      <c r="P598" s="115"/>
    </row>
    <row r="599" spans="10:16" ht="12.5" x14ac:dyDescent="0.25">
      <c r="J599" s="115"/>
      <c r="K599" s="115"/>
      <c r="L599" s="115"/>
      <c r="M599" s="115"/>
      <c r="N599" s="115"/>
      <c r="O599" s="115"/>
      <c r="P599" s="115"/>
    </row>
    <row r="600" spans="10:16" ht="12.5" x14ac:dyDescent="0.25">
      <c r="J600" s="115"/>
      <c r="K600" s="115"/>
      <c r="L600" s="115"/>
      <c r="M600" s="115"/>
      <c r="N600" s="115"/>
      <c r="O600" s="115"/>
      <c r="P600" s="115"/>
    </row>
    <row r="601" spans="10:16" ht="12.5" x14ac:dyDescent="0.25">
      <c r="J601" s="115"/>
      <c r="K601" s="115"/>
      <c r="L601" s="115"/>
      <c r="M601" s="115"/>
      <c r="N601" s="115"/>
      <c r="O601" s="115"/>
      <c r="P601" s="115"/>
    </row>
    <row r="602" spans="10:16" ht="12.5" x14ac:dyDescent="0.25">
      <c r="J602" s="115"/>
      <c r="K602" s="115"/>
      <c r="L602" s="115"/>
      <c r="M602" s="115"/>
      <c r="N602" s="115"/>
      <c r="O602" s="115"/>
      <c r="P602" s="115"/>
    </row>
    <row r="603" spans="10:16" ht="12.5" x14ac:dyDescent="0.25">
      <c r="J603" s="115"/>
      <c r="K603" s="115"/>
      <c r="L603" s="115"/>
      <c r="M603" s="115"/>
      <c r="N603" s="115"/>
      <c r="O603" s="115"/>
      <c r="P603" s="115"/>
    </row>
    <row r="604" spans="10:16" ht="12.5" x14ac:dyDescent="0.25">
      <c r="J604" s="115"/>
      <c r="K604" s="115"/>
      <c r="L604" s="115"/>
      <c r="M604" s="115"/>
      <c r="N604" s="115"/>
      <c r="O604" s="115"/>
      <c r="P604" s="115"/>
    </row>
    <row r="605" spans="10:16" ht="12.5" x14ac:dyDescent="0.25">
      <c r="J605" s="115"/>
      <c r="K605" s="115"/>
      <c r="L605" s="115"/>
      <c r="M605" s="115"/>
      <c r="N605" s="115"/>
      <c r="O605" s="115"/>
      <c r="P605" s="115"/>
    </row>
    <row r="606" spans="10:16" ht="12.5" x14ac:dyDescent="0.25">
      <c r="J606" s="115"/>
      <c r="K606" s="115"/>
      <c r="L606" s="115"/>
      <c r="M606" s="115"/>
      <c r="N606" s="115"/>
      <c r="O606" s="115"/>
      <c r="P606" s="115"/>
    </row>
    <row r="607" spans="10:16" ht="12.5" x14ac:dyDescent="0.25">
      <c r="J607" s="115"/>
      <c r="K607" s="115"/>
      <c r="L607" s="115"/>
      <c r="M607" s="115"/>
      <c r="N607" s="115"/>
      <c r="O607" s="115"/>
      <c r="P607" s="115"/>
    </row>
    <row r="608" spans="10:16" ht="12.5" x14ac:dyDescent="0.25">
      <c r="J608" s="115"/>
      <c r="K608" s="115"/>
      <c r="L608" s="115"/>
      <c r="M608" s="115"/>
      <c r="N608" s="115"/>
      <c r="O608" s="115"/>
      <c r="P608" s="115"/>
    </row>
    <row r="609" spans="10:16" ht="12.5" x14ac:dyDescent="0.25">
      <c r="J609" s="115"/>
      <c r="K609" s="115"/>
      <c r="L609" s="115"/>
      <c r="M609" s="115"/>
      <c r="N609" s="115"/>
      <c r="O609" s="115"/>
      <c r="P609" s="115"/>
    </row>
    <row r="610" spans="10:16" ht="12.5" x14ac:dyDescent="0.25">
      <c r="J610" s="115"/>
      <c r="K610" s="115"/>
      <c r="L610" s="115"/>
      <c r="M610" s="115"/>
      <c r="N610" s="115"/>
      <c r="O610" s="115"/>
      <c r="P610" s="115"/>
    </row>
    <row r="611" spans="10:16" ht="12.5" x14ac:dyDescent="0.25">
      <c r="J611" s="115"/>
      <c r="K611" s="115"/>
      <c r="L611" s="115"/>
      <c r="M611" s="115"/>
      <c r="N611" s="115"/>
      <c r="O611" s="115"/>
      <c r="P611" s="115"/>
    </row>
    <row r="612" spans="10:16" ht="12.5" x14ac:dyDescent="0.25">
      <c r="J612" s="115"/>
      <c r="K612" s="115"/>
      <c r="L612" s="115"/>
      <c r="M612" s="115"/>
      <c r="N612" s="115"/>
      <c r="O612" s="115"/>
      <c r="P612" s="115"/>
    </row>
    <row r="613" spans="10:16" ht="12.5" x14ac:dyDescent="0.25">
      <c r="J613" s="115"/>
      <c r="K613" s="115"/>
      <c r="L613" s="115"/>
      <c r="M613" s="115"/>
      <c r="N613" s="115"/>
      <c r="O613" s="115"/>
      <c r="P613" s="115"/>
    </row>
    <row r="614" spans="10:16" ht="12.5" x14ac:dyDescent="0.25">
      <c r="J614" s="115"/>
      <c r="K614" s="115"/>
      <c r="L614" s="115"/>
      <c r="M614" s="115"/>
      <c r="N614" s="115"/>
      <c r="O614" s="115"/>
      <c r="P614" s="115"/>
    </row>
    <row r="615" spans="10:16" ht="12.5" x14ac:dyDescent="0.25">
      <c r="J615" s="115"/>
      <c r="K615" s="115"/>
      <c r="L615" s="115"/>
      <c r="M615" s="115"/>
      <c r="N615" s="115"/>
      <c r="O615" s="115"/>
      <c r="P615" s="115"/>
    </row>
    <row r="616" spans="10:16" ht="12.5" x14ac:dyDescent="0.25">
      <c r="J616" s="115"/>
      <c r="K616" s="115"/>
      <c r="L616" s="115"/>
      <c r="M616" s="115"/>
      <c r="N616" s="115"/>
      <c r="O616" s="115"/>
      <c r="P616" s="115"/>
    </row>
    <row r="617" spans="10:16" ht="12.5" x14ac:dyDescent="0.25">
      <c r="J617" s="115"/>
      <c r="K617" s="115"/>
      <c r="L617" s="115"/>
      <c r="M617" s="115"/>
      <c r="N617" s="115"/>
      <c r="O617" s="115"/>
      <c r="P617" s="115"/>
    </row>
    <row r="618" spans="10:16" ht="12.5" x14ac:dyDescent="0.25">
      <c r="J618" s="115"/>
      <c r="K618" s="115"/>
      <c r="L618" s="115"/>
      <c r="M618" s="115"/>
      <c r="N618" s="115"/>
      <c r="O618" s="115"/>
      <c r="P618" s="115"/>
    </row>
    <row r="619" spans="10:16" ht="12.5" x14ac:dyDescent="0.25">
      <c r="J619" s="115"/>
      <c r="K619" s="115"/>
      <c r="L619" s="115"/>
      <c r="M619" s="115"/>
      <c r="N619" s="115"/>
      <c r="O619" s="115"/>
      <c r="P619" s="115"/>
    </row>
    <row r="620" spans="10:16" ht="12.5" x14ac:dyDescent="0.25">
      <c r="J620" s="115"/>
      <c r="K620" s="115"/>
      <c r="L620" s="115"/>
      <c r="M620" s="115"/>
      <c r="N620" s="115"/>
      <c r="O620" s="115"/>
      <c r="P620" s="115"/>
    </row>
    <row r="621" spans="10:16" ht="12.5" x14ac:dyDescent="0.25">
      <c r="J621" s="115"/>
      <c r="K621" s="115"/>
      <c r="L621" s="115"/>
      <c r="M621" s="115"/>
      <c r="N621" s="115"/>
      <c r="O621" s="115"/>
      <c r="P621" s="115"/>
    </row>
    <row r="622" spans="10:16" ht="12.5" x14ac:dyDescent="0.25">
      <c r="J622" s="115"/>
      <c r="K622" s="115"/>
      <c r="L622" s="115"/>
      <c r="M622" s="115"/>
      <c r="N622" s="115"/>
      <c r="O622" s="115"/>
      <c r="P622" s="115"/>
    </row>
    <row r="623" spans="10:16" ht="12.5" x14ac:dyDescent="0.25">
      <c r="J623" s="115"/>
      <c r="K623" s="115"/>
      <c r="L623" s="115"/>
      <c r="M623" s="115"/>
      <c r="N623" s="115"/>
      <c r="O623" s="115"/>
      <c r="P623" s="115"/>
    </row>
    <row r="624" spans="10:16" ht="12.5" x14ac:dyDescent="0.25">
      <c r="J624" s="115"/>
      <c r="K624" s="115"/>
      <c r="L624" s="115"/>
      <c r="M624" s="115"/>
      <c r="N624" s="115"/>
      <c r="O624" s="115"/>
      <c r="P624" s="115"/>
    </row>
    <row r="625" spans="10:16" ht="12.5" x14ac:dyDescent="0.25">
      <c r="J625" s="115"/>
      <c r="K625" s="115"/>
      <c r="L625" s="115"/>
      <c r="M625" s="115"/>
      <c r="N625" s="115"/>
      <c r="O625" s="115"/>
      <c r="P625" s="115"/>
    </row>
    <row r="626" spans="10:16" ht="12.5" x14ac:dyDescent="0.25">
      <c r="J626" s="115"/>
      <c r="K626" s="115"/>
      <c r="L626" s="115"/>
      <c r="M626" s="115"/>
      <c r="N626" s="115"/>
      <c r="O626" s="115"/>
      <c r="P626" s="115"/>
    </row>
    <row r="627" spans="10:16" ht="12.5" x14ac:dyDescent="0.25">
      <c r="J627" s="115"/>
      <c r="K627" s="115"/>
      <c r="L627" s="115"/>
      <c r="M627" s="115"/>
      <c r="N627" s="115"/>
      <c r="O627" s="115"/>
      <c r="P627" s="115"/>
    </row>
    <row r="628" spans="10:16" ht="12.5" x14ac:dyDescent="0.25">
      <c r="J628" s="115"/>
      <c r="K628" s="115"/>
      <c r="L628" s="115"/>
      <c r="M628" s="115"/>
      <c r="N628" s="115"/>
      <c r="O628" s="115"/>
      <c r="P628" s="115"/>
    </row>
    <row r="629" spans="10:16" ht="12.5" x14ac:dyDescent="0.25">
      <c r="J629" s="115"/>
      <c r="K629" s="115"/>
      <c r="L629" s="115"/>
      <c r="M629" s="115"/>
      <c r="N629" s="115"/>
      <c r="O629" s="115"/>
      <c r="P629" s="115"/>
    </row>
    <row r="630" spans="10:16" ht="12.5" x14ac:dyDescent="0.25">
      <c r="J630" s="115"/>
      <c r="K630" s="115"/>
      <c r="L630" s="115"/>
      <c r="M630" s="115"/>
      <c r="N630" s="115"/>
      <c r="O630" s="115"/>
      <c r="P630" s="115"/>
    </row>
    <row r="631" spans="10:16" ht="12.5" x14ac:dyDescent="0.25">
      <c r="J631" s="115"/>
      <c r="K631" s="115"/>
      <c r="L631" s="115"/>
      <c r="M631" s="115"/>
      <c r="N631" s="115"/>
      <c r="O631" s="115"/>
      <c r="P631" s="115"/>
    </row>
    <row r="632" spans="10:16" ht="12.5" x14ac:dyDescent="0.25">
      <c r="J632" s="115"/>
      <c r="K632" s="115"/>
      <c r="L632" s="115"/>
      <c r="M632" s="115"/>
      <c r="N632" s="115"/>
      <c r="O632" s="115"/>
      <c r="P632" s="115"/>
    </row>
    <row r="633" spans="10:16" ht="12.5" x14ac:dyDescent="0.25">
      <c r="J633" s="115"/>
      <c r="K633" s="115"/>
      <c r="L633" s="115"/>
      <c r="M633" s="115"/>
      <c r="N633" s="115"/>
      <c r="O633" s="115"/>
      <c r="P633" s="115"/>
    </row>
    <row r="634" spans="10:16" ht="12.5" x14ac:dyDescent="0.25">
      <c r="J634" s="115"/>
      <c r="K634" s="115"/>
      <c r="L634" s="115"/>
      <c r="M634" s="115"/>
      <c r="N634" s="115"/>
      <c r="O634" s="115"/>
      <c r="P634" s="115"/>
    </row>
    <row r="635" spans="10:16" ht="12.5" x14ac:dyDescent="0.25">
      <c r="J635" s="115"/>
      <c r="K635" s="115"/>
      <c r="L635" s="115"/>
      <c r="M635" s="115"/>
      <c r="N635" s="115"/>
      <c r="O635" s="115"/>
      <c r="P635" s="115"/>
    </row>
    <row r="636" spans="10:16" ht="12.5" x14ac:dyDescent="0.25">
      <c r="J636" s="115"/>
      <c r="K636" s="115"/>
      <c r="L636" s="115"/>
      <c r="M636" s="115"/>
      <c r="N636" s="115"/>
      <c r="O636" s="115"/>
      <c r="P636" s="115"/>
    </row>
    <row r="637" spans="10:16" ht="12.5" x14ac:dyDescent="0.25">
      <c r="J637" s="115"/>
      <c r="K637" s="115"/>
      <c r="L637" s="115"/>
      <c r="M637" s="115"/>
      <c r="N637" s="115"/>
      <c r="O637" s="115"/>
      <c r="P637" s="115"/>
    </row>
    <row r="638" spans="10:16" ht="12.5" x14ac:dyDescent="0.25">
      <c r="J638" s="115"/>
      <c r="K638" s="115"/>
      <c r="L638" s="115"/>
      <c r="M638" s="115"/>
      <c r="N638" s="115"/>
      <c r="O638" s="115"/>
      <c r="P638" s="115"/>
    </row>
    <row r="639" spans="10:16" ht="12.5" x14ac:dyDescent="0.25">
      <c r="J639" s="115"/>
      <c r="K639" s="115"/>
      <c r="L639" s="115"/>
      <c r="M639" s="115"/>
      <c r="N639" s="115"/>
      <c r="O639" s="115"/>
      <c r="P639" s="115"/>
    </row>
    <row r="640" spans="10:16" ht="12.5" x14ac:dyDescent="0.25">
      <c r="J640" s="115"/>
      <c r="K640" s="115"/>
      <c r="L640" s="115"/>
      <c r="M640" s="115"/>
      <c r="N640" s="115"/>
      <c r="O640" s="115"/>
      <c r="P640" s="115"/>
    </row>
    <row r="641" spans="10:16" ht="12.5" x14ac:dyDescent="0.25">
      <c r="J641" s="115"/>
      <c r="K641" s="115"/>
      <c r="L641" s="115"/>
      <c r="M641" s="115"/>
      <c r="N641" s="115"/>
      <c r="O641" s="115"/>
      <c r="P641" s="115"/>
    </row>
    <row r="642" spans="10:16" ht="12.5" x14ac:dyDescent="0.25">
      <c r="J642" s="115"/>
      <c r="K642" s="115"/>
      <c r="L642" s="115"/>
      <c r="M642" s="115"/>
      <c r="N642" s="115"/>
      <c r="O642" s="115"/>
      <c r="P642" s="115"/>
    </row>
    <row r="643" spans="10:16" ht="12.5" x14ac:dyDescent="0.25">
      <c r="J643" s="115"/>
      <c r="K643" s="115"/>
      <c r="L643" s="115"/>
      <c r="M643" s="115"/>
      <c r="N643" s="115"/>
      <c r="O643" s="115"/>
      <c r="P643" s="115"/>
    </row>
    <row r="644" spans="10:16" ht="12.5" x14ac:dyDescent="0.25">
      <c r="J644" s="115"/>
      <c r="K644" s="115"/>
      <c r="L644" s="115"/>
      <c r="M644" s="115"/>
      <c r="N644" s="115"/>
      <c r="O644" s="115"/>
      <c r="P644" s="115"/>
    </row>
    <row r="645" spans="10:16" ht="12.5" x14ac:dyDescent="0.25">
      <c r="J645" s="115"/>
      <c r="K645" s="115"/>
      <c r="L645" s="115"/>
      <c r="M645" s="115"/>
      <c r="N645" s="115"/>
      <c r="O645" s="115"/>
      <c r="P645" s="115"/>
    </row>
    <row r="646" spans="10:16" ht="12.5" x14ac:dyDescent="0.25">
      <c r="J646" s="115"/>
      <c r="K646" s="115"/>
      <c r="L646" s="115"/>
      <c r="M646" s="115"/>
      <c r="N646" s="115"/>
      <c r="O646" s="115"/>
      <c r="P646" s="115"/>
    </row>
    <row r="647" spans="10:16" ht="12.5" x14ac:dyDescent="0.25">
      <c r="J647" s="115"/>
      <c r="K647" s="115"/>
      <c r="L647" s="115"/>
      <c r="M647" s="115"/>
      <c r="N647" s="115"/>
      <c r="O647" s="115"/>
      <c r="P647" s="115"/>
    </row>
    <row r="648" spans="10:16" ht="12.5" x14ac:dyDescent="0.25">
      <c r="J648" s="115"/>
      <c r="K648" s="115"/>
      <c r="L648" s="115"/>
      <c r="M648" s="115"/>
      <c r="N648" s="115"/>
      <c r="O648" s="115"/>
      <c r="P648" s="115"/>
    </row>
    <row r="649" spans="10:16" ht="12.5" x14ac:dyDescent="0.25">
      <c r="J649" s="115"/>
      <c r="K649" s="115"/>
      <c r="L649" s="115"/>
      <c r="M649" s="115"/>
      <c r="N649" s="115"/>
      <c r="O649" s="115"/>
      <c r="P649" s="115"/>
    </row>
    <row r="650" spans="10:16" ht="12.5" x14ac:dyDescent="0.25">
      <c r="J650" s="115"/>
      <c r="K650" s="115"/>
      <c r="L650" s="115"/>
      <c r="M650" s="115"/>
      <c r="N650" s="115"/>
      <c r="O650" s="115"/>
      <c r="P650" s="115"/>
    </row>
    <row r="651" spans="10:16" ht="12.5" x14ac:dyDescent="0.25">
      <c r="J651" s="115"/>
      <c r="K651" s="115"/>
      <c r="L651" s="115"/>
      <c r="M651" s="115"/>
      <c r="N651" s="115"/>
      <c r="O651" s="115"/>
      <c r="P651" s="115"/>
    </row>
    <row r="652" spans="10:16" ht="12.5" x14ac:dyDescent="0.25">
      <c r="J652" s="115"/>
      <c r="K652" s="115"/>
      <c r="L652" s="115"/>
      <c r="M652" s="115"/>
      <c r="N652" s="115"/>
      <c r="O652" s="115"/>
      <c r="P652" s="115"/>
    </row>
    <row r="653" spans="10:16" ht="12.5" x14ac:dyDescent="0.25">
      <c r="J653" s="115"/>
      <c r="K653" s="115"/>
      <c r="L653" s="115"/>
      <c r="M653" s="115"/>
      <c r="N653" s="115"/>
      <c r="O653" s="115"/>
      <c r="P653" s="115"/>
    </row>
    <row r="654" spans="10:16" ht="12.5" x14ac:dyDescent="0.25">
      <c r="J654" s="115"/>
      <c r="K654" s="115"/>
      <c r="L654" s="115"/>
      <c r="M654" s="115"/>
      <c r="N654" s="115"/>
      <c r="O654" s="115"/>
      <c r="P654" s="115"/>
    </row>
    <row r="655" spans="10:16" ht="12.5" x14ac:dyDescent="0.25">
      <c r="J655" s="115"/>
      <c r="K655" s="115"/>
      <c r="L655" s="115"/>
      <c r="M655" s="115"/>
      <c r="N655" s="115"/>
      <c r="O655" s="115"/>
      <c r="P655" s="115"/>
    </row>
    <row r="656" spans="10:16" ht="12.5" x14ac:dyDescent="0.25">
      <c r="J656" s="115"/>
      <c r="K656" s="115"/>
      <c r="L656" s="115"/>
      <c r="M656" s="115"/>
      <c r="N656" s="115"/>
      <c r="O656" s="115"/>
      <c r="P656" s="115"/>
    </row>
    <row r="657" spans="10:16" ht="12.5" x14ac:dyDescent="0.25">
      <c r="J657" s="115"/>
      <c r="K657" s="115"/>
      <c r="L657" s="115"/>
      <c r="M657" s="115"/>
      <c r="N657" s="115"/>
      <c r="O657" s="115"/>
      <c r="P657" s="115"/>
    </row>
    <row r="658" spans="10:16" ht="12.5" x14ac:dyDescent="0.25">
      <c r="J658" s="115"/>
      <c r="K658" s="115"/>
      <c r="L658" s="115"/>
      <c r="M658" s="115"/>
      <c r="N658" s="115"/>
      <c r="O658" s="115"/>
      <c r="P658" s="115"/>
    </row>
    <row r="659" spans="10:16" ht="12.5" x14ac:dyDescent="0.25">
      <c r="J659" s="115"/>
      <c r="K659" s="115"/>
      <c r="L659" s="115"/>
      <c r="M659" s="115"/>
      <c r="N659" s="115"/>
      <c r="O659" s="115"/>
      <c r="P659" s="115"/>
    </row>
    <row r="660" spans="10:16" ht="12.5" x14ac:dyDescent="0.25">
      <c r="J660" s="115"/>
      <c r="K660" s="115"/>
      <c r="L660" s="115"/>
      <c r="M660" s="115"/>
      <c r="N660" s="115"/>
      <c r="O660" s="115"/>
      <c r="P660" s="115"/>
    </row>
    <row r="661" spans="10:16" ht="12.5" x14ac:dyDescent="0.25">
      <c r="J661" s="115"/>
      <c r="K661" s="115"/>
      <c r="L661" s="115"/>
      <c r="M661" s="115"/>
      <c r="N661" s="115"/>
      <c r="O661" s="115"/>
      <c r="P661" s="115"/>
    </row>
    <row r="662" spans="10:16" ht="12.5" x14ac:dyDescent="0.25">
      <c r="J662" s="115"/>
      <c r="K662" s="115"/>
      <c r="L662" s="115"/>
      <c r="M662" s="115"/>
      <c r="N662" s="115"/>
      <c r="O662" s="115"/>
      <c r="P662" s="115"/>
    </row>
    <row r="663" spans="10:16" ht="12.5" x14ac:dyDescent="0.25">
      <c r="J663" s="115"/>
      <c r="K663" s="115"/>
      <c r="L663" s="115"/>
      <c r="M663" s="115"/>
      <c r="N663" s="115"/>
      <c r="O663" s="115"/>
      <c r="P663" s="115"/>
    </row>
    <row r="664" spans="10:16" ht="12.5" x14ac:dyDescent="0.25">
      <c r="J664" s="115"/>
      <c r="K664" s="115"/>
      <c r="L664" s="115"/>
      <c r="M664" s="115"/>
      <c r="N664" s="115"/>
      <c r="O664" s="115"/>
      <c r="P664" s="115"/>
    </row>
    <row r="665" spans="10:16" ht="12.5" x14ac:dyDescent="0.25">
      <c r="J665" s="115"/>
      <c r="K665" s="115"/>
      <c r="L665" s="115"/>
      <c r="M665" s="115"/>
      <c r="N665" s="115"/>
      <c r="O665" s="115"/>
      <c r="P665" s="115"/>
    </row>
    <row r="666" spans="10:16" ht="12.5" x14ac:dyDescent="0.25">
      <c r="J666" s="115"/>
      <c r="K666" s="115"/>
      <c r="L666" s="115"/>
      <c r="M666" s="115"/>
      <c r="N666" s="115"/>
      <c r="O666" s="115"/>
      <c r="P666" s="115"/>
    </row>
    <row r="667" spans="10:16" ht="12.5" x14ac:dyDescent="0.25">
      <c r="J667" s="115"/>
      <c r="K667" s="115"/>
      <c r="L667" s="115"/>
      <c r="M667" s="115"/>
      <c r="N667" s="115"/>
      <c r="O667" s="115"/>
      <c r="P667" s="115"/>
    </row>
    <row r="668" spans="10:16" ht="12.5" x14ac:dyDescent="0.25">
      <c r="J668" s="115"/>
      <c r="K668" s="115"/>
      <c r="L668" s="115"/>
      <c r="M668" s="115"/>
      <c r="N668" s="115"/>
      <c r="O668" s="115"/>
      <c r="P668" s="115"/>
    </row>
    <row r="669" spans="10:16" ht="12.5" x14ac:dyDescent="0.25">
      <c r="J669" s="115"/>
      <c r="K669" s="115"/>
      <c r="L669" s="115"/>
      <c r="M669" s="115"/>
      <c r="N669" s="115"/>
      <c r="O669" s="115"/>
      <c r="P669" s="115"/>
    </row>
    <row r="670" spans="10:16" ht="12.5" x14ac:dyDescent="0.25">
      <c r="J670" s="115"/>
      <c r="K670" s="115"/>
      <c r="L670" s="115"/>
      <c r="M670" s="115"/>
      <c r="N670" s="115"/>
      <c r="O670" s="115"/>
      <c r="P670" s="115"/>
    </row>
    <row r="671" spans="10:16" ht="12.5" x14ac:dyDescent="0.25">
      <c r="J671" s="115"/>
      <c r="K671" s="115"/>
      <c r="L671" s="115"/>
      <c r="M671" s="115"/>
      <c r="N671" s="115"/>
      <c r="O671" s="115"/>
      <c r="P671" s="115"/>
    </row>
    <row r="672" spans="10:16" ht="12.5" x14ac:dyDescent="0.25">
      <c r="J672" s="115"/>
      <c r="K672" s="115"/>
      <c r="L672" s="115"/>
      <c r="M672" s="115"/>
      <c r="N672" s="115"/>
      <c r="O672" s="115"/>
      <c r="P672" s="115"/>
    </row>
    <row r="673" spans="10:16" ht="12.5" x14ac:dyDescent="0.25">
      <c r="J673" s="115"/>
      <c r="K673" s="115"/>
      <c r="L673" s="115"/>
      <c r="M673" s="115"/>
      <c r="N673" s="115"/>
      <c r="O673" s="115"/>
      <c r="P673" s="115"/>
    </row>
    <row r="674" spans="10:16" ht="12.5" x14ac:dyDescent="0.25">
      <c r="J674" s="115"/>
      <c r="K674" s="115"/>
      <c r="L674" s="115"/>
      <c r="M674" s="115"/>
      <c r="N674" s="115"/>
      <c r="O674" s="115"/>
      <c r="P674" s="115"/>
    </row>
    <row r="675" spans="10:16" ht="12.5" x14ac:dyDescent="0.25">
      <c r="J675" s="115"/>
      <c r="K675" s="115"/>
      <c r="L675" s="115"/>
      <c r="M675" s="115"/>
      <c r="N675" s="115"/>
      <c r="O675" s="115"/>
      <c r="P675" s="115"/>
    </row>
    <row r="676" spans="10:16" ht="12.5" x14ac:dyDescent="0.25">
      <c r="J676" s="115"/>
      <c r="K676" s="115"/>
      <c r="L676" s="115"/>
      <c r="M676" s="115"/>
      <c r="N676" s="115"/>
      <c r="O676" s="115"/>
      <c r="P676" s="115"/>
    </row>
    <row r="677" spans="10:16" ht="12.5" x14ac:dyDescent="0.25">
      <c r="J677" s="115"/>
      <c r="K677" s="115"/>
      <c r="L677" s="115"/>
      <c r="M677" s="115"/>
      <c r="N677" s="115"/>
      <c r="O677" s="115"/>
      <c r="P677" s="115"/>
    </row>
    <row r="678" spans="10:16" ht="12.5" x14ac:dyDescent="0.25">
      <c r="J678" s="115"/>
      <c r="K678" s="115"/>
      <c r="L678" s="115"/>
      <c r="M678" s="115"/>
      <c r="N678" s="115"/>
      <c r="O678" s="115"/>
      <c r="P678" s="115"/>
    </row>
    <row r="679" spans="10:16" ht="12.5" x14ac:dyDescent="0.25">
      <c r="J679" s="115"/>
      <c r="K679" s="115"/>
      <c r="L679" s="115"/>
      <c r="M679" s="115"/>
      <c r="N679" s="115"/>
      <c r="O679" s="115"/>
      <c r="P679" s="115"/>
    </row>
    <row r="680" spans="10:16" ht="12.5" x14ac:dyDescent="0.25">
      <c r="J680" s="115"/>
      <c r="K680" s="115"/>
      <c r="L680" s="115"/>
      <c r="M680" s="115"/>
      <c r="N680" s="115"/>
      <c r="O680" s="115"/>
      <c r="P680" s="115"/>
    </row>
    <row r="681" spans="10:16" ht="12.5" x14ac:dyDescent="0.25">
      <c r="J681" s="115"/>
      <c r="K681" s="115"/>
      <c r="L681" s="115"/>
      <c r="M681" s="115"/>
      <c r="N681" s="115"/>
      <c r="O681" s="115"/>
      <c r="P681" s="115"/>
    </row>
    <row r="682" spans="10:16" ht="12.5" x14ac:dyDescent="0.25">
      <c r="J682" s="115"/>
      <c r="K682" s="115"/>
      <c r="L682" s="115"/>
      <c r="M682" s="115"/>
      <c r="N682" s="115"/>
      <c r="O682" s="115"/>
      <c r="P682" s="115"/>
    </row>
    <row r="683" spans="10:16" ht="12.5" x14ac:dyDescent="0.25">
      <c r="J683" s="115"/>
      <c r="K683" s="115"/>
      <c r="L683" s="115"/>
      <c r="M683" s="115"/>
      <c r="N683" s="115"/>
      <c r="O683" s="115"/>
      <c r="P683" s="115"/>
    </row>
    <row r="684" spans="10:16" ht="12.5" x14ac:dyDescent="0.25">
      <c r="J684" s="115"/>
      <c r="K684" s="115"/>
      <c r="L684" s="115"/>
      <c r="M684" s="115"/>
      <c r="N684" s="115"/>
      <c r="O684" s="115"/>
      <c r="P684" s="115"/>
    </row>
    <row r="685" spans="10:16" ht="12.5" x14ac:dyDescent="0.25">
      <c r="J685" s="115"/>
      <c r="K685" s="115"/>
      <c r="L685" s="115"/>
      <c r="M685" s="115"/>
      <c r="N685" s="115"/>
      <c r="O685" s="115"/>
      <c r="P685" s="115"/>
    </row>
    <row r="686" spans="10:16" ht="12.5" x14ac:dyDescent="0.25">
      <c r="J686" s="115"/>
      <c r="K686" s="115"/>
      <c r="L686" s="115"/>
      <c r="M686" s="115"/>
      <c r="N686" s="115"/>
      <c r="O686" s="115"/>
      <c r="P686" s="115"/>
    </row>
    <row r="687" spans="10:16" ht="12.5" x14ac:dyDescent="0.25">
      <c r="J687" s="115"/>
      <c r="K687" s="115"/>
      <c r="L687" s="115"/>
      <c r="M687" s="115"/>
      <c r="N687" s="115"/>
      <c r="O687" s="115"/>
      <c r="P687" s="115"/>
    </row>
    <row r="688" spans="10:16" ht="12.5" x14ac:dyDescent="0.25">
      <c r="J688" s="115"/>
      <c r="K688" s="115"/>
      <c r="L688" s="115"/>
      <c r="M688" s="115"/>
      <c r="N688" s="115"/>
      <c r="O688" s="115"/>
      <c r="P688" s="115"/>
    </row>
    <row r="689" spans="10:16" ht="12.5" x14ac:dyDescent="0.25">
      <c r="J689" s="115"/>
      <c r="K689" s="115"/>
      <c r="L689" s="115"/>
      <c r="M689" s="115"/>
      <c r="N689" s="115"/>
      <c r="O689" s="115"/>
      <c r="P689" s="115"/>
    </row>
    <row r="690" spans="10:16" ht="12.5" x14ac:dyDescent="0.25">
      <c r="J690" s="115"/>
      <c r="K690" s="115"/>
      <c r="L690" s="115"/>
      <c r="M690" s="115"/>
      <c r="N690" s="115"/>
      <c r="O690" s="115"/>
      <c r="P690" s="115"/>
    </row>
    <row r="691" spans="10:16" ht="12.5" x14ac:dyDescent="0.25">
      <c r="J691" s="115"/>
      <c r="K691" s="115"/>
      <c r="L691" s="115"/>
      <c r="M691" s="115"/>
      <c r="N691" s="115"/>
      <c r="O691" s="115"/>
      <c r="P691" s="115"/>
    </row>
    <row r="692" spans="10:16" ht="12.5" x14ac:dyDescent="0.25">
      <c r="J692" s="115"/>
      <c r="K692" s="115"/>
      <c r="L692" s="115"/>
      <c r="M692" s="115"/>
      <c r="N692" s="115"/>
      <c r="O692" s="115"/>
      <c r="P692" s="115"/>
    </row>
    <row r="693" spans="10:16" ht="12.5" x14ac:dyDescent="0.25">
      <c r="J693" s="115"/>
      <c r="K693" s="115"/>
      <c r="L693" s="115"/>
      <c r="M693" s="115"/>
      <c r="N693" s="115"/>
      <c r="O693" s="115"/>
      <c r="P693" s="115"/>
    </row>
    <row r="694" spans="10:16" ht="12.5" x14ac:dyDescent="0.25">
      <c r="J694" s="115"/>
      <c r="K694" s="115"/>
      <c r="L694" s="115"/>
      <c r="M694" s="115"/>
      <c r="N694" s="115"/>
      <c r="O694" s="115"/>
      <c r="P694" s="115"/>
    </row>
    <row r="695" spans="10:16" ht="12.5" x14ac:dyDescent="0.25">
      <c r="J695" s="115"/>
      <c r="K695" s="115"/>
      <c r="L695" s="115"/>
      <c r="M695" s="115"/>
      <c r="N695" s="115"/>
      <c r="O695" s="115"/>
      <c r="P695" s="115"/>
    </row>
    <row r="696" spans="10:16" ht="12.5" x14ac:dyDescent="0.25">
      <c r="J696" s="115"/>
      <c r="K696" s="115"/>
      <c r="L696" s="115"/>
      <c r="M696" s="115"/>
      <c r="N696" s="115"/>
      <c r="O696" s="115"/>
      <c r="P696" s="115"/>
    </row>
    <row r="697" spans="10:16" ht="12.5" x14ac:dyDescent="0.25">
      <c r="J697" s="115"/>
      <c r="K697" s="115"/>
      <c r="L697" s="115"/>
      <c r="M697" s="115"/>
      <c r="N697" s="115"/>
      <c r="O697" s="115"/>
      <c r="P697" s="115"/>
    </row>
    <row r="698" spans="10:16" ht="12.5" x14ac:dyDescent="0.25">
      <c r="J698" s="115"/>
      <c r="K698" s="115"/>
      <c r="L698" s="115"/>
      <c r="M698" s="115"/>
      <c r="N698" s="115"/>
      <c r="O698" s="115"/>
      <c r="P698" s="115"/>
    </row>
    <row r="699" spans="10:16" ht="12.5" x14ac:dyDescent="0.25">
      <c r="J699" s="115"/>
      <c r="K699" s="115"/>
      <c r="L699" s="115"/>
      <c r="M699" s="115"/>
      <c r="N699" s="115"/>
      <c r="O699" s="115"/>
      <c r="P699" s="115"/>
    </row>
    <row r="700" spans="10:16" ht="12.5" x14ac:dyDescent="0.25">
      <c r="J700" s="115"/>
      <c r="K700" s="115"/>
      <c r="L700" s="115"/>
      <c r="M700" s="115"/>
      <c r="N700" s="115"/>
      <c r="O700" s="115"/>
      <c r="P700" s="115"/>
    </row>
    <row r="701" spans="10:16" ht="12.5" x14ac:dyDescent="0.25">
      <c r="J701" s="115"/>
      <c r="K701" s="115"/>
      <c r="L701" s="115"/>
      <c r="M701" s="115"/>
      <c r="N701" s="115"/>
      <c r="O701" s="115"/>
      <c r="P701" s="115"/>
    </row>
    <row r="702" spans="10:16" ht="12.5" x14ac:dyDescent="0.25">
      <c r="J702" s="115"/>
      <c r="K702" s="115"/>
      <c r="L702" s="115"/>
      <c r="M702" s="115"/>
      <c r="N702" s="115"/>
      <c r="O702" s="115"/>
      <c r="P702" s="115"/>
    </row>
    <row r="703" spans="10:16" ht="12.5" x14ac:dyDescent="0.25">
      <c r="J703" s="115"/>
      <c r="K703" s="115"/>
      <c r="L703" s="115"/>
      <c r="M703" s="115"/>
      <c r="N703" s="115"/>
      <c r="O703" s="115"/>
      <c r="P703" s="115"/>
    </row>
    <row r="704" spans="10:16" ht="12.5" x14ac:dyDescent="0.25">
      <c r="J704" s="115"/>
      <c r="K704" s="115"/>
      <c r="L704" s="115"/>
      <c r="M704" s="115"/>
      <c r="N704" s="115"/>
      <c r="O704" s="115"/>
      <c r="P704" s="115"/>
    </row>
    <row r="705" spans="10:16" ht="12.5" x14ac:dyDescent="0.25">
      <c r="J705" s="115"/>
      <c r="K705" s="115"/>
      <c r="L705" s="115"/>
      <c r="M705" s="115"/>
      <c r="N705" s="115"/>
      <c r="O705" s="115"/>
      <c r="P705" s="115"/>
    </row>
    <row r="706" spans="10:16" ht="12.5" x14ac:dyDescent="0.25">
      <c r="J706" s="115"/>
      <c r="K706" s="115"/>
      <c r="L706" s="115"/>
      <c r="M706" s="115"/>
      <c r="N706" s="115"/>
      <c r="O706" s="115"/>
      <c r="P706" s="115"/>
    </row>
    <row r="707" spans="10:16" ht="12.5" x14ac:dyDescent="0.25">
      <c r="J707" s="115"/>
      <c r="K707" s="115"/>
      <c r="L707" s="115"/>
      <c r="M707" s="115"/>
      <c r="N707" s="115"/>
      <c r="O707" s="115"/>
      <c r="P707" s="115"/>
    </row>
    <row r="708" spans="10:16" ht="12.5" x14ac:dyDescent="0.25">
      <c r="J708" s="115"/>
      <c r="K708" s="115"/>
      <c r="L708" s="115"/>
      <c r="M708" s="115"/>
      <c r="N708" s="115"/>
      <c r="O708" s="115"/>
      <c r="P708" s="115"/>
    </row>
    <row r="709" spans="10:16" ht="12.5" x14ac:dyDescent="0.25">
      <c r="J709" s="115"/>
      <c r="K709" s="115"/>
      <c r="L709" s="115"/>
      <c r="M709" s="115"/>
      <c r="N709" s="115"/>
      <c r="O709" s="115"/>
      <c r="P709" s="115"/>
    </row>
    <row r="710" spans="10:16" ht="12.5" x14ac:dyDescent="0.25">
      <c r="J710" s="115"/>
      <c r="K710" s="115"/>
      <c r="L710" s="115"/>
      <c r="M710" s="115"/>
      <c r="N710" s="115"/>
      <c r="O710" s="115"/>
      <c r="P710" s="115"/>
    </row>
    <row r="711" spans="10:16" ht="12.5" x14ac:dyDescent="0.25">
      <c r="J711" s="115"/>
      <c r="K711" s="115"/>
      <c r="L711" s="115"/>
      <c r="M711" s="115"/>
      <c r="N711" s="115"/>
      <c r="O711" s="115"/>
      <c r="P711" s="115"/>
    </row>
    <row r="712" spans="10:16" ht="12.5" x14ac:dyDescent="0.25">
      <c r="J712" s="115"/>
      <c r="K712" s="115"/>
      <c r="L712" s="115"/>
      <c r="M712" s="115"/>
      <c r="N712" s="115"/>
      <c r="O712" s="115"/>
      <c r="P712" s="115"/>
    </row>
    <row r="713" spans="10:16" ht="12.5" x14ac:dyDescent="0.25">
      <c r="J713" s="115"/>
      <c r="K713" s="115"/>
      <c r="L713" s="115"/>
      <c r="M713" s="115"/>
      <c r="N713" s="115"/>
      <c r="O713" s="115"/>
      <c r="P713" s="115"/>
    </row>
    <row r="714" spans="10:16" ht="12.5" x14ac:dyDescent="0.25">
      <c r="J714" s="115"/>
      <c r="K714" s="115"/>
      <c r="L714" s="115"/>
      <c r="M714" s="115"/>
      <c r="N714" s="115"/>
      <c r="O714" s="115"/>
      <c r="P714" s="115"/>
    </row>
    <row r="715" spans="10:16" ht="12.5" x14ac:dyDescent="0.25">
      <c r="J715" s="115"/>
      <c r="K715" s="115"/>
      <c r="L715" s="115"/>
      <c r="M715" s="115"/>
      <c r="N715" s="115"/>
      <c r="O715" s="115"/>
      <c r="P715" s="115"/>
    </row>
    <row r="716" spans="10:16" ht="12.5" x14ac:dyDescent="0.25">
      <c r="J716" s="115"/>
      <c r="K716" s="115"/>
      <c r="L716" s="115"/>
      <c r="M716" s="115"/>
      <c r="N716" s="115"/>
      <c r="O716" s="115"/>
      <c r="P716" s="115"/>
    </row>
    <row r="717" spans="10:16" ht="12.5" x14ac:dyDescent="0.25">
      <c r="J717" s="115"/>
      <c r="K717" s="115"/>
      <c r="L717" s="115"/>
      <c r="M717" s="115"/>
      <c r="N717" s="115"/>
      <c r="O717" s="115"/>
      <c r="P717" s="115"/>
    </row>
    <row r="718" spans="10:16" ht="12.5" x14ac:dyDescent="0.25">
      <c r="J718" s="115"/>
      <c r="K718" s="115"/>
      <c r="L718" s="115"/>
      <c r="M718" s="115"/>
      <c r="N718" s="115"/>
      <c r="O718" s="115"/>
      <c r="P718" s="115"/>
    </row>
    <row r="719" spans="10:16" ht="12.5" x14ac:dyDescent="0.25">
      <c r="J719" s="115"/>
      <c r="K719" s="115"/>
      <c r="L719" s="115"/>
      <c r="M719" s="115"/>
      <c r="N719" s="115"/>
      <c r="O719" s="115"/>
      <c r="P719" s="115"/>
    </row>
    <row r="720" spans="10:16" ht="12.5" x14ac:dyDescent="0.25">
      <c r="J720" s="115"/>
      <c r="K720" s="115"/>
      <c r="L720" s="115"/>
      <c r="M720" s="115"/>
      <c r="N720" s="115"/>
      <c r="O720" s="115"/>
      <c r="P720" s="115"/>
    </row>
    <row r="721" spans="10:16" ht="12.5" x14ac:dyDescent="0.25">
      <c r="J721" s="115"/>
      <c r="K721" s="115"/>
      <c r="L721" s="115"/>
      <c r="M721" s="115"/>
      <c r="N721" s="115"/>
      <c r="O721" s="115"/>
      <c r="P721" s="115"/>
    </row>
    <row r="722" spans="10:16" ht="12.5" x14ac:dyDescent="0.25">
      <c r="J722" s="115"/>
      <c r="K722" s="115"/>
      <c r="L722" s="115"/>
      <c r="M722" s="115"/>
      <c r="N722" s="115"/>
      <c r="O722" s="115"/>
      <c r="P722" s="115"/>
    </row>
    <row r="723" spans="10:16" ht="12.5" x14ac:dyDescent="0.25">
      <c r="J723" s="115"/>
      <c r="K723" s="115"/>
      <c r="L723" s="115"/>
      <c r="M723" s="115"/>
      <c r="N723" s="115"/>
      <c r="O723" s="115"/>
      <c r="P723" s="115"/>
    </row>
    <row r="724" spans="10:16" ht="12.5" x14ac:dyDescent="0.25">
      <c r="J724" s="115"/>
      <c r="K724" s="115"/>
      <c r="L724" s="115"/>
      <c r="M724" s="115"/>
      <c r="N724" s="115"/>
      <c r="O724" s="115"/>
      <c r="P724" s="115"/>
    </row>
    <row r="725" spans="10:16" ht="12.5" x14ac:dyDescent="0.25">
      <c r="J725" s="115"/>
      <c r="K725" s="115"/>
      <c r="L725" s="115"/>
      <c r="M725" s="115"/>
      <c r="N725" s="115"/>
      <c r="O725" s="115"/>
      <c r="P725" s="115"/>
    </row>
    <row r="726" spans="10:16" ht="12.5" x14ac:dyDescent="0.25">
      <c r="J726" s="115"/>
      <c r="K726" s="115"/>
      <c r="L726" s="115"/>
      <c r="M726" s="115"/>
      <c r="N726" s="115"/>
      <c r="O726" s="115"/>
      <c r="P726" s="115"/>
    </row>
    <row r="727" spans="10:16" ht="12.5" x14ac:dyDescent="0.25">
      <c r="J727" s="115"/>
      <c r="K727" s="115"/>
      <c r="L727" s="115"/>
      <c r="M727" s="115"/>
      <c r="N727" s="115"/>
      <c r="O727" s="115"/>
      <c r="P727" s="115"/>
    </row>
    <row r="728" spans="10:16" ht="12.5" x14ac:dyDescent="0.25">
      <c r="J728" s="115"/>
      <c r="K728" s="115"/>
      <c r="L728" s="115"/>
      <c r="M728" s="115"/>
      <c r="N728" s="115"/>
      <c r="O728" s="115"/>
      <c r="P728" s="115"/>
    </row>
    <row r="729" spans="10:16" ht="12.5" x14ac:dyDescent="0.25">
      <c r="J729" s="115"/>
      <c r="K729" s="115"/>
      <c r="L729" s="115"/>
      <c r="M729" s="115"/>
      <c r="N729" s="115"/>
      <c r="O729" s="115"/>
      <c r="P729" s="115"/>
    </row>
    <row r="730" spans="10:16" ht="12.5" x14ac:dyDescent="0.25">
      <c r="J730" s="115"/>
      <c r="K730" s="115"/>
      <c r="L730" s="115"/>
      <c r="M730" s="115"/>
      <c r="N730" s="115"/>
      <c r="O730" s="115"/>
      <c r="P730" s="115"/>
    </row>
    <row r="731" spans="10:16" ht="12.5" x14ac:dyDescent="0.25">
      <c r="J731" s="115"/>
      <c r="K731" s="115"/>
      <c r="L731" s="115"/>
      <c r="M731" s="115"/>
      <c r="N731" s="115"/>
      <c r="O731" s="115"/>
      <c r="P731" s="115"/>
    </row>
    <row r="732" spans="10:16" ht="12.5" x14ac:dyDescent="0.25">
      <c r="J732" s="115"/>
      <c r="K732" s="115"/>
      <c r="L732" s="115"/>
      <c r="M732" s="115"/>
      <c r="N732" s="115"/>
      <c r="O732" s="115"/>
      <c r="P732" s="115"/>
    </row>
    <row r="733" spans="10:16" ht="12.5" x14ac:dyDescent="0.25">
      <c r="J733" s="115"/>
      <c r="K733" s="115"/>
      <c r="L733" s="115"/>
      <c r="M733" s="115"/>
      <c r="N733" s="115"/>
      <c r="O733" s="115"/>
      <c r="P733" s="115"/>
    </row>
    <row r="734" spans="10:16" ht="12.5" x14ac:dyDescent="0.25">
      <c r="J734" s="115"/>
      <c r="K734" s="115"/>
      <c r="L734" s="115"/>
      <c r="M734" s="115"/>
      <c r="N734" s="115"/>
      <c r="O734" s="115"/>
      <c r="P734" s="115"/>
    </row>
    <row r="735" spans="10:16" ht="12.5" x14ac:dyDescent="0.25">
      <c r="J735" s="115"/>
      <c r="K735" s="115"/>
      <c r="L735" s="115"/>
      <c r="M735" s="115"/>
      <c r="N735" s="115"/>
      <c r="O735" s="115"/>
      <c r="P735" s="115"/>
    </row>
    <row r="736" spans="10:16" ht="12.5" x14ac:dyDescent="0.25">
      <c r="J736" s="115"/>
      <c r="K736" s="115"/>
      <c r="L736" s="115"/>
      <c r="M736" s="115"/>
      <c r="N736" s="115"/>
      <c r="O736" s="115"/>
      <c r="P736" s="115"/>
    </row>
    <row r="737" spans="10:16" ht="12.5" x14ac:dyDescent="0.25">
      <c r="J737" s="115"/>
      <c r="K737" s="115"/>
      <c r="L737" s="115"/>
      <c r="M737" s="115"/>
      <c r="N737" s="115"/>
      <c r="O737" s="115"/>
      <c r="P737" s="115"/>
    </row>
    <row r="738" spans="10:16" ht="12.5" x14ac:dyDescent="0.25">
      <c r="J738" s="115"/>
      <c r="K738" s="115"/>
      <c r="L738" s="115"/>
      <c r="M738" s="115"/>
      <c r="N738" s="115"/>
      <c r="O738" s="115"/>
      <c r="P738" s="115"/>
    </row>
    <row r="739" spans="10:16" ht="12.5" x14ac:dyDescent="0.25">
      <c r="J739" s="115"/>
      <c r="K739" s="115"/>
      <c r="L739" s="115"/>
      <c r="M739" s="115"/>
      <c r="N739" s="115"/>
      <c r="O739" s="115"/>
      <c r="P739" s="115"/>
    </row>
    <row r="740" spans="10:16" ht="12.5" x14ac:dyDescent="0.25">
      <c r="J740" s="115"/>
      <c r="K740" s="115"/>
      <c r="L740" s="115"/>
      <c r="M740" s="115"/>
      <c r="N740" s="115"/>
      <c r="O740" s="115"/>
      <c r="P740" s="115"/>
    </row>
    <row r="741" spans="10:16" ht="12.5" x14ac:dyDescent="0.25">
      <c r="J741" s="115"/>
      <c r="K741" s="115"/>
      <c r="L741" s="115"/>
      <c r="M741" s="115"/>
      <c r="N741" s="115"/>
      <c r="O741" s="115"/>
      <c r="P741" s="115"/>
    </row>
    <row r="742" spans="10:16" ht="12.5" x14ac:dyDescent="0.25">
      <c r="J742" s="115"/>
      <c r="K742" s="115"/>
      <c r="L742" s="115"/>
      <c r="M742" s="115"/>
      <c r="N742" s="115"/>
      <c r="O742" s="115"/>
      <c r="P742" s="115"/>
    </row>
    <row r="743" spans="10:16" ht="12.5" x14ac:dyDescent="0.25">
      <c r="J743" s="115"/>
      <c r="K743" s="115"/>
      <c r="L743" s="115"/>
      <c r="M743" s="115"/>
      <c r="N743" s="115"/>
      <c r="O743" s="115"/>
      <c r="P743" s="115"/>
    </row>
    <row r="744" spans="10:16" ht="12.5" x14ac:dyDescent="0.25">
      <c r="J744" s="115"/>
      <c r="K744" s="115"/>
      <c r="L744" s="115"/>
      <c r="M744" s="115"/>
      <c r="N744" s="115"/>
      <c r="O744" s="115"/>
      <c r="P744" s="115"/>
    </row>
    <row r="745" spans="10:16" ht="12.5" x14ac:dyDescent="0.25">
      <c r="J745" s="115"/>
      <c r="K745" s="115"/>
      <c r="L745" s="115"/>
      <c r="M745" s="115"/>
      <c r="N745" s="115"/>
      <c r="O745" s="115"/>
      <c r="P745" s="115"/>
    </row>
    <row r="746" spans="10:16" ht="12.5" x14ac:dyDescent="0.25">
      <c r="J746" s="115"/>
      <c r="K746" s="115"/>
      <c r="L746" s="115"/>
      <c r="M746" s="115"/>
      <c r="N746" s="115"/>
      <c r="O746" s="115"/>
      <c r="P746" s="115"/>
    </row>
    <row r="747" spans="10:16" ht="12.5" x14ac:dyDescent="0.25">
      <c r="J747" s="115"/>
      <c r="K747" s="115"/>
      <c r="L747" s="115"/>
      <c r="M747" s="115"/>
      <c r="N747" s="115"/>
      <c r="O747" s="115"/>
      <c r="P747" s="115"/>
    </row>
    <row r="748" spans="10:16" ht="12.5" x14ac:dyDescent="0.25">
      <c r="J748" s="115"/>
      <c r="K748" s="115"/>
      <c r="L748" s="115"/>
      <c r="M748" s="115"/>
      <c r="N748" s="115"/>
      <c r="O748" s="115"/>
      <c r="P748" s="115"/>
    </row>
    <row r="749" spans="10:16" ht="12.5" x14ac:dyDescent="0.25">
      <c r="J749" s="115"/>
      <c r="K749" s="115"/>
      <c r="L749" s="115"/>
      <c r="M749" s="115"/>
      <c r="N749" s="115"/>
      <c r="O749" s="115"/>
      <c r="P749" s="115"/>
    </row>
    <row r="750" spans="10:16" ht="12.5" x14ac:dyDescent="0.25">
      <c r="J750" s="115"/>
      <c r="K750" s="115"/>
      <c r="L750" s="115"/>
      <c r="M750" s="115"/>
      <c r="N750" s="115"/>
      <c r="O750" s="115"/>
      <c r="P750" s="115"/>
    </row>
    <row r="751" spans="10:16" ht="12.5" x14ac:dyDescent="0.25">
      <c r="J751" s="115"/>
      <c r="K751" s="115"/>
      <c r="L751" s="115"/>
      <c r="M751" s="115"/>
      <c r="N751" s="115"/>
      <c r="O751" s="115"/>
      <c r="P751" s="115"/>
    </row>
    <row r="752" spans="10:16" ht="12.5" x14ac:dyDescent="0.25">
      <c r="J752" s="115"/>
      <c r="K752" s="115"/>
      <c r="L752" s="115"/>
      <c r="M752" s="115"/>
      <c r="N752" s="115"/>
      <c r="O752" s="115"/>
      <c r="P752" s="115"/>
    </row>
    <row r="753" spans="10:16" ht="12.5" x14ac:dyDescent="0.25">
      <c r="J753" s="115"/>
      <c r="K753" s="115"/>
      <c r="L753" s="115"/>
      <c r="M753" s="115"/>
      <c r="N753" s="115"/>
      <c r="O753" s="115"/>
      <c r="P753" s="115"/>
    </row>
    <row r="754" spans="10:16" ht="12.5" x14ac:dyDescent="0.25">
      <c r="J754" s="115"/>
      <c r="K754" s="115"/>
      <c r="L754" s="115"/>
      <c r="M754" s="115"/>
      <c r="N754" s="115"/>
      <c r="O754" s="115"/>
      <c r="P754" s="115"/>
    </row>
    <row r="755" spans="10:16" ht="12.5" x14ac:dyDescent="0.25">
      <c r="J755" s="115"/>
      <c r="K755" s="115"/>
      <c r="L755" s="115"/>
      <c r="M755" s="115"/>
      <c r="N755" s="115"/>
      <c r="O755" s="115"/>
      <c r="P755" s="115"/>
    </row>
    <row r="756" spans="10:16" ht="12.5" x14ac:dyDescent="0.25">
      <c r="J756" s="115"/>
      <c r="K756" s="115"/>
      <c r="L756" s="115"/>
      <c r="M756" s="115"/>
      <c r="N756" s="115"/>
      <c r="O756" s="115"/>
      <c r="P756" s="115"/>
    </row>
    <row r="757" spans="10:16" ht="12.5" x14ac:dyDescent="0.25">
      <c r="J757" s="115"/>
      <c r="K757" s="115"/>
      <c r="L757" s="115"/>
      <c r="M757" s="115"/>
      <c r="N757" s="115"/>
      <c r="O757" s="115"/>
      <c r="P757" s="115"/>
    </row>
    <row r="758" spans="10:16" ht="12.5" x14ac:dyDescent="0.25">
      <c r="J758" s="115"/>
      <c r="K758" s="115"/>
      <c r="L758" s="115"/>
      <c r="M758" s="115"/>
      <c r="N758" s="115"/>
      <c r="O758" s="115"/>
      <c r="P758" s="115"/>
    </row>
    <row r="759" spans="10:16" ht="12.5" x14ac:dyDescent="0.25">
      <c r="J759" s="115"/>
      <c r="K759" s="115"/>
      <c r="L759" s="115"/>
      <c r="M759" s="115"/>
      <c r="N759" s="115"/>
      <c r="O759" s="115"/>
      <c r="P759" s="115"/>
    </row>
    <row r="760" spans="10:16" ht="12.5" x14ac:dyDescent="0.25">
      <c r="J760" s="115"/>
      <c r="K760" s="115"/>
      <c r="L760" s="115"/>
      <c r="M760" s="115"/>
      <c r="N760" s="115"/>
      <c r="O760" s="115"/>
      <c r="P760" s="115"/>
    </row>
    <row r="761" spans="10:16" ht="12.5" x14ac:dyDescent="0.25">
      <c r="J761" s="115"/>
      <c r="K761" s="115"/>
      <c r="L761" s="115"/>
      <c r="M761" s="115"/>
      <c r="N761" s="115"/>
      <c r="O761" s="115"/>
      <c r="P761" s="115"/>
    </row>
    <row r="762" spans="10:16" ht="12.5" x14ac:dyDescent="0.25">
      <c r="J762" s="115"/>
      <c r="K762" s="115"/>
      <c r="L762" s="115"/>
      <c r="M762" s="115"/>
      <c r="N762" s="115"/>
      <c r="O762" s="115"/>
      <c r="P762" s="115"/>
    </row>
    <row r="763" spans="10:16" ht="12.5" x14ac:dyDescent="0.25">
      <c r="J763" s="115"/>
      <c r="K763" s="115"/>
      <c r="L763" s="115"/>
      <c r="M763" s="115"/>
      <c r="N763" s="115"/>
      <c r="O763" s="115"/>
      <c r="P763" s="115"/>
    </row>
    <row r="764" spans="10:16" ht="12.5" x14ac:dyDescent="0.25">
      <c r="J764" s="115"/>
      <c r="K764" s="115"/>
      <c r="L764" s="115"/>
      <c r="M764" s="115"/>
      <c r="N764" s="115"/>
      <c r="O764" s="115"/>
      <c r="P764" s="115"/>
    </row>
    <row r="765" spans="10:16" ht="12.5" x14ac:dyDescent="0.25">
      <c r="J765" s="115"/>
      <c r="K765" s="115"/>
      <c r="L765" s="115"/>
      <c r="M765" s="115"/>
      <c r="N765" s="115"/>
      <c r="O765" s="115"/>
      <c r="P765" s="115"/>
    </row>
    <row r="766" spans="10:16" ht="12.5" x14ac:dyDescent="0.25">
      <c r="J766" s="115"/>
      <c r="K766" s="115"/>
      <c r="L766" s="115"/>
      <c r="M766" s="115"/>
      <c r="N766" s="115"/>
      <c r="O766" s="115"/>
      <c r="P766" s="115"/>
    </row>
    <row r="767" spans="10:16" ht="12.5" x14ac:dyDescent="0.25">
      <c r="J767" s="115"/>
      <c r="K767" s="115"/>
      <c r="L767" s="115"/>
      <c r="M767" s="115"/>
      <c r="N767" s="115"/>
      <c r="O767" s="115"/>
      <c r="P767" s="115"/>
    </row>
    <row r="768" spans="10:16" ht="12.5" x14ac:dyDescent="0.25">
      <c r="J768" s="115"/>
      <c r="K768" s="115"/>
      <c r="L768" s="115"/>
      <c r="M768" s="115"/>
      <c r="N768" s="115"/>
      <c r="O768" s="115"/>
      <c r="P768" s="115"/>
    </row>
    <row r="769" spans="10:16" ht="12.5" x14ac:dyDescent="0.25">
      <c r="J769" s="115"/>
      <c r="K769" s="115"/>
      <c r="L769" s="115"/>
      <c r="M769" s="115"/>
      <c r="N769" s="115"/>
      <c r="O769" s="115"/>
      <c r="P769" s="115"/>
    </row>
    <row r="770" spans="10:16" ht="12.5" x14ac:dyDescent="0.25">
      <c r="J770" s="115"/>
      <c r="K770" s="115"/>
      <c r="L770" s="115"/>
      <c r="M770" s="115"/>
      <c r="N770" s="115"/>
      <c r="O770" s="115"/>
      <c r="P770" s="115"/>
    </row>
    <row r="771" spans="10:16" ht="12.5" x14ac:dyDescent="0.25">
      <c r="J771" s="115"/>
      <c r="K771" s="115"/>
      <c r="L771" s="115"/>
      <c r="M771" s="115"/>
      <c r="N771" s="115"/>
      <c r="O771" s="115"/>
      <c r="P771" s="115"/>
    </row>
    <row r="772" spans="10:16" ht="12.5" x14ac:dyDescent="0.25">
      <c r="J772" s="115"/>
      <c r="K772" s="115"/>
      <c r="L772" s="115"/>
      <c r="M772" s="115"/>
      <c r="N772" s="115"/>
      <c r="O772" s="115"/>
      <c r="P772" s="115"/>
    </row>
    <row r="773" spans="10:16" ht="12.5" x14ac:dyDescent="0.25">
      <c r="J773" s="115"/>
      <c r="K773" s="115"/>
      <c r="L773" s="115"/>
      <c r="M773" s="115"/>
      <c r="N773" s="115"/>
      <c r="O773" s="115"/>
      <c r="P773" s="115"/>
    </row>
    <row r="774" spans="10:16" ht="12.5" x14ac:dyDescent="0.25">
      <c r="J774" s="115"/>
      <c r="K774" s="115"/>
      <c r="L774" s="115"/>
      <c r="M774" s="115"/>
      <c r="N774" s="115"/>
      <c r="O774" s="115"/>
      <c r="P774" s="115"/>
    </row>
    <row r="775" spans="10:16" ht="12.5" x14ac:dyDescent="0.25">
      <c r="J775" s="115"/>
      <c r="K775" s="115"/>
      <c r="L775" s="115"/>
      <c r="M775" s="115"/>
      <c r="N775" s="115"/>
      <c r="O775" s="115"/>
      <c r="P775" s="115"/>
    </row>
    <row r="776" spans="10:16" ht="12.5" x14ac:dyDescent="0.25">
      <c r="J776" s="115"/>
      <c r="K776" s="115"/>
      <c r="L776" s="115"/>
      <c r="M776" s="115"/>
      <c r="N776" s="115"/>
      <c r="O776" s="115"/>
      <c r="P776" s="115"/>
    </row>
    <row r="777" spans="10:16" ht="12.5" x14ac:dyDescent="0.25">
      <c r="J777" s="115"/>
      <c r="K777" s="115"/>
      <c r="L777" s="115"/>
      <c r="M777" s="115"/>
      <c r="N777" s="115"/>
      <c r="O777" s="115"/>
      <c r="P777" s="115"/>
    </row>
    <row r="778" spans="10:16" ht="12.5" x14ac:dyDescent="0.25">
      <c r="J778" s="115"/>
      <c r="K778" s="115"/>
      <c r="L778" s="115"/>
      <c r="M778" s="115"/>
      <c r="N778" s="115"/>
      <c r="O778" s="115"/>
      <c r="P778" s="115"/>
    </row>
    <row r="779" spans="10:16" ht="12.5" x14ac:dyDescent="0.25">
      <c r="J779" s="115"/>
      <c r="K779" s="115"/>
      <c r="L779" s="115"/>
      <c r="M779" s="115"/>
      <c r="N779" s="115"/>
      <c r="O779" s="115"/>
      <c r="P779" s="115"/>
    </row>
    <row r="780" spans="10:16" ht="12.5" x14ac:dyDescent="0.25">
      <c r="J780" s="115"/>
      <c r="K780" s="115"/>
      <c r="L780" s="115"/>
      <c r="M780" s="115"/>
      <c r="N780" s="115"/>
      <c r="O780" s="115"/>
      <c r="P780" s="115"/>
    </row>
    <row r="781" spans="10:16" ht="12.5" x14ac:dyDescent="0.25">
      <c r="J781" s="115"/>
      <c r="K781" s="115"/>
      <c r="L781" s="115"/>
      <c r="M781" s="115"/>
      <c r="N781" s="115"/>
      <c r="O781" s="115"/>
      <c r="P781" s="115"/>
    </row>
    <row r="782" spans="10:16" ht="12.5" x14ac:dyDescent="0.25">
      <c r="J782" s="115"/>
      <c r="K782" s="115"/>
      <c r="L782" s="115"/>
      <c r="M782" s="115"/>
      <c r="N782" s="115"/>
      <c r="O782" s="115"/>
      <c r="P782" s="115"/>
    </row>
    <row r="783" spans="10:16" ht="12.5" x14ac:dyDescent="0.25">
      <c r="J783" s="115"/>
      <c r="K783" s="115"/>
      <c r="L783" s="115"/>
      <c r="M783" s="115"/>
      <c r="N783" s="115"/>
      <c r="O783" s="115"/>
      <c r="P783" s="115"/>
    </row>
    <row r="784" spans="10:16" ht="12.5" x14ac:dyDescent="0.25">
      <c r="J784" s="115"/>
      <c r="K784" s="115"/>
      <c r="L784" s="115"/>
      <c r="M784" s="115"/>
      <c r="N784" s="115"/>
      <c r="O784" s="115"/>
      <c r="P784" s="115"/>
    </row>
    <row r="785" spans="10:16" ht="12.5" x14ac:dyDescent="0.25">
      <c r="J785" s="115"/>
      <c r="K785" s="115"/>
      <c r="L785" s="115"/>
      <c r="M785" s="115"/>
      <c r="N785" s="115"/>
      <c r="O785" s="115"/>
      <c r="P785" s="115"/>
    </row>
    <row r="786" spans="10:16" ht="12.5" x14ac:dyDescent="0.25">
      <c r="J786" s="115"/>
      <c r="K786" s="115"/>
      <c r="L786" s="115"/>
      <c r="M786" s="115"/>
      <c r="N786" s="115"/>
      <c r="O786" s="115"/>
      <c r="P786" s="115"/>
    </row>
    <row r="787" spans="10:16" ht="12.5" x14ac:dyDescent="0.25">
      <c r="J787" s="115"/>
      <c r="K787" s="115"/>
      <c r="L787" s="115"/>
      <c r="M787" s="115"/>
      <c r="N787" s="115"/>
      <c r="O787" s="115"/>
      <c r="P787" s="115"/>
    </row>
    <row r="788" spans="10:16" ht="12.5" x14ac:dyDescent="0.25">
      <c r="J788" s="115"/>
      <c r="K788" s="115"/>
      <c r="L788" s="115"/>
      <c r="M788" s="115"/>
      <c r="N788" s="115"/>
      <c r="O788" s="115"/>
      <c r="P788" s="115"/>
    </row>
    <row r="789" spans="10:16" ht="12.5" x14ac:dyDescent="0.25">
      <c r="J789" s="115"/>
      <c r="K789" s="115"/>
      <c r="L789" s="115"/>
      <c r="M789" s="115"/>
      <c r="N789" s="115"/>
      <c r="O789" s="115"/>
      <c r="P789" s="115"/>
    </row>
    <row r="790" spans="10:16" ht="12.5" x14ac:dyDescent="0.25">
      <c r="J790" s="115"/>
      <c r="K790" s="115"/>
      <c r="L790" s="115"/>
      <c r="M790" s="115"/>
      <c r="N790" s="115"/>
      <c r="O790" s="115"/>
      <c r="P790" s="115"/>
    </row>
    <row r="791" spans="10:16" ht="12.5" x14ac:dyDescent="0.25">
      <c r="J791" s="115"/>
      <c r="K791" s="115"/>
      <c r="L791" s="115"/>
      <c r="M791" s="115"/>
      <c r="N791" s="115"/>
      <c r="O791" s="115"/>
      <c r="P791" s="115"/>
    </row>
    <row r="792" spans="10:16" ht="12.5" x14ac:dyDescent="0.25">
      <c r="J792" s="115"/>
      <c r="K792" s="115"/>
      <c r="L792" s="115"/>
      <c r="M792" s="115"/>
      <c r="N792" s="115"/>
      <c r="O792" s="115"/>
      <c r="P792" s="115"/>
    </row>
    <row r="793" spans="10:16" ht="12.5" x14ac:dyDescent="0.25">
      <c r="J793" s="115"/>
      <c r="K793" s="115"/>
      <c r="L793" s="115"/>
      <c r="M793" s="115"/>
      <c r="N793" s="115"/>
      <c r="O793" s="115"/>
      <c r="P793" s="115"/>
    </row>
    <row r="794" spans="10:16" ht="12.5" x14ac:dyDescent="0.25">
      <c r="J794" s="115"/>
      <c r="K794" s="115"/>
      <c r="L794" s="115"/>
      <c r="M794" s="115"/>
      <c r="N794" s="115"/>
      <c r="O794" s="115"/>
      <c r="P794" s="115"/>
    </row>
    <row r="795" spans="10:16" ht="12.5" x14ac:dyDescent="0.25">
      <c r="J795" s="115"/>
      <c r="K795" s="115"/>
      <c r="L795" s="115"/>
      <c r="M795" s="115"/>
      <c r="N795" s="115"/>
      <c r="O795" s="115"/>
      <c r="P795" s="115"/>
    </row>
    <row r="796" spans="10:16" ht="12.5" x14ac:dyDescent="0.25">
      <c r="J796" s="115"/>
      <c r="K796" s="115"/>
      <c r="L796" s="115"/>
      <c r="M796" s="115"/>
      <c r="N796" s="115"/>
      <c r="O796" s="115"/>
      <c r="P796" s="115"/>
    </row>
    <row r="797" spans="10:16" ht="12.5" x14ac:dyDescent="0.25">
      <c r="J797" s="115"/>
      <c r="K797" s="115"/>
      <c r="L797" s="115"/>
      <c r="M797" s="115"/>
      <c r="N797" s="115"/>
      <c r="O797" s="115"/>
      <c r="P797" s="115"/>
    </row>
    <row r="798" spans="10:16" ht="12.5" x14ac:dyDescent="0.25">
      <c r="J798" s="115"/>
      <c r="K798" s="115"/>
      <c r="L798" s="115"/>
      <c r="M798" s="115"/>
      <c r="N798" s="115"/>
      <c r="O798" s="115"/>
      <c r="P798" s="115"/>
    </row>
    <row r="799" spans="10:16" ht="12.5" x14ac:dyDescent="0.25">
      <c r="J799" s="115"/>
      <c r="K799" s="115"/>
      <c r="L799" s="115"/>
      <c r="M799" s="115"/>
      <c r="N799" s="115"/>
      <c r="O799" s="115"/>
      <c r="P799" s="115"/>
    </row>
    <row r="800" spans="10:16" ht="12.5" x14ac:dyDescent="0.25">
      <c r="J800" s="115"/>
      <c r="K800" s="115"/>
      <c r="L800" s="115"/>
      <c r="M800" s="115"/>
      <c r="N800" s="115"/>
      <c r="O800" s="115"/>
      <c r="P800" s="115"/>
    </row>
    <row r="801" spans="10:16" ht="12.5" x14ac:dyDescent="0.25">
      <c r="J801" s="115"/>
      <c r="K801" s="115"/>
      <c r="L801" s="115"/>
      <c r="M801" s="115"/>
      <c r="N801" s="115"/>
      <c r="O801" s="115"/>
      <c r="P801" s="115"/>
    </row>
    <row r="802" spans="10:16" ht="12.5" x14ac:dyDescent="0.25">
      <c r="J802" s="115"/>
      <c r="K802" s="115"/>
      <c r="L802" s="115"/>
      <c r="M802" s="115"/>
      <c r="N802" s="115"/>
      <c r="O802" s="115"/>
      <c r="P802" s="115"/>
    </row>
    <row r="803" spans="10:16" ht="12.5" x14ac:dyDescent="0.25">
      <c r="J803" s="115"/>
      <c r="K803" s="115"/>
      <c r="L803" s="115"/>
      <c r="M803" s="115"/>
      <c r="N803" s="115"/>
      <c r="O803" s="115"/>
      <c r="P803" s="115"/>
    </row>
    <row r="804" spans="10:16" ht="12.5" x14ac:dyDescent="0.25">
      <c r="J804" s="115"/>
      <c r="K804" s="115"/>
      <c r="L804" s="115"/>
      <c r="M804" s="115"/>
      <c r="N804" s="115"/>
      <c r="O804" s="115"/>
      <c r="P804" s="115"/>
    </row>
    <row r="805" spans="10:16" ht="12.5" x14ac:dyDescent="0.25">
      <c r="J805" s="115"/>
      <c r="K805" s="115"/>
      <c r="L805" s="115"/>
      <c r="M805" s="115"/>
      <c r="N805" s="115"/>
      <c r="O805" s="115"/>
      <c r="P805" s="115"/>
    </row>
    <row r="806" spans="10:16" ht="12.5" x14ac:dyDescent="0.25">
      <c r="J806" s="115"/>
      <c r="K806" s="115"/>
      <c r="L806" s="115"/>
      <c r="M806" s="115"/>
      <c r="N806" s="115"/>
      <c r="O806" s="115"/>
      <c r="P806" s="115"/>
    </row>
    <row r="807" spans="10:16" ht="12.5" x14ac:dyDescent="0.25">
      <c r="J807" s="115"/>
      <c r="K807" s="115"/>
      <c r="L807" s="115"/>
      <c r="M807" s="115"/>
      <c r="N807" s="115"/>
      <c r="O807" s="115"/>
      <c r="P807" s="115"/>
    </row>
    <row r="808" spans="10:16" ht="12.5" x14ac:dyDescent="0.25">
      <c r="J808" s="115"/>
      <c r="K808" s="115"/>
      <c r="L808" s="115"/>
      <c r="M808" s="115"/>
      <c r="N808" s="115"/>
      <c r="O808" s="115"/>
      <c r="P808" s="115"/>
    </row>
    <row r="809" spans="10:16" ht="12.5" x14ac:dyDescent="0.25">
      <c r="J809" s="115"/>
      <c r="K809" s="115"/>
      <c r="L809" s="115"/>
      <c r="M809" s="115"/>
      <c r="N809" s="115"/>
      <c r="O809" s="115"/>
      <c r="P809" s="115"/>
    </row>
    <row r="810" spans="10:16" ht="12.5" x14ac:dyDescent="0.25">
      <c r="J810" s="115"/>
      <c r="K810" s="115"/>
      <c r="L810" s="115"/>
      <c r="M810" s="115"/>
      <c r="N810" s="115"/>
      <c r="O810" s="115"/>
      <c r="P810" s="115"/>
    </row>
    <row r="811" spans="10:16" ht="12.5" x14ac:dyDescent="0.25">
      <c r="J811" s="115"/>
      <c r="K811" s="115"/>
      <c r="L811" s="115"/>
      <c r="M811" s="115"/>
      <c r="N811" s="115"/>
      <c r="O811" s="115"/>
      <c r="P811" s="115"/>
    </row>
    <row r="812" spans="10:16" ht="12.5" x14ac:dyDescent="0.25">
      <c r="J812" s="115"/>
      <c r="K812" s="115"/>
      <c r="L812" s="115"/>
      <c r="M812" s="115"/>
      <c r="N812" s="115"/>
      <c r="O812" s="115"/>
      <c r="P812" s="115"/>
    </row>
    <row r="813" spans="10:16" ht="12.5" x14ac:dyDescent="0.25">
      <c r="J813" s="115"/>
      <c r="K813" s="115"/>
      <c r="L813" s="115"/>
      <c r="M813" s="115"/>
      <c r="N813" s="115"/>
      <c r="O813" s="115"/>
      <c r="P813" s="115"/>
    </row>
    <row r="814" spans="10:16" ht="12.5" x14ac:dyDescent="0.25">
      <c r="J814" s="115"/>
      <c r="K814" s="115"/>
      <c r="L814" s="115"/>
      <c r="M814" s="115"/>
      <c r="N814" s="115"/>
      <c r="O814" s="115"/>
      <c r="P814" s="115"/>
    </row>
    <row r="815" spans="10:16" ht="12.5" x14ac:dyDescent="0.25">
      <c r="J815" s="115"/>
      <c r="K815" s="115"/>
      <c r="L815" s="115"/>
      <c r="M815" s="115"/>
      <c r="N815" s="115"/>
      <c r="O815" s="115"/>
      <c r="P815" s="115"/>
    </row>
    <row r="816" spans="10:16" ht="12.5" x14ac:dyDescent="0.25">
      <c r="J816" s="115"/>
      <c r="K816" s="115"/>
      <c r="L816" s="115"/>
      <c r="M816" s="115"/>
      <c r="N816" s="115"/>
      <c r="O816" s="115"/>
      <c r="P816" s="115"/>
    </row>
    <row r="817" spans="10:16" ht="12.5" x14ac:dyDescent="0.25">
      <c r="J817" s="115"/>
      <c r="K817" s="115"/>
      <c r="L817" s="115"/>
      <c r="M817" s="115"/>
      <c r="N817" s="115"/>
      <c r="O817" s="115"/>
      <c r="P817" s="115"/>
    </row>
    <row r="818" spans="10:16" ht="12.5" x14ac:dyDescent="0.25">
      <c r="J818" s="115"/>
      <c r="K818" s="115"/>
      <c r="L818" s="115"/>
      <c r="M818" s="115"/>
      <c r="N818" s="115"/>
      <c r="O818" s="115"/>
      <c r="P818" s="115"/>
    </row>
    <row r="819" spans="10:16" ht="12.5" x14ac:dyDescent="0.25">
      <c r="J819" s="115"/>
      <c r="K819" s="115"/>
      <c r="L819" s="115"/>
      <c r="M819" s="115"/>
      <c r="N819" s="115"/>
      <c r="O819" s="115"/>
      <c r="P819" s="115"/>
    </row>
    <row r="820" spans="10:16" ht="12.5" x14ac:dyDescent="0.25">
      <c r="J820" s="115"/>
      <c r="K820" s="115"/>
      <c r="L820" s="115"/>
      <c r="M820" s="115"/>
      <c r="N820" s="115"/>
      <c r="O820" s="115"/>
      <c r="P820" s="115"/>
    </row>
    <row r="821" spans="10:16" ht="12.5" x14ac:dyDescent="0.25">
      <c r="J821" s="115"/>
      <c r="K821" s="115"/>
      <c r="L821" s="115"/>
      <c r="M821" s="115"/>
      <c r="N821" s="115"/>
      <c r="O821" s="115"/>
      <c r="P821" s="115"/>
    </row>
    <row r="822" spans="10:16" ht="12.5" x14ac:dyDescent="0.25">
      <c r="J822" s="115"/>
      <c r="K822" s="115"/>
      <c r="L822" s="115"/>
      <c r="M822" s="115"/>
      <c r="N822" s="115"/>
      <c r="O822" s="115"/>
      <c r="P822" s="115"/>
    </row>
    <row r="823" spans="10:16" ht="12.5" x14ac:dyDescent="0.25">
      <c r="J823" s="115"/>
      <c r="K823" s="115"/>
      <c r="L823" s="115"/>
      <c r="M823" s="115"/>
      <c r="N823" s="115"/>
      <c r="O823" s="115"/>
      <c r="P823" s="115"/>
    </row>
    <row r="824" spans="10:16" ht="12.5" x14ac:dyDescent="0.25">
      <c r="J824" s="115"/>
      <c r="K824" s="115"/>
      <c r="L824" s="115"/>
      <c r="M824" s="115"/>
      <c r="N824" s="115"/>
      <c r="O824" s="115"/>
      <c r="P824" s="115"/>
    </row>
    <row r="825" spans="10:16" ht="12.5" x14ac:dyDescent="0.25">
      <c r="J825" s="115"/>
      <c r="K825" s="115"/>
      <c r="L825" s="115"/>
      <c r="M825" s="115"/>
      <c r="N825" s="115"/>
      <c r="O825" s="115"/>
      <c r="P825" s="115"/>
    </row>
    <row r="826" spans="10:16" ht="12.5" x14ac:dyDescent="0.25">
      <c r="J826" s="115"/>
      <c r="K826" s="115"/>
      <c r="L826" s="115"/>
      <c r="M826" s="115"/>
      <c r="N826" s="115"/>
      <c r="O826" s="115"/>
      <c r="P826" s="115"/>
    </row>
    <row r="827" spans="10:16" ht="12.5" x14ac:dyDescent="0.25">
      <c r="J827" s="115"/>
      <c r="K827" s="115"/>
      <c r="L827" s="115"/>
      <c r="M827" s="115"/>
      <c r="N827" s="115"/>
      <c r="O827" s="115"/>
      <c r="P827" s="115"/>
    </row>
    <row r="828" spans="10:16" ht="12.5" x14ac:dyDescent="0.25">
      <c r="J828" s="115"/>
      <c r="K828" s="115"/>
      <c r="L828" s="115"/>
      <c r="M828" s="115"/>
      <c r="N828" s="115"/>
      <c r="O828" s="115"/>
      <c r="P828" s="115"/>
    </row>
    <row r="829" spans="10:16" ht="12.5" x14ac:dyDescent="0.25">
      <c r="J829" s="115"/>
      <c r="K829" s="115"/>
      <c r="L829" s="115"/>
      <c r="M829" s="115"/>
      <c r="N829" s="115"/>
      <c r="O829" s="115"/>
      <c r="P829" s="115"/>
    </row>
    <row r="830" spans="10:16" ht="12.5" x14ac:dyDescent="0.25">
      <c r="J830" s="115"/>
      <c r="K830" s="115"/>
      <c r="L830" s="115"/>
      <c r="M830" s="115"/>
      <c r="N830" s="115"/>
      <c r="O830" s="115"/>
      <c r="P830" s="115"/>
    </row>
    <row r="831" spans="10:16" ht="12.5" x14ac:dyDescent="0.25">
      <c r="J831" s="115"/>
      <c r="K831" s="115"/>
      <c r="L831" s="115"/>
      <c r="M831" s="115"/>
      <c r="N831" s="115"/>
      <c r="O831" s="115"/>
      <c r="P831" s="115"/>
    </row>
    <row r="832" spans="10:16" ht="12.5" x14ac:dyDescent="0.25">
      <c r="J832" s="115"/>
      <c r="K832" s="115"/>
      <c r="L832" s="115"/>
      <c r="M832" s="115"/>
      <c r="N832" s="115"/>
      <c r="O832" s="115"/>
      <c r="P832" s="115"/>
    </row>
    <row r="833" spans="10:16" ht="12.5" x14ac:dyDescent="0.25">
      <c r="J833" s="115"/>
      <c r="K833" s="115"/>
      <c r="L833" s="115"/>
      <c r="M833" s="115"/>
      <c r="N833" s="115"/>
      <c r="O833" s="115"/>
      <c r="P833" s="115"/>
    </row>
    <row r="834" spans="10:16" ht="12.5" x14ac:dyDescent="0.25">
      <c r="J834" s="115"/>
      <c r="K834" s="115"/>
      <c r="L834" s="115"/>
      <c r="M834" s="115"/>
      <c r="N834" s="115"/>
      <c r="O834" s="115"/>
      <c r="P834" s="115"/>
    </row>
    <row r="835" spans="10:16" ht="12.5" x14ac:dyDescent="0.25">
      <c r="J835" s="115"/>
      <c r="K835" s="115"/>
      <c r="L835" s="115"/>
      <c r="M835" s="115"/>
      <c r="N835" s="115"/>
      <c r="O835" s="115"/>
      <c r="P835" s="115"/>
    </row>
    <row r="836" spans="10:16" ht="12.5" x14ac:dyDescent="0.25">
      <c r="J836" s="115"/>
      <c r="K836" s="115"/>
      <c r="L836" s="115"/>
      <c r="M836" s="115"/>
      <c r="N836" s="115"/>
      <c r="O836" s="115"/>
      <c r="P836" s="115"/>
    </row>
    <row r="837" spans="10:16" ht="12.5" x14ac:dyDescent="0.25">
      <c r="J837" s="115"/>
      <c r="K837" s="115"/>
      <c r="L837" s="115"/>
      <c r="M837" s="115"/>
      <c r="N837" s="115"/>
      <c r="O837" s="115"/>
      <c r="P837" s="115"/>
    </row>
    <row r="838" spans="10:16" ht="12.5" x14ac:dyDescent="0.25">
      <c r="J838" s="115"/>
      <c r="K838" s="115"/>
      <c r="L838" s="115"/>
      <c r="M838" s="115"/>
      <c r="N838" s="115"/>
      <c r="O838" s="115"/>
      <c r="P838" s="115"/>
    </row>
    <row r="839" spans="10:16" ht="12.5" x14ac:dyDescent="0.25">
      <c r="J839" s="115"/>
      <c r="K839" s="115"/>
      <c r="L839" s="115"/>
      <c r="M839" s="115"/>
      <c r="N839" s="115"/>
      <c r="O839" s="115"/>
      <c r="P839" s="115"/>
    </row>
    <row r="840" spans="10:16" ht="12.5" x14ac:dyDescent="0.25">
      <c r="J840" s="115"/>
      <c r="K840" s="115"/>
      <c r="L840" s="115"/>
      <c r="M840" s="115"/>
      <c r="N840" s="115"/>
      <c r="O840" s="115"/>
      <c r="P840" s="115"/>
    </row>
    <row r="841" spans="10:16" ht="12.5" x14ac:dyDescent="0.25">
      <c r="J841" s="115"/>
      <c r="K841" s="115"/>
      <c r="L841" s="115"/>
      <c r="M841" s="115"/>
      <c r="N841" s="115"/>
      <c r="O841" s="115"/>
      <c r="P841" s="115"/>
    </row>
    <row r="842" spans="10:16" ht="12.5" x14ac:dyDescent="0.25">
      <c r="J842" s="115"/>
      <c r="K842" s="115"/>
      <c r="L842" s="115"/>
      <c r="M842" s="115"/>
      <c r="N842" s="115"/>
      <c r="O842" s="115"/>
      <c r="P842" s="115"/>
    </row>
    <row r="843" spans="10:16" ht="12.5" x14ac:dyDescent="0.25">
      <c r="J843" s="115"/>
      <c r="K843" s="115"/>
      <c r="L843" s="115"/>
      <c r="M843" s="115"/>
      <c r="N843" s="115"/>
      <c r="O843" s="115"/>
      <c r="P843" s="115"/>
    </row>
    <row r="844" spans="10:16" ht="12.5" x14ac:dyDescent="0.25">
      <c r="J844" s="115"/>
      <c r="K844" s="115"/>
      <c r="L844" s="115"/>
      <c r="M844" s="115"/>
      <c r="N844" s="115"/>
      <c r="O844" s="115"/>
      <c r="P844" s="115"/>
    </row>
    <row r="845" spans="10:16" ht="12.5" x14ac:dyDescent="0.25">
      <c r="J845" s="115"/>
      <c r="K845" s="115"/>
      <c r="L845" s="115"/>
      <c r="M845" s="115"/>
      <c r="N845" s="115"/>
      <c r="O845" s="115"/>
      <c r="P845" s="115"/>
    </row>
    <row r="846" spans="10:16" ht="12.5" x14ac:dyDescent="0.25">
      <c r="J846" s="115"/>
      <c r="K846" s="115"/>
      <c r="L846" s="115"/>
      <c r="M846" s="115"/>
      <c r="N846" s="115"/>
      <c r="O846" s="115"/>
      <c r="P846" s="115"/>
    </row>
    <row r="847" spans="10:16" ht="12.5" x14ac:dyDescent="0.25">
      <c r="J847" s="115"/>
      <c r="K847" s="115"/>
      <c r="L847" s="115"/>
      <c r="M847" s="115"/>
      <c r="N847" s="115"/>
      <c r="O847" s="115"/>
      <c r="P847" s="115"/>
    </row>
    <row r="848" spans="10:16" ht="12.5" x14ac:dyDescent="0.25">
      <c r="J848" s="115"/>
      <c r="K848" s="115"/>
      <c r="L848" s="115"/>
      <c r="M848" s="115"/>
      <c r="N848" s="115"/>
      <c r="O848" s="115"/>
      <c r="P848" s="115"/>
    </row>
    <row r="849" spans="10:16" ht="12.5" x14ac:dyDescent="0.25">
      <c r="J849" s="115"/>
      <c r="K849" s="115"/>
      <c r="L849" s="115"/>
      <c r="M849" s="115"/>
      <c r="N849" s="115"/>
      <c r="O849" s="115"/>
      <c r="P849" s="115"/>
    </row>
    <row r="850" spans="10:16" ht="12.5" x14ac:dyDescent="0.25">
      <c r="J850" s="115"/>
      <c r="K850" s="115"/>
      <c r="L850" s="115"/>
      <c r="M850" s="115"/>
      <c r="N850" s="115"/>
      <c r="O850" s="115"/>
      <c r="P850" s="115"/>
    </row>
    <row r="851" spans="10:16" ht="12.5" x14ac:dyDescent="0.25">
      <c r="J851" s="115"/>
      <c r="K851" s="115"/>
      <c r="L851" s="115"/>
      <c r="M851" s="115"/>
      <c r="N851" s="115"/>
      <c r="O851" s="115"/>
      <c r="P851" s="115"/>
    </row>
    <row r="852" spans="10:16" ht="12.5" x14ac:dyDescent="0.25">
      <c r="J852" s="115"/>
      <c r="K852" s="115"/>
      <c r="L852" s="115"/>
      <c r="M852" s="115"/>
      <c r="N852" s="115"/>
      <c r="O852" s="115"/>
      <c r="P852" s="115"/>
    </row>
    <row r="853" spans="10:16" ht="12.5" x14ac:dyDescent="0.25">
      <c r="J853" s="115"/>
      <c r="K853" s="115"/>
      <c r="L853" s="115"/>
      <c r="M853" s="115"/>
      <c r="N853" s="115"/>
      <c r="O853" s="115"/>
      <c r="P853" s="115"/>
    </row>
    <row r="854" spans="10:16" ht="12.5" x14ac:dyDescent="0.25">
      <c r="J854" s="115"/>
      <c r="K854" s="115"/>
      <c r="L854" s="115"/>
      <c r="M854" s="115"/>
      <c r="N854" s="115"/>
      <c r="O854" s="115"/>
      <c r="P854" s="115"/>
    </row>
    <row r="855" spans="10:16" ht="12.5" x14ac:dyDescent="0.25">
      <c r="J855" s="115"/>
      <c r="K855" s="115"/>
      <c r="L855" s="115"/>
      <c r="M855" s="115"/>
      <c r="N855" s="115"/>
      <c r="O855" s="115"/>
      <c r="P855" s="115"/>
    </row>
    <row r="856" spans="10:16" ht="12.5" x14ac:dyDescent="0.25">
      <c r="J856" s="115"/>
      <c r="K856" s="115"/>
      <c r="L856" s="115"/>
      <c r="M856" s="115"/>
      <c r="N856" s="115"/>
      <c r="O856" s="115"/>
      <c r="P856" s="115"/>
    </row>
    <row r="857" spans="10:16" ht="12.5" x14ac:dyDescent="0.25">
      <c r="J857" s="115"/>
      <c r="K857" s="115"/>
      <c r="L857" s="115"/>
      <c r="M857" s="115"/>
      <c r="N857" s="115"/>
      <c r="O857" s="115"/>
      <c r="P857" s="115"/>
    </row>
    <row r="858" spans="10:16" ht="12.5" x14ac:dyDescent="0.25">
      <c r="J858" s="115"/>
      <c r="K858" s="115"/>
      <c r="L858" s="115"/>
      <c r="M858" s="115"/>
      <c r="N858" s="115"/>
      <c r="O858" s="115"/>
      <c r="P858" s="115"/>
    </row>
    <row r="859" spans="10:16" ht="12.5" x14ac:dyDescent="0.25">
      <c r="J859" s="115"/>
      <c r="K859" s="115"/>
      <c r="L859" s="115"/>
      <c r="M859" s="115"/>
      <c r="N859" s="115"/>
      <c r="O859" s="115"/>
      <c r="P859" s="115"/>
    </row>
    <row r="860" spans="10:16" ht="12.5" x14ac:dyDescent="0.25">
      <c r="J860" s="115"/>
      <c r="K860" s="115"/>
      <c r="L860" s="115"/>
      <c r="M860" s="115"/>
      <c r="N860" s="115"/>
      <c r="O860" s="115"/>
      <c r="P860" s="115"/>
    </row>
    <row r="861" spans="10:16" ht="12.5" x14ac:dyDescent="0.25">
      <c r="J861" s="115"/>
      <c r="K861" s="115"/>
      <c r="L861" s="115"/>
      <c r="M861" s="115"/>
      <c r="N861" s="115"/>
      <c r="O861" s="115"/>
      <c r="P861" s="115"/>
    </row>
    <row r="862" spans="10:16" ht="12.5" x14ac:dyDescent="0.25">
      <c r="J862" s="115"/>
      <c r="K862" s="115"/>
      <c r="L862" s="115"/>
      <c r="M862" s="115"/>
      <c r="N862" s="115"/>
      <c r="O862" s="115"/>
      <c r="P862" s="115"/>
    </row>
    <row r="863" spans="10:16" ht="12.5" x14ac:dyDescent="0.25">
      <c r="J863" s="115"/>
      <c r="K863" s="115"/>
      <c r="L863" s="115"/>
      <c r="M863" s="115"/>
      <c r="N863" s="115"/>
      <c r="O863" s="115"/>
      <c r="P863" s="115"/>
    </row>
    <row r="864" spans="10:16" ht="12.5" x14ac:dyDescent="0.25">
      <c r="J864" s="115"/>
      <c r="K864" s="115"/>
      <c r="L864" s="115"/>
      <c r="M864" s="115"/>
      <c r="N864" s="115"/>
      <c r="O864" s="115"/>
      <c r="P864" s="115"/>
    </row>
    <row r="865" spans="10:16" ht="12.5" x14ac:dyDescent="0.25">
      <c r="J865" s="115"/>
      <c r="K865" s="115"/>
      <c r="L865" s="115"/>
      <c r="M865" s="115"/>
      <c r="N865" s="115"/>
      <c r="O865" s="115"/>
      <c r="P865" s="115"/>
    </row>
    <row r="866" spans="10:16" ht="12.5" x14ac:dyDescent="0.25">
      <c r="J866" s="115"/>
      <c r="K866" s="115"/>
      <c r="L866" s="115"/>
      <c r="M866" s="115"/>
      <c r="N866" s="115"/>
      <c r="O866" s="115"/>
      <c r="P866" s="115"/>
    </row>
    <row r="867" spans="10:16" ht="12.5" x14ac:dyDescent="0.25">
      <c r="J867" s="115"/>
      <c r="K867" s="115"/>
      <c r="L867" s="115"/>
      <c r="M867" s="115"/>
      <c r="N867" s="115"/>
      <c r="O867" s="115"/>
      <c r="P867" s="115"/>
    </row>
    <row r="868" spans="10:16" ht="12.5" x14ac:dyDescent="0.25">
      <c r="J868" s="115"/>
      <c r="K868" s="115"/>
      <c r="L868" s="115"/>
      <c r="M868" s="115"/>
      <c r="N868" s="115"/>
      <c r="O868" s="115"/>
      <c r="P868" s="115"/>
    </row>
    <row r="869" spans="10:16" ht="12.5" x14ac:dyDescent="0.25">
      <c r="J869" s="115"/>
      <c r="K869" s="115"/>
      <c r="L869" s="115"/>
      <c r="M869" s="115"/>
      <c r="N869" s="115"/>
      <c r="O869" s="115"/>
      <c r="P869" s="115"/>
    </row>
    <row r="870" spans="10:16" ht="12.5" x14ac:dyDescent="0.25">
      <c r="J870" s="115"/>
      <c r="K870" s="115"/>
      <c r="L870" s="115"/>
      <c r="M870" s="115"/>
      <c r="N870" s="115"/>
      <c r="O870" s="115"/>
      <c r="P870" s="115"/>
    </row>
    <row r="871" spans="10:16" ht="12.5" x14ac:dyDescent="0.25">
      <c r="J871" s="115"/>
      <c r="K871" s="115"/>
      <c r="L871" s="115"/>
      <c r="M871" s="115"/>
      <c r="N871" s="115"/>
      <c r="O871" s="115"/>
      <c r="P871" s="115"/>
    </row>
    <row r="872" spans="10:16" ht="12.5" x14ac:dyDescent="0.25">
      <c r="J872" s="115"/>
      <c r="K872" s="115"/>
      <c r="L872" s="115"/>
      <c r="M872" s="115"/>
      <c r="N872" s="115"/>
      <c r="O872" s="115"/>
      <c r="P872" s="115"/>
    </row>
    <row r="873" spans="10:16" ht="12.5" x14ac:dyDescent="0.25">
      <c r="J873" s="115"/>
      <c r="K873" s="115"/>
      <c r="L873" s="115"/>
      <c r="M873" s="115"/>
      <c r="N873" s="115"/>
      <c r="O873" s="115"/>
      <c r="P873" s="115"/>
    </row>
    <row r="874" spans="10:16" ht="12.5" x14ac:dyDescent="0.25">
      <c r="J874" s="115"/>
      <c r="K874" s="115"/>
      <c r="L874" s="115"/>
      <c r="M874" s="115"/>
      <c r="N874" s="115"/>
      <c r="O874" s="115"/>
      <c r="P874" s="115"/>
    </row>
    <row r="875" spans="10:16" ht="12.5" x14ac:dyDescent="0.25">
      <c r="J875" s="115"/>
      <c r="K875" s="115"/>
      <c r="L875" s="115"/>
      <c r="M875" s="115"/>
      <c r="N875" s="115"/>
      <c r="O875" s="115"/>
      <c r="P875" s="115"/>
    </row>
    <row r="876" spans="10:16" ht="12.5" x14ac:dyDescent="0.25">
      <c r="J876" s="115"/>
      <c r="K876" s="115"/>
      <c r="L876" s="115"/>
      <c r="M876" s="115"/>
      <c r="N876" s="115"/>
      <c r="O876" s="115"/>
      <c r="P876" s="115"/>
    </row>
    <row r="877" spans="10:16" ht="12.5" x14ac:dyDescent="0.25">
      <c r="J877" s="115"/>
      <c r="K877" s="115"/>
      <c r="L877" s="115"/>
      <c r="M877" s="115"/>
      <c r="N877" s="115"/>
      <c r="O877" s="115"/>
      <c r="P877" s="115"/>
    </row>
    <row r="878" spans="10:16" ht="12.5" x14ac:dyDescent="0.25">
      <c r="J878" s="115"/>
      <c r="K878" s="115"/>
      <c r="L878" s="115"/>
      <c r="M878" s="115"/>
      <c r="N878" s="115"/>
      <c r="O878" s="115"/>
      <c r="P878" s="115"/>
    </row>
    <row r="879" spans="10:16" ht="12.5" x14ac:dyDescent="0.25">
      <c r="J879" s="115"/>
      <c r="K879" s="115"/>
      <c r="L879" s="115"/>
      <c r="M879" s="115"/>
      <c r="N879" s="115"/>
      <c r="O879" s="115"/>
      <c r="P879" s="115"/>
    </row>
    <row r="880" spans="10:16" ht="12.5" x14ac:dyDescent="0.25">
      <c r="J880" s="115"/>
      <c r="K880" s="115"/>
      <c r="L880" s="115"/>
      <c r="M880" s="115"/>
      <c r="N880" s="115"/>
      <c r="O880" s="115"/>
      <c r="P880" s="115"/>
    </row>
    <row r="881" spans="10:16" ht="12.5" x14ac:dyDescent="0.25">
      <c r="J881" s="115"/>
      <c r="K881" s="115"/>
      <c r="L881" s="115"/>
      <c r="M881" s="115"/>
      <c r="N881" s="115"/>
      <c r="O881" s="115"/>
      <c r="P881" s="115"/>
    </row>
    <row r="882" spans="10:16" ht="12.5" x14ac:dyDescent="0.25">
      <c r="J882" s="115"/>
      <c r="K882" s="115"/>
      <c r="L882" s="115"/>
      <c r="M882" s="115"/>
      <c r="N882" s="115"/>
      <c r="O882" s="115"/>
      <c r="P882" s="115"/>
    </row>
    <row r="883" spans="10:16" ht="12.5" x14ac:dyDescent="0.25">
      <c r="J883" s="115"/>
      <c r="K883" s="115"/>
      <c r="L883" s="115"/>
      <c r="M883" s="115"/>
      <c r="N883" s="115"/>
      <c r="O883" s="115"/>
      <c r="P883" s="115"/>
    </row>
    <row r="884" spans="10:16" ht="12.5" x14ac:dyDescent="0.25">
      <c r="J884" s="115"/>
      <c r="K884" s="115"/>
      <c r="L884" s="115"/>
      <c r="M884" s="115"/>
      <c r="N884" s="115"/>
      <c r="O884" s="115"/>
      <c r="P884" s="115"/>
    </row>
    <row r="885" spans="10:16" ht="12.5" x14ac:dyDescent="0.25">
      <c r="J885" s="115"/>
      <c r="K885" s="115"/>
      <c r="L885" s="115"/>
      <c r="M885" s="115"/>
      <c r="N885" s="115"/>
      <c r="O885" s="115"/>
      <c r="P885" s="115"/>
    </row>
    <row r="886" spans="10:16" ht="12.5" x14ac:dyDescent="0.25">
      <c r="J886" s="115"/>
      <c r="K886" s="115"/>
      <c r="L886" s="115"/>
      <c r="M886" s="115"/>
      <c r="N886" s="115"/>
      <c r="O886" s="115"/>
      <c r="P886" s="115"/>
    </row>
    <row r="887" spans="10:16" ht="12.5" x14ac:dyDescent="0.25">
      <c r="J887" s="115"/>
      <c r="K887" s="115"/>
      <c r="L887" s="115"/>
      <c r="M887" s="115"/>
      <c r="N887" s="115"/>
      <c r="O887" s="115"/>
      <c r="P887" s="115"/>
    </row>
    <row r="888" spans="10:16" ht="12.5" x14ac:dyDescent="0.25">
      <c r="J888" s="115"/>
      <c r="K888" s="115"/>
      <c r="L888" s="115"/>
      <c r="M888" s="115"/>
      <c r="N888" s="115"/>
      <c r="O888" s="115"/>
      <c r="P888" s="115"/>
    </row>
    <row r="889" spans="10:16" ht="12.5" x14ac:dyDescent="0.25">
      <c r="J889" s="115"/>
      <c r="K889" s="115"/>
      <c r="L889" s="115"/>
      <c r="M889" s="115"/>
      <c r="N889" s="115"/>
      <c r="O889" s="115"/>
      <c r="P889" s="115"/>
    </row>
    <row r="890" spans="10:16" ht="12.5" x14ac:dyDescent="0.25">
      <c r="J890" s="115"/>
      <c r="K890" s="115"/>
      <c r="L890" s="115"/>
      <c r="M890" s="115"/>
      <c r="N890" s="115"/>
      <c r="O890" s="115"/>
      <c r="P890" s="115"/>
    </row>
    <row r="891" spans="10:16" ht="12.5" x14ac:dyDescent="0.25">
      <c r="J891" s="115"/>
      <c r="K891" s="115"/>
      <c r="L891" s="115"/>
      <c r="M891" s="115"/>
      <c r="N891" s="115"/>
      <c r="O891" s="115"/>
      <c r="P891" s="115"/>
    </row>
    <row r="892" spans="10:16" ht="12.5" x14ac:dyDescent="0.25">
      <c r="J892" s="115"/>
      <c r="K892" s="115"/>
      <c r="L892" s="115"/>
      <c r="M892" s="115"/>
      <c r="N892" s="115"/>
      <c r="O892" s="115"/>
      <c r="P892" s="115"/>
    </row>
    <row r="893" spans="10:16" ht="12.5" x14ac:dyDescent="0.25">
      <c r="J893" s="115"/>
      <c r="K893" s="115"/>
      <c r="L893" s="115"/>
      <c r="M893" s="115"/>
      <c r="N893" s="115"/>
      <c r="O893" s="115"/>
      <c r="P893" s="115"/>
    </row>
    <row r="894" spans="10:16" ht="12.5" x14ac:dyDescent="0.25">
      <c r="J894" s="115"/>
      <c r="K894" s="115"/>
      <c r="L894" s="115"/>
      <c r="M894" s="115"/>
      <c r="N894" s="115"/>
      <c r="O894" s="115"/>
      <c r="P894" s="115"/>
    </row>
    <row r="895" spans="10:16" ht="12.5" x14ac:dyDescent="0.25">
      <c r="J895" s="115"/>
      <c r="K895" s="115"/>
      <c r="L895" s="115"/>
      <c r="M895" s="115"/>
      <c r="N895" s="115"/>
      <c r="O895" s="115"/>
      <c r="P895" s="115"/>
    </row>
    <row r="896" spans="10:16" ht="12.5" x14ac:dyDescent="0.25">
      <c r="J896" s="115"/>
      <c r="K896" s="115"/>
      <c r="L896" s="115"/>
      <c r="M896" s="115"/>
      <c r="N896" s="115"/>
      <c r="O896" s="115"/>
      <c r="P896" s="115"/>
    </row>
    <row r="897" spans="10:16" ht="12.5" x14ac:dyDescent="0.25">
      <c r="J897" s="115"/>
      <c r="K897" s="115"/>
      <c r="L897" s="115"/>
      <c r="M897" s="115"/>
      <c r="N897" s="115"/>
      <c r="O897" s="115"/>
      <c r="P897" s="115"/>
    </row>
    <row r="898" spans="10:16" ht="12.5" x14ac:dyDescent="0.25">
      <c r="J898" s="115"/>
      <c r="K898" s="115"/>
      <c r="L898" s="115"/>
      <c r="M898" s="115"/>
      <c r="N898" s="115"/>
      <c r="O898" s="115"/>
      <c r="P898" s="115"/>
    </row>
    <row r="899" spans="10:16" ht="12.5" x14ac:dyDescent="0.25">
      <c r="J899" s="115"/>
      <c r="K899" s="115"/>
      <c r="L899" s="115"/>
      <c r="M899" s="115"/>
      <c r="N899" s="115"/>
      <c r="O899" s="115"/>
      <c r="P899" s="115"/>
    </row>
    <row r="900" spans="10:16" ht="12.5" x14ac:dyDescent="0.25">
      <c r="J900" s="115"/>
      <c r="K900" s="115"/>
      <c r="L900" s="115"/>
      <c r="M900" s="115"/>
      <c r="N900" s="115"/>
      <c r="O900" s="115"/>
      <c r="P900" s="115"/>
    </row>
    <row r="901" spans="10:16" ht="12.5" x14ac:dyDescent="0.25">
      <c r="J901" s="115"/>
      <c r="K901" s="115"/>
      <c r="L901" s="115"/>
      <c r="M901" s="115"/>
      <c r="N901" s="115"/>
      <c r="O901" s="115"/>
      <c r="P901" s="115"/>
    </row>
    <row r="902" spans="10:16" ht="12.5" x14ac:dyDescent="0.25">
      <c r="J902" s="115"/>
      <c r="K902" s="115"/>
      <c r="L902" s="115"/>
      <c r="M902" s="115"/>
      <c r="N902" s="115"/>
      <c r="O902" s="115"/>
      <c r="P902" s="115"/>
    </row>
    <row r="903" spans="10:16" ht="12.5" x14ac:dyDescent="0.25">
      <c r="J903" s="115"/>
      <c r="K903" s="115"/>
      <c r="L903" s="115"/>
      <c r="M903" s="115"/>
      <c r="N903" s="115"/>
      <c r="O903" s="115"/>
      <c r="P903" s="115"/>
    </row>
    <row r="904" spans="10:16" ht="12.5" x14ac:dyDescent="0.25">
      <c r="J904" s="115"/>
      <c r="K904" s="115"/>
      <c r="L904" s="115"/>
      <c r="M904" s="115"/>
      <c r="N904" s="115"/>
      <c r="O904" s="115"/>
      <c r="P904" s="115"/>
    </row>
    <row r="905" spans="10:16" ht="12.5" x14ac:dyDescent="0.25">
      <c r="J905" s="115"/>
      <c r="K905" s="115"/>
      <c r="L905" s="115"/>
      <c r="M905" s="115"/>
      <c r="N905" s="115"/>
      <c r="O905" s="115"/>
      <c r="P905" s="115"/>
    </row>
    <row r="906" spans="10:16" ht="12.5" x14ac:dyDescent="0.25">
      <c r="J906" s="115"/>
      <c r="K906" s="115"/>
      <c r="L906" s="115"/>
      <c r="M906" s="115"/>
      <c r="N906" s="115"/>
      <c r="O906" s="115"/>
      <c r="P906" s="115"/>
    </row>
    <row r="907" spans="10:16" ht="12.5" x14ac:dyDescent="0.25">
      <c r="J907" s="115"/>
      <c r="K907" s="115"/>
      <c r="L907" s="115"/>
      <c r="M907" s="115"/>
      <c r="N907" s="115"/>
      <c r="O907" s="115"/>
      <c r="P907" s="115"/>
    </row>
    <row r="908" spans="10:16" ht="12.5" x14ac:dyDescent="0.25">
      <c r="J908" s="115"/>
      <c r="K908" s="115"/>
      <c r="L908" s="115"/>
      <c r="M908" s="115"/>
      <c r="N908" s="115"/>
      <c r="O908" s="115"/>
      <c r="P908" s="115"/>
    </row>
    <row r="909" spans="10:16" ht="12.5" x14ac:dyDescent="0.25">
      <c r="J909" s="115"/>
      <c r="K909" s="115"/>
      <c r="L909" s="115"/>
      <c r="M909" s="115"/>
      <c r="N909" s="115"/>
      <c r="O909" s="115"/>
      <c r="P909" s="115"/>
    </row>
    <row r="910" spans="10:16" ht="12.5" x14ac:dyDescent="0.25">
      <c r="J910" s="115"/>
      <c r="K910" s="115"/>
      <c r="L910" s="115"/>
      <c r="M910" s="115"/>
      <c r="N910" s="115"/>
      <c r="O910" s="115"/>
      <c r="P910" s="115"/>
    </row>
    <row r="911" spans="10:16" ht="12.5" x14ac:dyDescent="0.25">
      <c r="J911" s="115"/>
      <c r="K911" s="115"/>
      <c r="L911" s="115"/>
      <c r="M911" s="115"/>
      <c r="N911" s="115"/>
      <c r="O911" s="115"/>
      <c r="P911" s="115"/>
    </row>
    <row r="912" spans="10:16" ht="12.5" x14ac:dyDescent="0.25">
      <c r="J912" s="115"/>
      <c r="K912" s="115"/>
      <c r="L912" s="115"/>
      <c r="M912" s="115"/>
      <c r="N912" s="115"/>
      <c r="O912" s="115"/>
      <c r="P912" s="115"/>
    </row>
    <row r="913" spans="10:16" ht="12.5" x14ac:dyDescent="0.25">
      <c r="J913" s="115"/>
      <c r="K913" s="115"/>
      <c r="L913" s="115"/>
      <c r="M913" s="115"/>
      <c r="N913" s="115"/>
      <c r="O913" s="115"/>
      <c r="P913" s="115"/>
    </row>
    <row r="914" spans="10:16" ht="12.5" x14ac:dyDescent="0.25">
      <c r="J914" s="115"/>
      <c r="K914" s="115"/>
      <c r="L914" s="115"/>
      <c r="M914" s="115"/>
      <c r="N914" s="115"/>
      <c r="O914" s="115"/>
      <c r="P914" s="115"/>
    </row>
    <row r="915" spans="10:16" ht="12.5" x14ac:dyDescent="0.25">
      <c r="J915" s="115"/>
      <c r="K915" s="115"/>
      <c r="L915" s="115"/>
      <c r="M915" s="115"/>
      <c r="N915" s="115"/>
      <c r="O915" s="115"/>
      <c r="P915" s="115"/>
    </row>
    <row r="916" spans="10:16" ht="12.5" x14ac:dyDescent="0.25">
      <c r="J916" s="115"/>
      <c r="K916" s="115"/>
      <c r="L916" s="115"/>
      <c r="M916" s="115"/>
      <c r="N916" s="115"/>
      <c r="O916" s="115"/>
      <c r="P916" s="115"/>
    </row>
    <row r="917" spans="10:16" ht="12.5" x14ac:dyDescent="0.25">
      <c r="J917" s="115"/>
      <c r="K917" s="115"/>
      <c r="L917" s="115"/>
      <c r="M917" s="115"/>
      <c r="N917" s="115"/>
      <c r="O917" s="115"/>
      <c r="P917" s="115"/>
    </row>
    <row r="918" spans="10:16" ht="12.5" x14ac:dyDescent="0.25">
      <c r="J918" s="115"/>
      <c r="K918" s="115"/>
      <c r="L918" s="115"/>
      <c r="M918" s="115"/>
      <c r="N918" s="115"/>
      <c r="O918" s="115"/>
      <c r="P918" s="115"/>
    </row>
    <row r="919" spans="10:16" ht="12.5" x14ac:dyDescent="0.25">
      <c r="J919" s="115"/>
      <c r="K919" s="115"/>
      <c r="L919" s="115"/>
      <c r="M919" s="115"/>
      <c r="N919" s="115"/>
      <c r="O919" s="115"/>
      <c r="P919" s="115"/>
    </row>
    <row r="920" spans="10:16" ht="12.5" x14ac:dyDescent="0.25">
      <c r="J920" s="115"/>
      <c r="K920" s="115"/>
      <c r="L920" s="115"/>
      <c r="M920" s="115"/>
      <c r="N920" s="115"/>
      <c r="O920" s="115"/>
      <c r="P920" s="115"/>
    </row>
    <row r="921" spans="10:16" ht="12.5" x14ac:dyDescent="0.25">
      <c r="J921" s="115"/>
      <c r="K921" s="115"/>
      <c r="L921" s="115"/>
      <c r="M921" s="115"/>
      <c r="N921" s="115"/>
      <c r="O921" s="115"/>
      <c r="P921" s="115"/>
    </row>
    <row r="922" spans="10:16" ht="12.5" x14ac:dyDescent="0.25">
      <c r="J922" s="115"/>
      <c r="K922" s="115"/>
      <c r="L922" s="115"/>
      <c r="M922" s="115"/>
      <c r="N922" s="115"/>
      <c r="O922" s="115"/>
      <c r="P922" s="115"/>
    </row>
    <row r="923" spans="10:16" ht="12.5" x14ac:dyDescent="0.25">
      <c r="J923" s="115"/>
      <c r="K923" s="115"/>
      <c r="L923" s="115"/>
      <c r="M923" s="115"/>
      <c r="N923" s="115"/>
      <c r="O923" s="115"/>
      <c r="P923" s="115"/>
    </row>
    <row r="924" spans="10:16" ht="12.5" x14ac:dyDescent="0.25">
      <c r="J924" s="115"/>
      <c r="K924" s="115"/>
      <c r="L924" s="115"/>
      <c r="M924" s="115"/>
      <c r="N924" s="115"/>
      <c r="O924" s="115"/>
      <c r="P924" s="115"/>
    </row>
    <row r="925" spans="10:16" ht="12.5" x14ac:dyDescent="0.25">
      <c r="J925" s="115"/>
      <c r="K925" s="115"/>
      <c r="L925" s="115"/>
      <c r="M925" s="115"/>
      <c r="N925" s="115"/>
      <c r="O925" s="115"/>
      <c r="P925" s="115"/>
    </row>
    <row r="926" spans="10:16" ht="12.5" x14ac:dyDescent="0.25">
      <c r="J926" s="115"/>
      <c r="K926" s="115"/>
      <c r="L926" s="115"/>
      <c r="M926" s="115"/>
      <c r="N926" s="115"/>
      <c r="O926" s="115"/>
      <c r="P926" s="115"/>
    </row>
    <row r="927" spans="10:16" ht="12.5" x14ac:dyDescent="0.25">
      <c r="J927" s="115"/>
      <c r="K927" s="115"/>
      <c r="L927" s="115"/>
      <c r="M927" s="115"/>
      <c r="N927" s="115"/>
      <c r="O927" s="115"/>
      <c r="P927" s="115"/>
    </row>
    <row r="928" spans="10:16" ht="12.5" x14ac:dyDescent="0.25">
      <c r="J928" s="115"/>
      <c r="K928" s="115"/>
      <c r="L928" s="115"/>
      <c r="M928" s="115"/>
      <c r="N928" s="115"/>
      <c r="O928" s="115"/>
      <c r="P928" s="115"/>
    </row>
    <row r="929" spans="10:16" ht="12.5" x14ac:dyDescent="0.25">
      <c r="J929" s="115"/>
      <c r="K929" s="115"/>
      <c r="L929" s="115"/>
      <c r="M929" s="115"/>
      <c r="N929" s="115"/>
      <c r="O929" s="115"/>
      <c r="P929" s="115"/>
    </row>
    <row r="930" spans="10:16" ht="12.5" x14ac:dyDescent="0.25">
      <c r="J930" s="115"/>
      <c r="K930" s="115"/>
      <c r="L930" s="115"/>
      <c r="M930" s="115"/>
      <c r="N930" s="115"/>
      <c r="O930" s="115"/>
      <c r="P930" s="115"/>
    </row>
    <row r="931" spans="10:16" ht="12.5" x14ac:dyDescent="0.25">
      <c r="J931" s="115"/>
      <c r="K931" s="115"/>
      <c r="L931" s="115"/>
      <c r="M931" s="115"/>
      <c r="N931" s="115"/>
      <c r="O931" s="115"/>
      <c r="P931" s="115"/>
    </row>
    <row r="932" spans="10:16" ht="12.5" x14ac:dyDescent="0.25">
      <c r="J932" s="115"/>
      <c r="K932" s="115"/>
      <c r="L932" s="115"/>
      <c r="M932" s="115"/>
      <c r="N932" s="115"/>
      <c r="O932" s="115"/>
      <c r="P932" s="115"/>
    </row>
    <row r="933" spans="10:16" ht="12.5" x14ac:dyDescent="0.25">
      <c r="J933" s="115"/>
      <c r="K933" s="115"/>
      <c r="L933" s="115"/>
      <c r="M933" s="115"/>
      <c r="N933" s="115"/>
      <c r="O933" s="115"/>
      <c r="P933" s="115"/>
    </row>
    <row r="934" spans="10:16" ht="12.5" x14ac:dyDescent="0.25">
      <c r="J934" s="115"/>
      <c r="K934" s="115"/>
      <c r="L934" s="115"/>
      <c r="M934" s="115"/>
      <c r="N934" s="115"/>
      <c r="O934" s="115"/>
      <c r="P934" s="115"/>
    </row>
    <row r="935" spans="10:16" ht="12.5" x14ac:dyDescent="0.25">
      <c r="J935" s="115"/>
      <c r="K935" s="115"/>
      <c r="L935" s="115"/>
      <c r="M935" s="115"/>
      <c r="N935" s="115"/>
      <c r="O935" s="115"/>
      <c r="P935" s="115"/>
    </row>
    <row r="936" spans="10:16" ht="12.5" x14ac:dyDescent="0.25">
      <c r="J936" s="115"/>
      <c r="K936" s="115"/>
      <c r="L936" s="115"/>
      <c r="M936" s="115"/>
      <c r="N936" s="115"/>
      <c r="O936" s="115"/>
      <c r="P936" s="115"/>
    </row>
    <row r="937" spans="10:16" ht="12.5" x14ac:dyDescent="0.25">
      <c r="J937" s="115"/>
      <c r="K937" s="115"/>
      <c r="L937" s="115"/>
      <c r="M937" s="115"/>
      <c r="N937" s="115"/>
      <c r="O937" s="115"/>
      <c r="P937" s="115"/>
    </row>
    <row r="938" spans="10:16" ht="12.5" x14ac:dyDescent="0.25">
      <c r="J938" s="115"/>
      <c r="K938" s="115"/>
      <c r="L938" s="115"/>
      <c r="M938" s="115"/>
      <c r="N938" s="115"/>
      <c r="O938" s="115"/>
      <c r="P938" s="115"/>
    </row>
    <row r="939" spans="10:16" ht="12.5" x14ac:dyDescent="0.25">
      <c r="J939" s="115"/>
      <c r="K939" s="115"/>
      <c r="L939" s="115"/>
      <c r="M939" s="115"/>
      <c r="N939" s="115"/>
      <c r="O939" s="115"/>
      <c r="P939" s="115"/>
    </row>
    <row r="940" spans="10:16" ht="12.5" x14ac:dyDescent="0.25">
      <c r="J940" s="115"/>
      <c r="K940" s="115"/>
      <c r="L940" s="115"/>
      <c r="M940" s="115"/>
      <c r="N940" s="115"/>
      <c r="O940" s="115"/>
      <c r="P940" s="115"/>
    </row>
    <row r="941" spans="10:16" ht="12.5" x14ac:dyDescent="0.25">
      <c r="J941" s="115"/>
      <c r="K941" s="115"/>
      <c r="L941" s="115"/>
      <c r="M941" s="115"/>
      <c r="N941" s="115"/>
      <c r="O941" s="115"/>
      <c r="P941" s="115"/>
    </row>
    <row r="942" spans="10:16" ht="12.5" x14ac:dyDescent="0.25">
      <c r="J942" s="115"/>
      <c r="K942" s="115"/>
      <c r="L942" s="115"/>
      <c r="M942" s="115"/>
      <c r="N942" s="115"/>
      <c r="O942" s="115"/>
      <c r="P942" s="115"/>
    </row>
    <row r="943" spans="10:16" ht="12.5" x14ac:dyDescent="0.25">
      <c r="J943" s="115"/>
      <c r="K943" s="115"/>
      <c r="L943" s="115"/>
      <c r="M943" s="115"/>
      <c r="N943" s="115"/>
      <c r="O943" s="115"/>
      <c r="P943" s="115"/>
    </row>
    <row r="944" spans="10:16" ht="12.5" x14ac:dyDescent="0.25">
      <c r="J944" s="115"/>
      <c r="K944" s="115"/>
      <c r="L944" s="115"/>
      <c r="M944" s="115"/>
      <c r="N944" s="115"/>
      <c r="O944" s="115"/>
      <c r="P944" s="115"/>
    </row>
    <row r="945" spans="10:16" ht="12.5" x14ac:dyDescent="0.25">
      <c r="J945" s="115"/>
      <c r="K945" s="115"/>
      <c r="L945" s="115"/>
      <c r="M945" s="115"/>
      <c r="N945" s="115"/>
      <c r="O945" s="115"/>
      <c r="P945" s="115"/>
    </row>
    <row r="946" spans="10:16" ht="12.5" x14ac:dyDescent="0.25">
      <c r="J946" s="115"/>
      <c r="K946" s="115"/>
      <c r="L946" s="115"/>
      <c r="M946" s="115"/>
      <c r="N946" s="115"/>
      <c r="O946" s="115"/>
      <c r="P946" s="115"/>
    </row>
    <row r="947" spans="10:16" ht="12.5" x14ac:dyDescent="0.25">
      <c r="J947" s="115"/>
      <c r="K947" s="115"/>
      <c r="L947" s="115"/>
      <c r="M947" s="115"/>
      <c r="N947" s="115"/>
      <c r="O947" s="115"/>
      <c r="P947" s="115"/>
    </row>
    <row r="948" spans="10:16" ht="12.5" x14ac:dyDescent="0.25">
      <c r="J948" s="115"/>
      <c r="K948" s="115"/>
      <c r="L948" s="115"/>
      <c r="M948" s="115"/>
      <c r="N948" s="115"/>
      <c r="O948" s="115"/>
      <c r="P948" s="115"/>
    </row>
    <row r="949" spans="10:16" ht="12.5" x14ac:dyDescent="0.25">
      <c r="J949" s="115"/>
      <c r="K949" s="115"/>
      <c r="L949" s="115"/>
      <c r="M949" s="115"/>
      <c r="N949" s="115"/>
      <c r="O949" s="115"/>
      <c r="P949" s="115"/>
    </row>
    <row r="950" spans="10:16" ht="12.5" x14ac:dyDescent="0.25">
      <c r="J950" s="115"/>
      <c r="K950" s="115"/>
      <c r="L950" s="115"/>
      <c r="M950" s="115"/>
      <c r="N950" s="115"/>
      <c r="O950" s="115"/>
      <c r="P950" s="115"/>
    </row>
    <row r="951" spans="10:16" ht="12.5" x14ac:dyDescent="0.25">
      <c r="J951" s="115"/>
      <c r="K951" s="115"/>
      <c r="L951" s="115"/>
      <c r="M951" s="115"/>
      <c r="N951" s="115"/>
      <c r="O951" s="115"/>
      <c r="P951" s="115"/>
    </row>
    <row r="952" spans="10:16" ht="12.5" x14ac:dyDescent="0.25">
      <c r="J952" s="115"/>
      <c r="K952" s="115"/>
      <c r="L952" s="115"/>
      <c r="M952" s="115"/>
      <c r="N952" s="115"/>
      <c r="O952" s="115"/>
      <c r="P952" s="115"/>
    </row>
    <row r="953" spans="10:16" ht="12.5" x14ac:dyDescent="0.25">
      <c r="J953" s="115"/>
      <c r="K953" s="115"/>
      <c r="L953" s="115"/>
      <c r="M953" s="115"/>
      <c r="N953" s="115"/>
      <c r="O953" s="115"/>
      <c r="P953" s="115"/>
    </row>
    <row r="954" spans="10:16" ht="12.5" x14ac:dyDescent="0.25">
      <c r="J954" s="115"/>
      <c r="K954" s="115"/>
      <c r="L954" s="115"/>
      <c r="M954" s="115"/>
      <c r="N954" s="115"/>
      <c r="O954" s="115"/>
      <c r="P954" s="115"/>
    </row>
    <row r="955" spans="10:16" ht="12.5" x14ac:dyDescent="0.25">
      <c r="J955" s="115"/>
      <c r="K955" s="115"/>
      <c r="L955" s="115"/>
      <c r="M955" s="115"/>
      <c r="N955" s="115"/>
      <c r="O955" s="115"/>
      <c r="P955" s="115"/>
    </row>
    <row r="956" spans="10:16" ht="12.5" x14ac:dyDescent="0.25">
      <c r="J956" s="115"/>
      <c r="K956" s="115"/>
      <c r="L956" s="115"/>
      <c r="M956" s="115"/>
      <c r="N956" s="115"/>
      <c r="O956" s="115"/>
      <c r="P956" s="115"/>
    </row>
    <row r="957" spans="10:16" ht="12.5" x14ac:dyDescent="0.25">
      <c r="J957" s="115"/>
      <c r="K957" s="115"/>
      <c r="L957" s="115"/>
      <c r="M957" s="115"/>
      <c r="N957" s="115"/>
      <c r="O957" s="115"/>
      <c r="P957" s="115"/>
    </row>
    <row r="958" spans="10:16" ht="12.5" x14ac:dyDescent="0.25">
      <c r="J958" s="115"/>
      <c r="K958" s="115"/>
      <c r="L958" s="115"/>
      <c r="M958" s="115"/>
      <c r="N958" s="115"/>
      <c r="O958" s="115"/>
      <c r="P958" s="115"/>
    </row>
    <row r="959" spans="10:16" ht="12.5" x14ac:dyDescent="0.25">
      <c r="J959" s="115"/>
      <c r="K959" s="115"/>
      <c r="L959" s="115"/>
      <c r="M959" s="115"/>
      <c r="N959" s="115"/>
      <c r="O959" s="115"/>
      <c r="P959" s="115"/>
    </row>
    <row r="960" spans="10:16" ht="12.5" x14ac:dyDescent="0.25">
      <c r="J960" s="115"/>
      <c r="K960" s="115"/>
      <c r="L960" s="115"/>
      <c r="M960" s="115"/>
      <c r="N960" s="115"/>
      <c r="O960" s="115"/>
      <c r="P960" s="115"/>
    </row>
    <row r="961" spans="10:16" ht="12.5" x14ac:dyDescent="0.25">
      <c r="J961" s="115"/>
      <c r="K961" s="115"/>
      <c r="L961" s="115"/>
      <c r="M961" s="115"/>
      <c r="N961" s="115"/>
      <c r="O961" s="115"/>
      <c r="P961" s="115"/>
    </row>
    <row r="962" spans="10:16" ht="12.5" x14ac:dyDescent="0.25">
      <c r="J962" s="115"/>
      <c r="K962" s="115"/>
      <c r="L962" s="115"/>
      <c r="M962" s="115"/>
      <c r="N962" s="115"/>
      <c r="O962" s="115"/>
      <c r="P962" s="115"/>
    </row>
    <row r="963" spans="10:16" ht="12.5" x14ac:dyDescent="0.25">
      <c r="J963" s="115"/>
      <c r="K963" s="115"/>
      <c r="L963" s="115"/>
      <c r="M963" s="115"/>
      <c r="N963" s="115"/>
      <c r="O963" s="115"/>
      <c r="P963" s="115"/>
    </row>
    <row r="964" spans="10:16" ht="12.5" x14ac:dyDescent="0.25">
      <c r="J964" s="115"/>
      <c r="K964" s="115"/>
      <c r="L964" s="115"/>
      <c r="M964" s="115"/>
      <c r="N964" s="115"/>
      <c r="O964" s="115"/>
      <c r="P964" s="115"/>
    </row>
    <row r="965" spans="10:16" ht="12.5" x14ac:dyDescent="0.25">
      <c r="J965" s="115"/>
      <c r="K965" s="115"/>
      <c r="L965" s="115"/>
      <c r="M965" s="115"/>
      <c r="N965" s="115"/>
      <c r="O965" s="115"/>
      <c r="P965" s="115"/>
    </row>
    <row r="966" spans="10:16" ht="12.5" x14ac:dyDescent="0.25">
      <c r="J966" s="115"/>
      <c r="K966" s="115"/>
      <c r="L966" s="115"/>
      <c r="M966" s="115"/>
      <c r="N966" s="115"/>
      <c r="O966" s="115"/>
      <c r="P966" s="115"/>
    </row>
    <row r="967" spans="10:16" ht="12.5" x14ac:dyDescent="0.25">
      <c r="J967" s="115"/>
      <c r="K967" s="115"/>
      <c r="L967" s="115"/>
      <c r="M967" s="115"/>
      <c r="N967" s="115"/>
      <c r="O967" s="115"/>
      <c r="P967" s="115"/>
    </row>
    <row r="968" spans="10:16" ht="12.5" x14ac:dyDescent="0.25">
      <c r="J968" s="115"/>
      <c r="K968" s="115"/>
      <c r="L968" s="115"/>
      <c r="M968" s="115"/>
      <c r="N968" s="115"/>
      <c r="O968" s="115"/>
      <c r="P968" s="115"/>
    </row>
    <row r="969" spans="10:16" ht="12.5" x14ac:dyDescent="0.25">
      <c r="J969" s="115"/>
      <c r="K969" s="115"/>
      <c r="L969" s="115"/>
      <c r="M969" s="115"/>
      <c r="N969" s="115"/>
      <c r="O969" s="115"/>
      <c r="P969" s="115"/>
    </row>
    <row r="970" spans="10:16" ht="12.5" x14ac:dyDescent="0.25">
      <c r="J970" s="115"/>
      <c r="K970" s="115"/>
      <c r="L970" s="115"/>
      <c r="M970" s="115"/>
      <c r="N970" s="115"/>
      <c r="O970" s="115"/>
      <c r="P970" s="115"/>
    </row>
    <row r="971" spans="10:16" ht="12.5" x14ac:dyDescent="0.25">
      <c r="J971" s="115"/>
      <c r="K971" s="115"/>
      <c r="L971" s="115"/>
      <c r="M971" s="115"/>
      <c r="N971" s="115"/>
      <c r="O971" s="115"/>
      <c r="P971" s="115"/>
    </row>
    <row r="972" spans="10:16" ht="12.5" x14ac:dyDescent="0.25">
      <c r="J972" s="115"/>
      <c r="K972" s="115"/>
      <c r="L972" s="115"/>
      <c r="M972" s="115"/>
      <c r="N972" s="115"/>
      <c r="O972" s="115"/>
      <c r="P972" s="115"/>
    </row>
    <row r="973" spans="10:16" ht="12.5" x14ac:dyDescent="0.25">
      <c r="J973" s="115"/>
      <c r="K973" s="115"/>
      <c r="L973" s="115"/>
      <c r="M973" s="115"/>
      <c r="N973" s="115"/>
      <c r="O973" s="115"/>
      <c r="P973" s="115"/>
    </row>
    <row r="974" spans="10:16" ht="12.5" x14ac:dyDescent="0.25">
      <c r="J974" s="115"/>
      <c r="K974" s="115"/>
      <c r="L974" s="115"/>
      <c r="M974" s="115"/>
      <c r="N974" s="115"/>
      <c r="O974" s="115"/>
      <c r="P974" s="115"/>
    </row>
    <row r="975" spans="10:16" ht="12.5" x14ac:dyDescent="0.25">
      <c r="J975" s="115"/>
      <c r="K975" s="115"/>
      <c r="L975" s="115"/>
      <c r="M975" s="115"/>
      <c r="N975" s="115"/>
      <c r="O975" s="115"/>
      <c r="P975" s="115"/>
    </row>
    <row r="976" spans="10:16" ht="12.5" x14ac:dyDescent="0.25">
      <c r="J976" s="115"/>
      <c r="K976" s="115"/>
      <c r="L976" s="115"/>
      <c r="M976" s="115"/>
      <c r="N976" s="115"/>
      <c r="O976" s="115"/>
      <c r="P976" s="115"/>
    </row>
    <row r="977" spans="10:16" ht="12.5" x14ac:dyDescent="0.25">
      <c r="J977" s="115"/>
      <c r="K977" s="115"/>
      <c r="L977" s="115"/>
      <c r="M977" s="115"/>
      <c r="N977" s="115"/>
      <c r="O977" s="115"/>
      <c r="P977" s="115"/>
    </row>
    <row r="978" spans="10:16" ht="12.5" x14ac:dyDescent="0.25">
      <c r="J978" s="115"/>
      <c r="K978" s="115"/>
      <c r="L978" s="115"/>
      <c r="M978" s="115"/>
      <c r="N978" s="115"/>
      <c r="O978" s="115"/>
      <c r="P978" s="115"/>
    </row>
    <row r="979" spans="10:16" ht="12.5" x14ac:dyDescent="0.25">
      <c r="J979" s="115"/>
      <c r="K979" s="115"/>
      <c r="L979" s="115"/>
      <c r="M979" s="115"/>
      <c r="N979" s="115"/>
      <c r="O979" s="115"/>
      <c r="P979" s="115"/>
    </row>
    <row r="980" spans="10:16" ht="12.5" x14ac:dyDescent="0.25">
      <c r="J980" s="115"/>
      <c r="K980" s="115"/>
      <c r="L980" s="115"/>
      <c r="M980" s="115"/>
      <c r="N980" s="115"/>
      <c r="O980" s="115"/>
      <c r="P980" s="115"/>
    </row>
    <row r="981" spans="10:16" ht="12.5" x14ac:dyDescent="0.25">
      <c r="J981" s="115"/>
      <c r="K981" s="115"/>
      <c r="L981" s="115"/>
      <c r="M981" s="115"/>
      <c r="N981" s="115"/>
      <c r="O981" s="115"/>
      <c r="P981" s="115"/>
    </row>
    <row r="982" spans="10:16" ht="12.5" x14ac:dyDescent="0.25">
      <c r="J982" s="115"/>
      <c r="K982" s="115"/>
      <c r="L982" s="115"/>
      <c r="M982" s="115"/>
      <c r="N982" s="115"/>
      <c r="O982" s="115"/>
      <c r="P982" s="115"/>
    </row>
    <row r="983" spans="10:16" ht="12.5" x14ac:dyDescent="0.25">
      <c r="J983" s="115"/>
      <c r="K983" s="115"/>
      <c r="L983" s="115"/>
      <c r="M983" s="115"/>
      <c r="N983" s="115"/>
      <c r="O983" s="115"/>
      <c r="P983" s="115"/>
    </row>
    <row r="984" spans="10:16" ht="12.5" x14ac:dyDescent="0.25">
      <c r="J984" s="115"/>
      <c r="K984" s="115"/>
      <c r="L984" s="115"/>
      <c r="M984" s="115"/>
      <c r="N984" s="115"/>
      <c r="O984" s="115"/>
      <c r="P984" s="115"/>
    </row>
    <row r="985" spans="10:16" ht="12.5" x14ac:dyDescent="0.25">
      <c r="J985" s="115"/>
      <c r="K985" s="115"/>
      <c r="L985" s="115"/>
      <c r="M985" s="115"/>
      <c r="N985" s="115"/>
      <c r="O985" s="115"/>
      <c r="P985" s="115"/>
    </row>
    <row r="986" spans="10:16" ht="12.5" x14ac:dyDescent="0.25">
      <c r="J986" s="115"/>
      <c r="K986" s="115"/>
      <c r="L986" s="115"/>
      <c r="M986" s="115"/>
      <c r="N986" s="115"/>
      <c r="O986" s="115"/>
      <c r="P986" s="115"/>
    </row>
    <row r="987" spans="10:16" ht="12.5" x14ac:dyDescent="0.25">
      <c r="J987" s="115"/>
      <c r="K987" s="115"/>
      <c r="L987" s="115"/>
      <c r="M987" s="115"/>
      <c r="N987" s="115"/>
      <c r="O987" s="115"/>
      <c r="P987" s="115"/>
    </row>
    <row r="988" spans="10:16" ht="12.5" x14ac:dyDescent="0.25">
      <c r="J988" s="115"/>
      <c r="K988" s="115"/>
      <c r="L988" s="115"/>
      <c r="M988" s="115"/>
      <c r="N988" s="115"/>
      <c r="O988" s="115"/>
      <c r="P988" s="115"/>
    </row>
    <row r="989" spans="10:16" ht="12.5" x14ac:dyDescent="0.25">
      <c r="J989" s="115"/>
      <c r="K989" s="115"/>
      <c r="L989" s="115"/>
      <c r="M989" s="115"/>
      <c r="N989" s="115"/>
      <c r="O989" s="115"/>
      <c r="P989" s="115"/>
    </row>
    <row r="990" spans="10:16" ht="12.5" x14ac:dyDescent="0.25">
      <c r="J990" s="115"/>
      <c r="K990" s="115"/>
      <c r="L990" s="115"/>
      <c r="M990" s="115"/>
      <c r="N990" s="115"/>
      <c r="O990" s="115"/>
      <c r="P990" s="115"/>
    </row>
    <row r="991" spans="10:16" ht="12.5" x14ac:dyDescent="0.25">
      <c r="J991" s="115"/>
      <c r="K991" s="115"/>
      <c r="L991" s="115"/>
      <c r="M991" s="115"/>
      <c r="N991" s="115"/>
      <c r="O991" s="115"/>
      <c r="P991" s="115"/>
    </row>
    <row r="992" spans="10:16" ht="12.5" x14ac:dyDescent="0.25">
      <c r="J992" s="115"/>
      <c r="K992" s="115"/>
      <c r="L992" s="115"/>
      <c r="M992" s="115"/>
      <c r="N992" s="115"/>
      <c r="O992" s="115"/>
      <c r="P992" s="115"/>
    </row>
    <row r="993" spans="10:16" ht="12.5" x14ac:dyDescent="0.25">
      <c r="J993" s="115"/>
      <c r="K993" s="115"/>
      <c r="L993" s="115"/>
      <c r="M993" s="115"/>
      <c r="N993" s="115"/>
      <c r="O993" s="115"/>
      <c r="P993" s="115"/>
    </row>
    <row r="994" spans="10:16" ht="12.5" x14ac:dyDescent="0.25">
      <c r="J994" s="115"/>
      <c r="K994" s="115"/>
      <c r="L994" s="115"/>
      <c r="M994" s="115"/>
      <c r="N994" s="115"/>
      <c r="O994" s="115"/>
      <c r="P994" s="115"/>
    </row>
    <row r="995" spans="10:16" ht="12.5" x14ac:dyDescent="0.25">
      <c r="J995" s="115"/>
      <c r="K995" s="115"/>
      <c r="L995" s="115"/>
      <c r="M995" s="115"/>
      <c r="N995" s="115"/>
      <c r="O995" s="115"/>
      <c r="P995" s="115"/>
    </row>
    <row r="996" spans="10:16" ht="12.5" x14ac:dyDescent="0.25">
      <c r="J996" s="115"/>
      <c r="K996" s="115"/>
      <c r="L996" s="115"/>
      <c r="M996" s="115"/>
      <c r="N996" s="115"/>
      <c r="O996" s="115"/>
      <c r="P996" s="115"/>
    </row>
    <row r="997" spans="10:16" ht="12.5" x14ac:dyDescent="0.25">
      <c r="J997" s="115"/>
      <c r="K997" s="115"/>
      <c r="L997" s="115"/>
      <c r="M997" s="115"/>
      <c r="N997" s="115"/>
      <c r="O997" s="115"/>
      <c r="P997" s="115"/>
    </row>
    <row r="998" spans="10:16" ht="12.5" x14ac:dyDescent="0.25">
      <c r="J998" s="115"/>
      <c r="K998" s="115"/>
      <c r="L998" s="115"/>
      <c r="M998" s="115"/>
      <c r="N998" s="115"/>
      <c r="O998" s="115"/>
      <c r="P998" s="115"/>
    </row>
    <row r="999" spans="10:16" ht="12.5" x14ac:dyDescent="0.25">
      <c r="J999" s="115"/>
      <c r="K999" s="115"/>
      <c r="L999" s="115"/>
      <c r="M999" s="115"/>
      <c r="N999" s="115"/>
      <c r="O999" s="115"/>
      <c r="P999" s="115"/>
    </row>
    <row r="1000" spans="10:16" ht="12.5" x14ac:dyDescent="0.25">
      <c r="J1000" s="115"/>
      <c r="K1000" s="115"/>
      <c r="L1000" s="115"/>
      <c r="M1000" s="115"/>
      <c r="N1000" s="115"/>
      <c r="O1000" s="115"/>
      <c r="P1000" s="115"/>
    </row>
    <row r="1001" spans="10:16" ht="12.5" x14ac:dyDescent="0.25">
      <c r="J1001" s="115"/>
      <c r="K1001" s="115"/>
      <c r="L1001" s="115"/>
      <c r="M1001" s="115"/>
      <c r="N1001" s="115"/>
      <c r="O1001" s="115"/>
      <c r="P1001" s="115"/>
    </row>
    <row r="1002" spans="10:16" ht="12.5" x14ac:dyDescent="0.25">
      <c r="J1002" s="115"/>
      <c r="K1002" s="115"/>
      <c r="L1002" s="115"/>
      <c r="M1002" s="115"/>
      <c r="N1002" s="115"/>
      <c r="O1002" s="115"/>
      <c r="P1002" s="115"/>
    </row>
    <row r="1003" spans="10:16" ht="12.5" x14ac:dyDescent="0.25">
      <c r="J1003" s="115"/>
      <c r="K1003" s="115"/>
      <c r="L1003" s="115"/>
      <c r="M1003" s="115"/>
      <c r="N1003" s="115"/>
      <c r="O1003" s="115"/>
      <c r="P1003" s="115"/>
    </row>
    <row r="1004" spans="10:16" ht="12.5" x14ac:dyDescent="0.25">
      <c r="J1004" s="115"/>
      <c r="K1004" s="115"/>
      <c r="L1004" s="115"/>
      <c r="M1004" s="115"/>
      <c r="N1004" s="115"/>
      <c r="O1004" s="115"/>
      <c r="P1004" s="115"/>
    </row>
    <row r="1005" spans="10:16" ht="12.5" x14ac:dyDescent="0.25">
      <c r="J1005" s="115"/>
      <c r="K1005" s="115"/>
      <c r="L1005" s="115"/>
      <c r="M1005" s="115"/>
      <c r="N1005" s="115"/>
      <c r="O1005" s="115"/>
      <c r="P1005" s="115"/>
    </row>
    <row r="1006" spans="10:16" ht="12.5" x14ac:dyDescent="0.25">
      <c r="J1006" s="115"/>
      <c r="K1006" s="115"/>
      <c r="L1006" s="115"/>
      <c r="M1006" s="115"/>
      <c r="N1006" s="115"/>
      <c r="O1006" s="115"/>
      <c r="P1006" s="115"/>
    </row>
    <row r="1007" spans="10:16" ht="12.5" x14ac:dyDescent="0.25">
      <c r="J1007" s="115"/>
      <c r="K1007" s="115"/>
      <c r="L1007" s="115"/>
      <c r="M1007" s="115"/>
      <c r="N1007" s="115"/>
      <c r="O1007" s="115"/>
      <c r="P1007" s="115"/>
    </row>
    <row r="1008" spans="10:16" ht="12.5" x14ac:dyDescent="0.25">
      <c r="J1008" s="115"/>
      <c r="K1008" s="115"/>
      <c r="L1008" s="115"/>
      <c r="M1008" s="115"/>
      <c r="N1008" s="115"/>
      <c r="O1008" s="115"/>
      <c r="P1008" s="115"/>
    </row>
    <row r="1009" spans="10:16" ht="12.5" x14ac:dyDescent="0.25">
      <c r="J1009" s="115"/>
      <c r="K1009" s="115"/>
      <c r="L1009" s="115"/>
      <c r="M1009" s="115"/>
      <c r="N1009" s="115"/>
      <c r="O1009" s="115"/>
      <c r="P1009" s="115"/>
    </row>
    <row r="1010" spans="10:16" ht="12.5" x14ac:dyDescent="0.25">
      <c r="J1010" s="115"/>
      <c r="K1010" s="115"/>
      <c r="L1010" s="115"/>
      <c r="M1010" s="115"/>
      <c r="N1010" s="115"/>
      <c r="O1010" s="115"/>
      <c r="P1010" s="115"/>
    </row>
    <row r="1011" spans="10:16" ht="12.5" x14ac:dyDescent="0.25">
      <c r="J1011" s="115"/>
      <c r="K1011" s="115"/>
      <c r="L1011" s="115"/>
      <c r="M1011" s="115"/>
      <c r="N1011" s="115"/>
      <c r="O1011" s="115"/>
      <c r="P1011" s="115"/>
    </row>
    <row r="1012" spans="10:16" ht="12.5" x14ac:dyDescent="0.25">
      <c r="J1012" s="115"/>
      <c r="K1012" s="115"/>
      <c r="L1012" s="115"/>
      <c r="M1012" s="115"/>
      <c r="N1012" s="115"/>
      <c r="O1012" s="115"/>
      <c r="P1012" s="115"/>
    </row>
    <row r="1013" spans="10:16" ht="12.5" x14ac:dyDescent="0.25">
      <c r="J1013" s="115"/>
      <c r="K1013" s="115"/>
      <c r="L1013" s="115"/>
      <c r="M1013" s="115"/>
      <c r="N1013" s="115"/>
      <c r="O1013" s="115"/>
      <c r="P1013" s="115"/>
    </row>
    <row r="1014" spans="10:16" ht="12.5" x14ac:dyDescent="0.25">
      <c r="J1014" s="115"/>
      <c r="K1014" s="115"/>
      <c r="L1014" s="115"/>
      <c r="M1014" s="115"/>
      <c r="N1014" s="115"/>
      <c r="O1014" s="115"/>
      <c r="P1014" s="115"/>
    </row>
    <row r="1015" spans="10:16" ht="12.5" x14ac:dyDescent="0.25">
      <c r="J1015" s="115"/>
      <c r="K1015" s="115"/>
      <c r="L1015" s="115"/>
      <c r="M1015" s="115"/>
      <c r="N1015" s="115"/>
      <c r="O1015" s="115"/>
      <c r="P1015" s="115"/>
    </row>
    <row r="1016" spans="10:16" ht="12.5" x14ac:dyDescent="0.25">
      <c r="J1016" s="115"/>
      <c r="K1016" s="115"/>
      <c r="L1016" s="115"/>
      <c r="M1016" s="115"/>
      <c r="N1016" s="115"/>
      <c r="O1016" s="115"/>
      <c r="P1016" s="115"/>
    </row>
    <row r="1017" spans="10:16" ht="12.5" x14ac:dyDescent="0.25">
      <c r="J1017" s="115"/>
      <c r="K1017" s="115"/>
      <c r="L1017" s="115"/>
      <c r="M1017" s="115"/>
      <c r="N1017" s="115"/>
      <c r="O1017" s="115"/>
      <c r="P1017" s="115"/>
    </row>
    <row r="1018" spans="10:16" ht="12.5" x14ac:dyDescent="0.25">
      <c r="J1018" s="115"/>
      <c r="K1018" s="115"/>
      <c r="L1018" s="115"/>
      <c r="M1018" s="115"/>
      <c r="N1018" s="115"/>
      <c r="O1018" s="115"/>
      <c r="P1018" s="115"/>
    </row>
    <row r="1019" spans="10:16" ht="12.5" x14ac:dyDescent="0.25">
      <c r="J1019" s="115"/>
      <c r="K1019" s="115"/>
      <c r="L1019" s="115"/>
      <c r="M1019" s="115"/>
      <c r="N1019" s="115"/>
      <c r="O1019" s="115"/>
      <c r="P1019" s="115"/>
    </row>
    <row r="1020" spans="10:16" ht="12.5" x14ac:dyDescent="0.25">
      <c r="J1020" s="115"/>
      <c r="K1020" s="115"/>
      <c r="L1020" s="115"/>
      <c r="M1020" s="115"/>
      <c r="N1020" s="115"/>
      <c r="O1020" s="115"/>
      <c r="P1020" s="115"/>
    </row>
    <row r="1021" spans="10:16" ht="12.5" x14ac:dyDescent="0.25">
      <c r="J1021" s="115"/>
      <c r="K1021" s="115"/>
      <c r="L1021" s="115"/>
      <c r="M1021" s="115"/>
      <c r="N1021" s="115"/>
      <c r="O1021" s="115"/>
      <c r="P1021" s="115"/>
    </row>
    <row r="1022" spans="10:16" ht="12.5" x14ac:dyDescent="0.25">
      <c r="J1022" s="115"/>
      <c r="K1022" s="115"/>
      <c r="L1022" s="115"/>
      <c r="M1022" s="115"/>
      <c r="N1022" s="115"/>
      <c r="O1022" s="115"/>
      <c r="P1022" s="115"/>
    </row>
    <row r="1023" spans="10:16" ht="12.5" x14ac:dyDescent="0.25">
      <c r="J1023" s="115"/>
      <c r="K1023" s="115"/>
      <c r="L1023" s="115"/>
      <c r="M1023" s="115"/>
      <c r="N1023" s="115"/>
      <c r="O1023" s="115"/>
      <c r="P1023" s="115"/>
    </row>
    <row r="1024" spans="10:16" ht="12.5" x14ac:dyDescent="0.25">
      <c r="J1024" s="115"/>
      <c r="K1024" s="115"/>
      <c r="L1024" s="115"/>
      <c r="M1024" s="115"/>
      <c r="N1024" s="115"/>
      <c r="O1024" s="115"/>
      <c r="P1024" s="115"/>
    </row>
    <row r="1025" spans="10:16" ht="12.5" x14ac:dyDescent="0.25">
      <c r="J1025" s="115"/>
      <c r="K1025" s="115"/>
      <c r="L1025" s="115"/>
      <c r="M1025" s="115"/>
      <c r="N1025" s="115"/>
      <c r="O1025" s="115"/>
      <c r="P1025" s="115"/>
    </row>
    <row r="1026" spans="10:16" ht="12.5" x14ac:dyDescent="0.25">
      <c r="J1026" s="115"/>
      <c r="K1026" s="115"/>
      <c r="L1026" s="115"/>
      <c r="M1026" s="115"/>
      <c r="N1026" s="115"/>
      <c r="O1026" s="115"/>
      <c r="P1026" s="115"/>
    </row>
    <row r="1027" spans="10:16" ht="12.5" x14ac:dyDescent="0.25">
      <c r="J1027" s="115"/>
      <c r="K1027" s="115"/>
      <c r="L1027" s="115"/>
      <c r="M1027" s="115"/>
      <c r="N1027" s="115"/>
      <c r="O1027" s="115"/>
      <c r="P1027" s="115"/>
    </row>
    <row r="1028" spans="10:16" ht="12.5" x14ac:dyDescent="0.25">
      <c r="J1028" s="115"/>
      <c r="K1028" s="115"/>
      <c r="L1028" s="115"/>
      <c r="M1028" s="115"/>
      <c r="N1028" s="115"/>
      <c r="O1028" s="115"/>
      <c r="P1028" s="115"/>
    </row>
    <row r="1029" spans="10:16" ht="12.5" x14ac:dyDescent="0.25">
      <c r="J1029" s="115"/>
      <c r="K1029" s="115"/>
      <c r="L1029" s="115"/>
      <c r="M1029" s="115"/>
      <c r="N1029" s="115"/>
      <c r="O1029" s="115"/>
      <c r="P1029" s="115"/>
    </row>
    <row r="1030" spans="10:16" ht="12.5" x14ac:dyDescent="0.25">
      <c r="J1030" s="115"/>
      <c r="K1030" s="115"/>
      <c r="L1030" s="115"/>
      <c r="M1030" s="115"/>
      <c r="N1030" s="115"/>
      <c r="O1030" s="115"/>
      <c r="P1030" s="115"/>
    </row>
    <row r="1031" spans="10:16" ht="12.5" x14ac:dyDescent="0.25">
      <c r="J1031" s="115"/>
      <c r="K1031" s="115"/>
      <c r="L1031" s="115"/>
      <c r="M1031" s="115"/>
      <c r="N1031" s="115"/>
      <c r="O1031" s="115"/>
      <c r="P1031" s="115"/>
    </row>
    <row r="1032" spans="10:16" ht="12.5" x14ac:dyDescent="0.25">
      <c r="J1032" s="115"/>
      <c r="K1032" s="115"/>
      <c r="L1032" s="115"/>
      <c r="M1032" s="115"/>
      <c r="N1032" s="115"/>
      <c r="O1032" s="115"/>
      <c r="P1032" s="115"/>
    </row>
    <row r="1033" spans="10:16" ht="12.5" x14ac:dyDescent="0.25">
      <c r="J1033" s="115"/>
      <c r="K1033" s="115"/>
      <c r="L1033" s="115"/>
      <c r="M1033" s="115"/>
      <c r="N1033" s="115"/>
      <c r="O1033" s="115"/>
      <c r="P1033" s="115"/>
    </row>
    <row r="1034" spans="10:16" ht="12.5" x14ac:dyDescent="0.25">
      <c r="J1034" s="115"/>
      <c r="K1034" s="115"/>
      <c r="L1034" s="115"/>
      <c r="M1034" s="115"/>
      <c r="N1034" s="115"/>
      <c r="O1034" s="115"/>
      <c r="P1034" s="115"/>
    </row>
    <row r="1035" spans="10:16" ht="12.5" x14ac:dyDescent="0.25">
      <c r="J1035" s="115"/>
      <c r="K1035" s="115"/>
      <c r="L1035" s="115"/>
      <c r="M1035" s="115"/>
      <c r="N1035" s="115"/>
      <c r="O1035" s="115"/>
      <c r="P1035" s="115"/>
    </row>
    <row r="1036" spans="10:16" ht="12.5" x14ac:dyDescent="0.25">
      <c r="J1036" s="115"/>
      <c r="K1036" s="115"/>
      <c r="L1036" s="115"/>
      <c r="M1036" s="115"/>
      <c r="N1036" s="115"/>
      <c r="O1036" s="115"/>
      <c r="P1036" s="115"/>
    </row>
    <row r="1037" spans="10:16" ht="12.5" x14ac:dyDescent="0.25">
      <c r="J1037" s="115"/>
      <c r="K1037" s="115"/>
      <c r="L1037" s="115"/>
      <c r="M1037" s="115"/>
      <c r="N1037" s="115"/>
      <c r="O1037" s="115"/>
      <c r="P1037" s="115"/>
    </row>
    <row r="1038" spans="10:16" ht="12.5" x14ac:dyDescent="0.25">
      <c r="J1038" s="115"/>
      <c r="K1038" s="115"/>
      <c r="L1038" s="115"/>
      <c r="M1038" s="115"/>
      <c r="N1038" s="115"/>
      <c r="O1038" s="115"/>
      <c r="P1038" s="115"/>
    </row>
    <row r="1039" spans="10:16" ht="12.5" x14ac:dyDescent="0.25">
      <c r="J1039" s="115"/>
      <c r="K1039" s="115"/>
      <c r="L1039" s="115"/>
      <c r="M1039" s="115"/>
      <c r="N1039" s="115"/>
      <c r="O1039" s="115"/>
      <c r="P1039" s="115"/>
    </row>
    <row r="1040" spans="10:16" ht="12.5" x14ac:dyDescent="0.25">
      <c r="J1040" s="115"/>
      <c r="K1040" s="115"/>
      <c r="L1040" s="115"/>
      <c r="M1040" s="115"/>
      <c r="N1040" s="115"/>
      <c r="O1040" s="115"/>
      <c r="P1040" s="115"/>
    </row>
    <row r="1041" spans="10:16" ht="12.5" x14ac:dyDescent="0.25">
      <c r="J1041" s="115"/>
      <c r="K1041" s="115"/>
      <c r="L1041" s="115"/>
      <c r="M1041" s="115"/>
      <c r="N1041" s="115"/>
      <c r="O1041" s="115"/>
      <c r="P1041" s="115"/>
    </row>
    <row r="1042" spans="10:16" ht="12.5" x14ac:dyDescent="0.25">
      <c r="J1042" s="115"/>
      <c r="K1042" s="115"/>
      <c r="L1042" s="115"/>
      <c r="M1042" s="115"/>
      <c r="N1042" s="115"/>
      <c r="O1042" s="115"/>
      <c r="P1042" s="115"/>
    </row>
    <row r="1043" spans="10:16" ht="12.5" x14ac:dyDescent="0.25">
      <c r="J1043" s="115"/>
      <c r="K1043" s="115"/>
      <c r="L1043" s="115"/>
      <c r="M1043" s="115"/>
      <c r="N1043" s="115"/>
      <c r="O1043" s="115"/>
      <c r="P1043" s="115"/>
    </row>
    <row r="1044" spans="10:16" ht="12.5" x14ac:dyDescent="0.25">
      <c r="J1044" s="115"/>
      <c r="K1044" s="115"/>
      <c r="L1044" s="115"/>
      <c r="M1044" s="115"/>
      <c r="N1044" s="115"/>
      <c r="O1044" s="115"/>
      <c r="P1044" s="115"/>
    </row>
  </sheetData>
  <mergeCells count="419">
    <mergeCell ref="D114:I114"/>
    <mergeCell ref="K114:L114"/>
    <mergeCell ref="K117:L117"/>
    <mergeCell ref="K118:L118"/>
    <mergeCell ref="K119:L119"/>
    <mergeCell ref="M119:N119"/>
    <mergeCell ref="O119:P119"/>
    <mergeCell ref="Q119:V119"/>
    <mergeCell ref="D120:N120"/>
    <mergeCell ref="O120:P120"/>
    <mergeCell ref="M114:N114"/>
    <mergeCell ref="O114:P114"/>
    <mergeCell ref="Q114:V114"/>
    <mergeCell ref="K115:L115"/>
    <mergeCell ref="M115:N115"/>
    <mergeCell ref="O115:P115"/>
    <mergeCell ref="Q115:V115"/>
    <mergeCell ref="K112:L112"/>
    <mergeCell ref="M112:N112"/>
    <mergeCell ref="K113:L113"/>
    <mergeCell ref="M113:N113"/>
    <mergeCell ref="O113:P113"/>
    <mergeCell ref="K109:L109"/>
    <mergeCell ref="M109:N109"/>
    <mergeCell ref="O109:P109"/>
    <mergeCell ref="Q109:V109"/>
    <mergeCell ref="D110:I110"/>
    <mergeCell ref="O112:P112"/>
    <mergeCell ref="Q112:V112"/>
    <mergeCell ref="Q113:V113"/>
    <mergeCell ref="O110:P110"/>
    <mergeCell ref="Q110:V110"/>
    <mergeCell ref="K111:L111"/>
    <mergeCell ref="M111:N111"/>
    <mergeCell ref="O111:P111"/>
    <mergeCell ref="Q111:V111"/>
    <mergeCell ref="D112:I112"/>
    <mergeCell ref="O117:P117"/>
    <mergeCell ref="Q117:V117"/>
    <mergeCell ref="M118:N118"/>
    <mergeCell ref="O118:P118"/>
    <mergeCell ref="D116:I116"/>
    <mergeCell ref="K116:L116"/>
    <mergeCell ref="M116:N116"/>
    <mergeCell ref="O116:P116"/>
    <mergeCell ref="Q116:V116"/>
    <mergeCell ref="M117:N117"/>
    <mergeCell ref="D118:I118"/>
    <mergeCell ref="Q118:V118"/>
    <mergeCell ref="O108:P108"/>
    <mergeCell ref="Q108:V108"/>
    <mergeCell ref="K106:L106"/>
    <mergeCell ref="M106:N106"/>
    <mergeCell ref="K107:L107"/>
    <mergeCell ref="M107:N107"/>
    <mergeCell ref="O107:P107"/>
    <mergeCell ref="Q107:V107"/>
    <mergeCell ref="D108:I108"/>
    <mergeCell ref="K108:L108"/>
    <mergeCell ref="M108:N108"/>
    <mergeCell ref="O106:P106"/>
    <mergeCell ref="Q106:V106"/>
    <mergeCell ref="K104:L104"/>
    <mergeCell ref="M104:N104"/>
    <mergeCell ref="K105:L105"/>
    <mergeCell ref="M105:N105"/>
    <mergeCell ref="O105:P105"/>
    <mergeCell ref="Q105:V105"/>
    <mergeCell ref="D106:I106"/>
    <mergeCell ref="K100:L100"/>
    <mergeCell ref="M100:N100"/>
    <mergeCell ref="K101:L101"/>
    <mergeCell ref="M101:N101"/>
    <mergeCell ref="O101:P101"/>
    <mergeCell ref="Q101:V101"/>
    <mergeCell ref="D102:I102"/>
    <mergeCell ref="O104:P104"/>
    <mergeCell ref="Q104:V104"/>
    <mergeCell ref="K102:L102"/>
    <mergeCell ref="M102:N102"/>
    <mergeCell ref="K103:L103"/>
    <mergeCell ref="M103:N103"/>
    <mergeCell ref="O103:P103"/>
    <mergeCell ref="Q103:V103"/>
    <mergeCell ref="D104:I104"/>
    <mergeCell ref="D90:I90"/>
    <mergeCell ref="K90:L90"/>
    <mergeCell ref="K110:L110"/>
    <mergeCell ref="M110:N110"/>
    <mergeCell ref="O98:P98"/>
    <mergeCell ref="Q98:V98"/>
    <mergeCell ref="K96:L96"/>
    <mergeCell ref="M96:N96"/>
    <mergeCell ref="K97:L97"/>
    <mergeCell ref="M97:N97"/>
    <mergeCell ref="O97:P97"/>
    <mergeCell ref="Q97:V97"/>
    <mergeCell ref="D98:I98"/>
    <mergeCell ref="O100:P100"/>
    <mergeCell ref="Q100:V100"/>
    <mergeCell ref="K98:L98"/>
    <mergeCell ref="M98:N98"/>
    <mergeCell ref="K99:L99"/>
    <mergeCell ref="M99:N99"/>
    <mergeCell ref="O99:P99"/>
    <mergeCell ref="Q99:V99"/>
    <mergeCell ref="D100:I100"/>
    <mergeCell ref="O102:P102"/>
    <mergeCell ref="Q102:V102"/>
    <mergeCell ref="M90:N90"/>
    <mergeCell ref="O90:P90"/>
    <mergeCell ref="Q90:V90"/>
    <mergeCell ref="K91:L91"/>
    <mergeCell ref="M91:N91"/>
    <mergeCell ref="O91:P91"/>
    <mergeCell ref="Q91:V91"/>
    <mergeCell ref="K88:L88"/>
    <mergeCell ref="M88:N88"/>
    <mergeCell ref="K89:L89"/>
    <mergeCell ref="M89:N89"/>
    <mergeCell ref="O89:P89"/>
    <mergeCell ref="K85:L85"/>
    <mergeCell ref="M85:N85"/>
    <mergeCell ref="O85:P85"/>
    <mergeCell ref="Q85:V85"/>
    <mergeCell ref="D86:I86"/>
    <mergeCell ref="O88:P88"/>
    <mergeCell ref="Q88:V88"/>
    <mergeCell ref="Q89:V89"/>
    <mergeCell ref="O86:P86"/>
    <mergeCell ref="Q86:V86"/>
    <mergeCell ref="K87:L87"/>
    <mergeCell ref="M87:N87"/>
    <mergeCell ref="O87:P87"/>
    <mergeCell ref="Q87:V87"/>
    <mergeCell ref="D88:I88"/>
    <mergeCell ref="O96:P96"/>
    <mergeCell ref="Q96:V96"/>
    <mergeCell ref="K93:L93"/>
    <mergeCell ref="K94:L94"/>
    <mergeCell ref="K95:L95"/>
    <mergeCell ref="M95:N95"/>
    <mergeCell ref="O95:P95"/>
    <mergeCell ref="Q95:V95"/>
    <mergeCell ref="D96:I96"/>
    <mergeCell ref="O93:P93"/>
    <mergeCell ref="Q93:V93"/>
    <mergeCell ref="M94:N94"/>
    <mergeCell ref="O94:P94"/>
    <mergeCell ref="D92:I92"/>
    <mergeCell ref="K92:L92"/>
    <mergeCell ref="M92:N92"/>
    <mergeCell ref="O92:P92"/>
    <mergeCell ref="Q92:V92"/>
    <mergeCell ref="M93:N93"/>
    <mergeCell ref="D94:I94"/>
    <mergeCell ref="Q94:V94"/>
    <mergeCell ref="O84:P84"/>
    <mergeCell ref="Q84:V84"/>
    <mergeCell ref="K82:L82"/>
    <mergeCell ref="M82:N82"/>
    <mergeCell ref="K83:L83"/>
    <mergeCell ref="M83:N83"/>
    <mergeCell ref="O83:P83"/>
    <mergeCell ref="Q83:V83"/>
    <mergeCell ref="D84:I84"/>
    <mergeCell ref="K84:L84"/>
    <mergeCell ref="M84:N84"/>
    <mergeCell ref="O82:P82"/>
    <mergeCell ref="Q82:V82"/>
    <mergeCell ref="K80:L80"/>
    <mergeCell ref="M80:N80"/>
    <mergeCell ref="K81:L81"/>
    <mergeCell ref="M81:N81"/>
    <mergeCell ref="O81:P81"/>
    <mergeCell ref="Q81:V81"/>
    <mergeCell ref="D82:I82"/>
    <mergeCell ref="O80:P80"/>
    <mergeCell ref="Q80:V80"/>
    <mergeCell ref="K78:L78"/>
    <mergeCell ref="M78:N78"/>
    <mergeCell ref="K79:L79"/>
    <mergeCell ref="M79:N79"/>
    <mergeCell ref="O79:P79"/>
    <mergeCell ref="Q79:V79"/>
    <mergeCell ref="D80:I80"/>
    <mergeCell ref="O78:P78"/>
    <mergeCell ref="Q78:V78"/>
    <mergeCell ref="K76:L76"/>
    <mergeCell ref="M76:N76"/>
    <mergeCell ref="K77:L77"/>
    <mergeCell ref="M77:N77"/>
    <mergeCell ref="O77:P77"/>
    <mergeCell ref="Q77:V77"/>
    <mergeCell ref="D78:I78"/>
    <mergeCell ref="O64:P64"/>
    <mergeCell ref="Q64:V64"/>
    <mergeCell ref="Q65:V65"/>
    <mergeCell ref="M66:N66"/>
    <mergeCell ref="O66:P66"/>
    <mergeCell ref="Q66:V66"/>
    <mergeCell ref="K86:L86"/>
    <mergeCell ref="M86:N86"/>
    <mergeCell ref="D62:I62"/>
    <mergeCell ref="D63:I63"/>
    <mergeCell ref="K63:L63"/>
    <mergeCell ref="M63:N63"/>
    <mergeCell ref="O63:P63"/>
    <mergeCell ref="Q63:V63"/>
    <mergeCell ref="D64:I64"/>
    <mergeCell ref="K64:L64"/>
    <mergeCell ref="M64:N64"/>
    <mergeCell ref="K65:L65"/>
    <mergeCell ref="M65:N65"/>
    <mergeCell ref="O65:P65"/>
    <mergeCell ref="D66:I66"/>
    <mergeCell ref="K66:L66"/>
    <mergeCell ref="K71:L71"/>
    <mergeCell ref="D72:I72"/>
    <mergeCell ref="M62:N62"/>
    <mergeCell ref="O62:P62"/>
    <mergeCell ref="D61:I61"/>
    <mergeCell ref="K61:L61"/>
    <mergeCell ref="M61:N61"/>
    <mergeCell ref="O61:P61"/>
    <mergeCell ref="Q61:V61"/>
    <mergeCell ref="K62:L62"/>
    <mergeCell ref="Q62:V62"/>
    <mergeCell ref="O60:P60"/>
    <mergeCell ref="Q60:V60"/>
    <mergeCell ref="D58:I58"/>
    <mergeCell ref="D59:I59"/>
    <mergeCell ref="K59:L59"/>
    <mergeCell ref="M59:N59"/>
    <mergeCell ref="O59:P59"/>
    <mergeCell ref="Q59:V59"/>
    <mergeCell ref="D60:I60"/>
    <mergeCell ref="D74:I74"/>
    <mergeCell ref="K74:L74"/>
    <mergeCell ref="Q74:V74"/>
    <mergeCell ref="O76:P76"/>
    <mergeCell ref="Q76:V76"/>
    <mergeCell ref="M74:N74"/>
    <mergeCell ref="O74:P74"/>
    <mergeCell ref="K75:L75"/>
    <mergeCell ref="M75:N75"/>
    <mergeCell ref="O75:P75"/>
    <mergeCell ref="Q75:V75"/>
    <mergeCell ref="D76:I76"/>
    <mergeCell ref="K69:L69"/>
    <mergeCell ref="M69:N69"/>
    <mergeCell ref="O69:P69"/>
    <mergeCell ref="Q69:V69"/>
    <mergeCell ref="D70:I70"/>
    <mergeCell ref="K70:L70"/>
    <mergeCell ref="K73:L73"/>
    <mergeCell ref="M73:N73"/>
    <mergeCell ref="O73:P73"/>
    <mergeCell ref="Q73:V73"/>
    <mergeCell ref="K72:L72"/>
    <mergeCell ref="M72:N72"/>
    <mergeCell ref="O72:P72"/>
    <mergeCell ref="M70:N70"/>
    <mergeCell ref="O70:P70"/>
    <mergeCell ref="Q70:V70"/>
    <mergeCell ref="M71:N71"/>
    <mergeCell ref="O71:P71"/>
    <mergeCell ref="Q71:V71"/>
    <mergeCell ref="Q72:V72"/>
    <mergeCell ref="K67:L67"/>
    <mergeCell ref="M67:N67"/>
    <mergeCell ref="O67:P67"/>
    <mergeCell ref="Q67:V67"/>
    <mergeCell ref="D68:I68"/>
    <mergeCell ref="K68:L68"/>
    <mergeCell ref="M68:N68"/>
    <mergeCell ref="O68:P68"/>
    <mergeCell ref="Q68:V68"/>
    <mergeCell ref="Z39:AA39"/>
    <mergeCell ref="Z40:AA40"/>
    <mergeCell ref="T37:U37"/>
    <mergeCell ref="X37:Y37"/>
    <mergeCell ref="X38:Y38"/>
    <mergeCell ref="Z38:AA38"/>
    <mergeCell ref="T39:U39"/>
    <mergeCell ref="X39:Y40"/>
    <mergeCell ref="T40:V40"/>
    <mergeCell ref="F37:G37"/>
    <mergeCell ref="D50:F50"/>
    <mergeCell ref="D51:F51"/>
    <mergeCell ref="D52:G52"/>
    <mergeCell ref="D53:G53"/>
    <mergeCell ref="D42:H43"/>
    <mergeCell ref="D44:F44"/>
    <mergeCell ref="D45:F45"/>
    <mergeCell ref="D46:F46"/>
    <mergeCell ref="D47:F47"/>
    <mergeCell ref="D48:F48"/>
    <mergeCell ref="D49:F49"/>
    <mergeCell ref="Z14:AA14"/>
    <mergeCell ref="D12:H13"/>
    <mergeCell ref="J12:P13"/>
    <mergeCell ref="X12:AA12"/>
    <mergeCell ref="X13:Y13"/>
    <mergeCell ref="Z13:AA13"/>
    <mergeCell ref="D14:G14"/>
    <mergeCell ref="J14:K14"/>
    <mergeCell ref="X27:Y27"/>
    <mergeCell ref="T23:U23"/>
    <mergeCell ref="T24:U24"/>
    <mergeCell ref="T25:U25"/>
    <mergeCell ref="T26:U26"/>
    <mergeCell ref="X26:AA26"/>
    <mergeCell ref="T27:U27"/>
    <mergeCell ref="R22:S22"/>
    <mergeCell ref="R23:S23"/>
    <mergeCell ref="R24:S24"/>
    <mergeCell ref="R25:S25"/>
    <mergeCell ref="R26:S26"/>
    <mergeCell ref="R27:S27"/>
    <mergeCell ref="D25:F25"/>
    <mergeCell ref="D26:F26"/>
    <mergeCell ref="D27:F27"/>
    <mergeCell ref="D2:E2"/>
    <mergeCell ref="G2:L2"/>
    <mergeCell ref="D3:E3"/>
    <mergeCell ref="N3:Q5"/>
    <mergeCell ref="H4:I4"/>
    <mergeCell ref="J4:K4"/>
    <mergeCell ref="H5:I5"/>
    <mergeCell ref="R12:V13"/>
    <mergeCell ref="R14:S14"/>
    <mergeCell ref="T14:U14"/>
    <mergeCell ref="K60:L60"/>
    <mergeCell ref="M60:N60"/>
    <mergeCell ref="J5:K5"/>
    <mergeCell ref="S5:X5"/>
    <mergeCell ref="U8:V8"/>
    <mergeCell ref="W8:X8"/>
    <mergeCell ref="N6:Q6"/>
    <mergeCell ref="N7:P7"/>
    <mergeCell ref="S7:T7"/>
    <mergeCell ref="U7:V7"/>
    <mergeCell ref="W7:X7"/>
    <mergeCell ref="N8:P8"/>
    <mergeCell ref="S8:T8"/>
    <mergeCell ref="X14:Y14"/>
    <mergeCell ref="X28:Y28"/>
    <mergeCell ref="T28:U28"/>
    <mergeCell ref="R31:S31"/>
    <mergeCell ref="R33:S33"/>
    <mergeCell ref="R29:S29"/>
    <mergeCell ref="X34:AA34"/>
    <mergeCell ref="X35:Y35"/>
    <mergeCell ref="Z35:AA35"/>
    <mergeCell ref="T29:U29"/>
    <mergeCell ref="X29:Y29"/>
    <mergeCell ref="D23:H24"/>
    <mergeCell ref="T33:U33"/>
    <mergeCell ref="T34:U34"/>
    <mergeCell ref="R35:S35"/>
    <mergeCell ref="T35:U35"/>
    <mergeCell ref="T36:U36"/>
    <mergeCell ref="X36:AA36"/>
    <mergeCell ref="R37:S37"/>
    <mergeCell ref="Z37:AA37"/>
    <mergeCell ref="T30:U30"/>
    <mergeCell ref="X30:Y30"/>
    <mergeCell ref="T31:U31"/>
    <mergeCell ref="T32:U32"/>
    <mergeCell ref="X32:AA33"/>
    <mergeCell ref="D28:F28"/>
    <mergeCell ref="D29:F29"/>
    <mergeCell ref="D30:F30"/>
    <mergeCell ref="D31:F31"/>
    <mergeCell ref="D32:F32"/>
    <mergeCell ref="D33:F33"/>
    <mergeCell ref="D34:F34"/>
    <mergeCell ref="D35:F35"/>
    <mergeCell ref="D36:E37"/>
    <mergeCell ref="F36:G36"/>
    <mergeCell ref="R21:S21"/>
    <mergeCell ref="T21:U21"/>
    <mergeCell ref="T22:U22"/>
    <mergeCell ref="D16:G16"/>
    <mergeCell ref="D17:G17"/>
    <mergeCell ref="D18:G18"/>
    <mergeCell ref="D19:G19"/>
    <mergeCell ref="D20:G20"/>
    <mergeCell ref="D21:G21"/>
    <mergeCell ref="R17:S17"/>
    <mergeCell ref="T17:U17"/>
    <mergeCell ref="Z17:AA17"/>
    <mergeCell ref="R18:S18"/>
    <mergeCell ref="T18:U18"/>
    <mergeCell ref="R19:S19"/>
    <mergeCell ref="T19:U19"/>
    <mergeCell ref="R20:S20"/>
    <mergeCell ref="T20:U20"/>
    <mergeCell ref="D15:G15"/>
    <mergeCell ref="R15:S15"/>
    <mergeCell ref="T15:U15"/>
    <mergeCell ref="Z15:AA15"/>
    <mergeCell ref="R16:S16"/>
    <mergeCell ref="T16:U16"/>
    <mergeCell ref="Z16:AA16"/>
    <mergeCell ref="X15:Y15"/>
    <mergeCell ref="X16:Y16"/>
    <mergeCell ref="D39:F40"/>
    <mergeCell ref="G39:H40"/>
    <mergeCell ref="R39:S39"/>
    <mergeCell ref="R40:S40"/>
    <mergeCell ref="J42:R42"/>
    <mergeCell ref="T42:V42"/>
    <mergeCell ref="D56:V57"/>
    <mergeCell ref="K58:L58"/>
    <mergeCell ref="Q58:V58"/>
    <mergeCell ref="M58:N58"/>
    <mergeCell ref="O58:P58"/>
  </mergeCells>
  <conditionalFormatting sqref="Z39:AA40">
    <cfRule type="cellIs" dxfId="23" priority="1" operator="greaterThanOrEqual">
      <formula>0</formula>
    </cfRule>
    <cfRule type="cellIs" dxfId="22" priority="3" operator="lessThan">
      <formula>0</formula>
    </cfRule>
    <cfRule type="containsText" dxfId="21" priority="4" operator="containsText" text="falta">
      <formula>NOT(ISERROR(SEARCH(("falta"),(Z39))))</formula>
    </cfRule>
  </conditionalFormatting>
  <conditionalFormatting sqref="Z40:AA40">
    <cfRule type="containsText" dxfId="20" priority="2" operator="containsText" text="sobra">
      <formula>NOT(ISERROR(SEARCH(("sobra"),(Z40))))</formula>
    </cfRule>
  </conditionalFormatting>
  <dataValidations count="3">
    <dataValidation type="list" allowBlank="1" showErrorMessage="1" sqref="G45:G51" xr:uid="{00000000-0002-0000-0800-000000000000}">
      <formula1>"Ahorro,Inversión"</formula1>
    </dataValidation>
    <dataValidation type="list" allowBlank="1" showErrorMessage="1" sqref="K59:K119" xr:uid="{00000000-0002-0000-0800-000001000000}">
      <formula1>"Transporte,Alimentación,Restaurantes,Delivery,Bares,Ropa,Belleza,Gasolina,Hogar,Tarjeta de crédito,Ocio,Pequeñas compras,Tasas/Impuestos,Viajes/vacaciones,Tecnología,Reparaciones,Salud,Higiene,Cursos/Formación/Trabajo,Mascotas,Familia,Otros,Préstamos"</formula1>
    </dataValidation>
    <dataValidation type="list" allowBlank="1" showErrorMessage="1" sqref="N15:N39 M59:M119" xr:uid="{00000000-0002-0000-0800-000002000000}">
      <formula1>"Transferencia,Tarjeta de débito,Efectivo,Tarjeta de crédito"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D1044"/>
  <sheetViews>
    <sheetView workbookViewId="0"/>
  </sheetViews>
  <sheetFormatPr baseColWidth="10" defaultColWidth="12.6328125" defaultRowHeight="15.75" customHeight="1" x14ac:dyDescent="0.25"/>
  <cols>
    <col min="7" max="7" width="13.7265625" customWidth="1"/>
    <col min="14" max="14" width="17.6328125" customWidth="1"/>
  </cols>
  <sheetData>
    <row r="1" spans="1:30" ht="15.7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8"/>
      <c r="O1" s="28"/>
      <c r="P1" s="28"/>
      <c r="Q1" s="28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x14ac:dyDescent="0.3">
      <c r="A2" s="2"/>
      <c r="B2" s="2"/>
      <c r="C2" s="2"/>
      <c r="D2" s="254" t="s">
        <v>45</v>
      </c>
      <c r="E2" s="200"/>
      <c r="F2" s="11"/>
      <c r="G2" s="244" t="s">
        <v>46</v>
      </c>
      <c r="H2" s="245"/>
      <c r="I2" s="245"/>
      <c r="J2" s="245"/>
      <c r="K2" s="245"/>
      <c r="L2" s="246"/>
      <c r="M2" s="29"/>
      <c r="N2" s="11"/>
      <c r="O2" s="11"/>
      <c r="P2" s="11"/>
      <c r="Q2" s="11"/>
      <c r="R2" s="11"/>
      <c r="S2" s="11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5.75" customHeight="1" x14ac:dyDescent="0.4">
      <c r="A3" s="2"/>
      <c r="B3" s="2"/>
      <c r="C3" s="2"/>
      <c r="D3" s="255">
        <f>CTAS!D8</f>
        <v>0</v>
      </c>
      <c r="E3" s="236"/>
      <c r="F3" s="2"/>
      <c r="G3" s="2"/>
      <c r="H3" s="2"/>
      <c r="I3" s="2"/>
      <c r="J3" s="2"/>
      <c r="K3" s="2"/>
      <c r="L3" s="2"/>
      <c r="M3" s="11"/>
      <c r="N3" s="256" t="s">
        <v>7</v>
      </c>
      <c r="O3" s="209"/>
      <c r="P3" s="209"/>
      <c r="Q3" s="129"/>
      <c r="R3" s="30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3">
      <c r="A4" s="2"/>
      <c r="B4" s="2"/>
      <c r="C4" s="2"/>
      <c r="D4" s="28"/>
      <c r="E4" s="28"/>
      <c r="F4" s="2"/>
      <c r="G4" s="28"/>
      <c r="H4" s="259" t="s">
        <v>15</v>
      </c>
      <c r="I4" s="224"/>
      <c r="J4" s="260" t="s">
        <v>47</v>
      </c>
      <c r="K4" s="119"/>
      <c r="L4" s="31" t="s">
        <v>14</v>
      </c>
      <c r="M4" s="32"/>
      <c r="N4" s="257"/>
      <c r="O4" s="197"/>
      <c r="P4" s="197"/>
      <c r="Q4" s="258"/>
      <c r="R4" s="30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x14ac:dyDescent="0.3">
      <c r="A5" s="2"/>
      <c r="B5" s="2"/>
      <c r="C5" s="2"/>
      <c r="D5" s="2"/>
      <c r="E5" s="2"/>
      <c r="F5" s="2"/>
      <c r="G5" s="33" t="s">
        <v>48</v>
      </c>
      <c r="H5" s="261">
        <f>H37</f>
        <v>0</v>
      </c>
      <c r="I5" s="219"/>
      <c r="J5" s="243">
        <f>G39</f>
        <v>0</v>
      </c>
      <c r="K5" s="201"/>
      <c r="L5" s="34">
        <f>H5+J5</f>
        <v>0</v>
      </c>
      <c r="M5" s="32"/>
      <c r="N5" s="257"/>
      <c r="O5" s="197"/>
      <c r="P5" s="197"/>
      <c r="Q5" s="258"/>
      <c r="R5" s="29"/>
      <c r="S5" s="244" t="s">
        <v>49</v>
      </c>
      <c r="T5" s="245"/>
      <c r="U5" s="245"/>
      <c r="V5" s="245"/>
      <c r="W5" s="245"/>
      <c r="X5" s="246"/>
      <c r="Y5" s="30"/>
      <c r="Z5" s="2"/>
      <c r="AA5" s="2"/>
      <c r="AB5" s="2"/>
      <c r="AC5" s="2"/>
      <c r="AD5" s="2"/>
    </row>
    <row r="6" spans="1:30" ht="15.75" customHeight="1" x14ac:dyDescent="0.25">
      <c r="A6" s="2"/>
      <c r="B6" s="2"/>
      <c r="C6" s="2"/>
      <c r="D6" s="35"/>
      <c r="E6" s="35"/>
      <c r="F6" s="2"/>
      <c r="G6" s="35"/>
      <c r="H6" s="2"/>
      <c r="I6" s="36"/>
      <c r="J6" s="37"/>
      <c r="K6" s="37"/>
      <c r="L6" s="37"/>
      <c r="M6" s="38"/>
      <c r="N6" s="248">
        <v>2026</v>
      </c>
      <c r="O6" s="218"/>
      <c r="P6" s="218"/>
      <c r="Q6" s="249"/>
      <c r="R6" s="30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x14ac:dyDescent="0.3">
      <c r="A7" s="2"/>
      <c r="B7" s="2"/>
      <c r="C7" s="2"/>
      <c r="D7" s="2"/>
      <c r="E7" s="2"/>
      <c r="F7" s="2"/>
      <c r="G7" s="2"/>
      <c r="H7" s="39" t="s">
        <v>50</v>
      </c>
      <c r="I7" s="39" t="s">
        <v>51</v>
      </c>
      <c r="J7" s="7" t="s">
        <v>19</v>
      </c>
      <c r="K7" s="7" t="s">
        <v>52</v>
      </c>
      <c r="L7" s="7" t="s">
        <v>14</v>
      </c>
      <c r="M7" s="40"/>
      <c r="N7" s="250" t="s">
        <v>53</v>
      </c>
      <c r="O7" s="224"/>
      <c r="P7" s="227"/>
      <c r="Q7" s="41">
        <v>46235</v>
      </c>
      <c r="R7" s="30"/>
      <c r="S7" s="251" t="s">
        <v>54</v>
      </c>
      <c r="T7" s="219"/>
      <c r="U7" s="252" t="s">
        <v>55</v>
      </c>
      <c r="V7" s="219"/>
      <c r="W7" s="253" t="s">
        <v>56</v>
      </c>
      <c r="X7" s="219"/>
      <c r="Y7" s="2"/>
      <c r="Z7" s="2"/>
      <c r="AA7" s="2"/>
      <c r="AB7" s="2"/>
      <c r="AC7" s="2"/>
      <c r="AD7" s="2"/>
    </row>
    <row r="8" spans="1:30" x14ac:dyDescent="0.3">
      <c r="A8" s="2"/>
      <c r="B8" s="2"/>
      <c r="C8" s="2"/>
      <c r="D8" s="2"/>
      <c r="E8" s="2"/>
      <c r="F8" s="2"/>
      <c r="G8" s="42" t="s">
        <v>55</v>
      </c>
      <c r="H8" s="43">
        <f>M40</f>
        <v>0</v>
      </c>
      <c r="I8" s="44">
        <f>O120</f>
        <v>0</v>
      </c>
      <c r="J8" s="45">
        <f>H52</f>
        <v>0</v>
      </c>
      <c r="K8" s="45">
        <f>H53</f>
        <v>0</v>
      </c>
      <c r="L8" s="46">
        <f>SUM(H8:K8)</f>
        <v>0</v>
      </c>
      <c r="M8" s="40"/>
      <c r="N8" s="250" t="s">
        <v>57</v>
      </c>
      <c r="O8" s="224"/>
      <c r="P8" s="227"/>
      <c r="Q8" s="41">
        <v>46265</v>
      </c>
      <c r="R8" s="30"/>
      <c r="S8" s="247">
        <f>L5</f>
        <v>0</v>
      </c>
      <c r="T8" s="142"/>
      <c r="U8" s="247">
        <f>L8</f>
        <v>0</v>
      </c>
      <c r="V8" s="142"/>
      <c r="W8" s="247">
        <f>S8-U8</f>
        <v>0</v>
      </c>
      <c r="X8" s="142"/>
      <c r="Y8" s="2"/>
      <c r="Z8" s="2"/>
      <c r="AA8" s="2"/>
      <c r="AB8" s="2"/>
      <c r="AC8" s="2"/>
      <c r="AD8" s="2"/>
    </row>
    <row r="9" spans="1:30" ht="15.75" customHeight="1" x14ac:dyDescent="0.25">
      <c r="A9" s="2"/>
      <c r="B9" s="2"/>
      <c r="C9" s="2"/>
      <c r="D9" s="47"/>
      <c r="E9" s="47"/>
      <c r="F9" s="2"/>
      <c r="G9" s="2"/>
      <c r="H9" s="35"/>
      <c r="I9" s="35"/>
      <c r="J9" s="48"/>
      <c r="K9" s="48"/>
      <c r="L9" s="48"/>
      <c r="M9" s="49"/>
      <c r="N9" s="49"/>
      <c r="O9" s="49"/>
      <c r="P9" s="49"/>
      <c r="Q9" s="49"/>
      <c r="R9" s="49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15.75" customHeight="1" x14ac:dyDescent="0.25">
      <c r="A10" s="2"/>
      <c r="B10" s="2"/>
      <c r="C10" s="2"/>
      <c r="D10" s="35"/>
      <c r="E10" s="35"/>
      <c r="F10" s="2"/>
      <c r="G10" s="2"/>
      <c r="H10" s="2"/>
      <c r="I10" s="2"/>
      <c r="J10" s="49"/>
      <c r="K10" s="49"/>
      <c r="L10" s="49"/>
      <c r="M10" s="49"/>
      <c r="N10" s="49"/>
      <c r="O10" s="49"/>
      <c r="P10" s="49"/>
      <c r="Q10" s="49"/>
      <c r="R10" s="49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15.75" customHeight="1" x14ac:dyDescent="0.25">
      <c r="A11" s="2"/>
      <c r="B11" s="2"/>
      <c r="C11" s="2"/>
      <c r="D11" s="28"/>
      <c r="E11" s="28"/>
      <c r="F11" s="28"/>
      <c r="G11" s="28"/>
      <c r="H11" s="28"/>
      <c r="I11" s="2"/>
      <c r="J11" s="50"/>
      <c r="K11" s="50"/>
      <c r="L11" s="50"/>
      <c r="M11" s="50"/>
      <c r="N11" s="50"/>
      <c r="O11" s="50"/>
      <c r="P11" s="50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15.75" customHeight="1" x14ac:dyDescent="0.35">
      <c r="A12" s="2"/>
      <c r="B12" s="2"/>
      <c r="C12" s="11"/>
      <c r="D12" s="215" t="s">
        <v>58</v>
      </c>
      <c r="E12" s="209"/>
      <c r="F12" s="209"/>
      <c r="G12" s="209"/>
      <c r="H12" s="129"/>
      <c r="I12" s="29"/>
      <c r="J12" s="216" t="s">
        <v>16</v>
      </c>
      <c r="K12" s="209"/>
      <c r="L12" s="209"/>
      <c r="M12" s="209"/>
      <c r="N12" s="209"/>
      <c r="O12" s="209"/>
      <c r="P12" s="129"/>
      <c r="Q12" s="30"/>
      <c r="R12" s="208" t="s">
        <v>17</v>
      </c>
      <c r="S12" s="209"/>
      <c r="T12" s="209"/>
      <c r="U12" s="209"/>
      <c r="V12" s="129"/>
      <c r="X12" s="217" t="s">
        <v>18</v>
      </c>
      <c r="Y12" s="218"/>
      <c r="Z12" s="218"/>
      <c r="AA12" s="219"/>
      <c r="AB12" s="2"/>
      <c r="AC12" s="2"/>
      <c r="AD12" s="2"/>
    </row>
    <row r="13" spans="1:30" ht="15.75" customHeight="1" x14ac:dyDescent="0.25">
      <c r="A13" s="2"/>
      <c r="B13" s="2"/>
      <c r="C13" s="11"/>
      <c r="D13" s="130"/>
      <c r="E13" s="200"/>
      <c r="F13" s="200"/>
      <c r="G13" s="200"/>
      <c r="H13" s="131"/>
      <c r="I13" s="29"/>
      <c r="J13" s="130"/>
      <c r="K13" s="200"/>
      <c r="L13" s="200"/>
      <c r="M13" s="200"/>
      <c r="N13" s="200"/>
      <c r="O13" s="200"/>
      <c r="P13" s="131"/>
      <c r="Q13" s="30"/>
      <c r="R13" s="130"/>
      <c r="S13" s="200"/>
      <c r="T13" s="200"/>
      <c r="U13" s="200"/>
      <c r="V13" s="131"/>
      <c r="W13" s="2"/>
      <c r="X13" s="220" t="s">
        <v>59</v>
      </c>
      <c r="Y13" s="221"/>
      <c r="Z13" s="222">
        <f>M40</f>
        <v>0</v>
      </c>
      <c r="AA13" s="198"/>
      <c r="AB13" s="2"/>
      <c r="AC13" s="2"/>
      <c r="AD13" s="2"/>
    </row>
    <row r="14" spans="1:30" ht="15.75" customHeight="1" x14ac:dyDescent="0.25">
      <c r="A14" s="2"/>
      <c r="B14" s="2"/>
      <c r="C14" s="11"/>
      <c r="D14" s="223" t="s">
        <v>62</v>
      </c>
      <c r="E14" s="224"/>
      <c r="F14" s="224"/>
      <c r="G14" s="225"/>
      <c r="H14" s="51" t="s">
        <v>61</v>
      </c>
      <c r="I14" s="29"/>
      <c r="J14" s="266" t="s">
        <v>62</v>
      </c>
      <c r="K14" s="119"/>
      <c r="L14" s="52" t="s">
        <v>63</v>
      </c>
      <c r="M14" s="52" t="s">
        <v>64</v>
      </c>
      <c r="N14" s="52" t="s">
        <v>65</v>
      </c>
      <c r="O14" s="52" t="s">
        <v>104</v>
      </c>
      <c r="P14" s="52" t="s">
        <v>67</v>
      </c>
      <c r="Q14" s="29"/>
      <c r="R14" s="210" t="s">
        <v>68</v>
      </c>
      <c r="S14" s="119"/>
      <c r="T14" s="210" t="s">
        <v>69</v>
      </c>
      <c r="U14" s="119"/>
      <c r="V14" s="53" t="s">
        <v>70</v>
      </c>
      <c r="W14" s="29"/>
      <c r="X14" s="262" t="s">
        <v>71</v>
      </c>
      <c r="Y14" s="263"/>
      <c r="Z14" s="264">
        <f>O120</f>
        <v>0</v>
      </c>
      <c r="AA14" s="265"/>
      <c r="AB14" s="30"/>
      <c r="AC14" s="2"/>
      <c r="AD14" s="2"/>
    </row>
    <row r="15" spans="1:30" ht="15.75" customHeight="1" x14ac:dyDescent="0.25">
      <c r="A15" s="2"/>
      <c r="B15" s="2"/>
      <c r="C15" s="11"/>
      <c r="D15" s="226"/>
      <c r="E15" s="224"/>
      <c r="F15" s="224"/>
      <c r="G15" s="227"/>
      <c r="H15" s="54">
        <v>0</v>
      </c>
      <c r="I15" s="29"/>
      <c r="J15" s="117"/>
      <c r="K15" s="4"/>
      <c r="L15" s="4"/>
      <c r="M15" s="4"/>
      <c r="N15" s="4"/>
      <c r="O15" s="4"/>
      <c r="P15" s="56">
        <v>0</v>
      </c>
      <c r="Q15" s="29"/>
      <c r="R15" s="231" t="s">
        <v>22</v>
      </c>
      <c r="S15" s="232"/>
      <c r="T15" s="233">
        <f t="shared" ref="T15:T37" si="0">SUMIF($K$59:$L$119,R15,$O$59:$P$119)</f>
        <v>0</v>
      </c>
      <c r="U15" s="232"/>
      <c r="V15" s="57" t="e">
        <f t="shared" ref="V15:V37" si="1">T15*1/$T$40</f>
        <v>#DIV/0!</v>
      </c>
      <c r="W15" s="30"/>
      <c r="X15" s="211" t="s">
        <v>73</v>
      </c>
      <c r="Y15" s="212"/>
      <c r="Z15" s="213">
        <f t="shared" ref="Z15:Z16" si="2">H52</f>
        <v>0</v>
      </c>
      <c r="AA15" s="214"/>
      <c r="AB15" s="2"/>
      <c r="AC15" s="2"/>
      <c r="AD15" s="2"/>
    </row>
    <row r="16" spans="1:30" ht="15.75" customHeight="1" x14ac:dyDescent="0.25">
      <c r="A16" s="2"/>
      <c r="B16" s="2"/>
      <c r="C16" s="2"/>
      <c r="D16" s="240"/>
      <c r="E16" s="224"/>
      <c r="F16" s="224"/>
      <c r="G16" s="241"/>
      <c r="H16" s="58">
        <v>0</v>
      </c>
      <c r="I16" s="11"/>
      <c r="J16" s="66"/>
      <c r="K16" s="59"/>
      <c r="L16" s="59"/>
      <c r="M16" s="59"/>
      <c r="N16" s="59"/>
      <c r="O16" s="59"/>
      <c r="P16" s="61">
        <v>0</v>
      </c>
      <c r="Q16" s="29"/>
      <c r="R16" s="234" t="s">
        <v>23</v>
      </c>
      <c r="S16" s="142"/>
      <c r="T16" s="235">
        <f t="shared" si="0"/>
        <v>0</v>
      </c>
      <c r="U16" s="236"/>
      <c r="V16" s="62" t="e">
        <f t="shared" si="1"/>
        <v>#DIV/0!</v>
      </c>
      <c r="W16" s="30"/>
      <c r="X16" s="237" t="s">
        <v>74</v>
      </c>
      <c r="Y16" s="238"/>
      <c r="Z16" s="228">
        <f t="shared" si="2"/>
        <v>0</v>
      </c>
      <c r="AA16" s="198"/>
      <c r="AB16" s="2"/>
      <c r="AC16" s="2"/>
      <c r="AD16" s="2"/>
    </row>
    <row r="17" spans="1:30" x14ac:dyDescent="0.3">
      <c r="A17" s="2"/>
      <c r="B17" s="2"/>
      <c r="C17" s="2"/>
      <c r="D17" s="226"/>
      <c r="E17" s="224"/>
      <c r="F17" s="224"/>
      <c r="G17" s="227"/>
      <c r="H17" s="54">
        <v>0</v>
      </c>
      <c r="I17" s="11"/>
      <c r="J17" s="63"/>
      <c r="K17" s="3"/>
      <c r="L17" s="3"/>
      <c r="M17" s="3"/>
      <c r="N17" s="3"/>
      <c r="O17" s="3"/>
      <c r="P17" s="64">
        <v>0</v>
      </c>
      <c r="Q17" s="29"/>
      <c r="R17" s="231" t="s">
        <v>24</v>
      </c>
      <c r="S17" s="232"/>
      <c r="T17" s="233">
        <f t="shared" si="0"/>
        <v>0</v>
      </c>
      <c r="U17" s="232"/>
      <c r="V17" s="57" t="e">
        <f t="shared" si="1"/>
        <v>#DIV/0!</v>
      </c>
      <c r="W17" s="30"/>
      <c r="X17" s="65" t="s">
        <v>14</v>
      </c>
      <c r="Y17" s="65"/>
      <c r="Z17" s="229">
        <f>SUM(Z13:Z16)</f>
        <v>0</v>
      </c>
      <c r="AA17" s="230"/>
      <c r="AB17" s="2"/>
      <c r="AC17" s="2"/>
      <c r="AD17" s="2"/>
    </row>
    <row r="18" spans="1:30" ht="15.75" customHeight="1" x14ac:dyDescent="0.25">
      <c r="A18" s="2"/>
      <c r="B18" s="2"/>
      <c r="C18" s="2"/>
      <c r="D18" s="240"/>
      <c r="E18" s="224"/>
      <c r="F18" s="224"/>
      <c r="G18" s="241"/>
      <c r="H18" s="58">
        <v>0</v>
      </c>
      <c r="I18" s="11"/>
      <c r="J18" s="66"/>
      <c r="K18" s="59"/>
      <c r="L18" s="59"/>
      <c r="M18" s="59"/>
      <c r="N18" s="59"/>
      <c r="O18" s="59"/>
      <c r="P18" s="61">
        <v>0</v>
      </c>
      <c r="Q18" s="29"/>
      <c r="R18" s="239" t="s">
        <v>25</v>
      </c>
      <c r="S18" s="236"/>
      <c r="T18" s="235">
        <f t="shared" si="0"/>
        <v>0</v>
      </c>
      <c r="U18" s="236"/>
      <c r="V18" s="62" t="e">
        <f t="shared" si="1"/>
        <v>#DIV/0!</v>
      </c>
      <c r="W18" s="30"/>
      <c r="X18" s="2"/>
      <c r="Y18" s="2"/>
      <c r="Z18" s="2"/>
      <c r="AA18" s="2"/>
      <c r="AB18" s="2"/>
      <c r="AC18" s="2"/>
      <c r="AD18" s="2"/>
    </row>
    <row r="19" spans="1:30" ht="15.75" customHeight="1" x14ac:dyDescent="0.25">
      <c r="A19" s="2"/>
      <c r="B19" s="2"/>
      <c r="C19" s="2"/>
      <c r="D19" s="226"/>
      <c r="E19" s="224"/>
      <c r="F19" s="224"/>
      <c r="G19" s="227"/>
      <c r="H19" s="54">
        <v>0</v>
      </c>
      <c r="I19" s="11"/>
      <c r="J19" s="63"/>
      <c r="K19" s="3"/>
      <c r="L19" s="3"/>
      <c r="M19" s="3"/>
      <c r="N19" s="3"/>
      <c r="O19" s="3"/>
      <c r="P19" s="64">
        <v>0</v>
      </c>
      <c r="Q19" s="29"/>
      <c r="R19" s="231" t="s">
        <v>26</v>
      </c>
      <c r="S19" s="232"/>
      <c r="T19" s="233">
        <f t="shared" si="0"/>
        <v>0</v>
      </c>
      <c r="U19" s="232"/>
      <c r="V19" s="57" t="e">
        <f t="shared" si="1"/>
        <v>#DIV/0!</v>
      </c>
      <c r="W19" s="30"/>
      <c r="X19" s="2"/>
      <c r="Y19" s="2"/>
      <c r="Z19" s="2"/>
      <c r="AA19" s="2"/>
      <c r="AB19" s="2"/>
      <c r="AC19" s="2"/>
      <c r="AD19" s="2"/>
    </row>
    <row r="20" spans="1:30" ht="15.75" customHeight="1" x14ac:dyDescent="0.25">
      <c r="A20" s="2"/>
      <c r="B20" s="2"/>
      <c r="C20" s="2"/>
      <c r="D20" s="240"/>
      <c r="E20" s="224"/>
      <c r="F20" s="224"/>
      <c r="G20" s="241"/>
      <c r="H20" s="58">
        <v>0</v>
      </c>
      <c r="I20" s="11"/>
      <c r="J20" s="66"/>
      <c r="K20" s="59"/>
      <c r="L20" s="59"/>
      <c r="M20" s="59"/>
      <c r="N20" s="59"/>
      <c r="O20" s="59"/>
      <c r="P20" s="61">
        <v>0</v>
      </c>
      <c r="Q20" s="29"/>
      <c r="R20" s="239" t="s">
        <v>27</v>
      </c>
      <c r="S20" s="236"/>
      <c r="T20" s="235">
        <f t="shared" si="0"/>
        <v>0</v>
      </c>
      <c r="U20" s="236"/>
      <c r="V20" s="62" t="e">
        <f t="shared" si="1"/>
        <v>#DIV/0!</v>
      </c>
      <c r="W20" s="30"/>
      <c r="X20" s="2"/>
      <c r="Y20" s="2"/>
      <c r="Z20" s="2"/>
      <c r="AA20" s="2"/>
      <c r="AB20" s="2"/>
      <c r="AC20" s="2"/>
      <c r="AD20" s="2"/>
    </row>
    <row r="21" spans="1:30" ht="15.75" customHeight="1" x14ac:dyDescent="0.25">
      <c r="A21" s="2"/>
      <c r="B21" s="2"/>
      <c r="C21" s="2"/>
      <c r="D21" s="226"/>
      <c r="E21" s="224"/>
      <c r="F21" s="224"/>
      <c r="G21" s="227"/>
      <c r="H21" s="54">
        <v>0</v>
      </c>
      <c r="I21" s="11"/>
      <c r="J21" s="63"/>
      <c r="K21" s="3"/>
      <c r="L21" s="3"/>
      <c r="M21" s="3"/>
      <c r="N21" s="3"/>
      <c r="O21" s="3"/>
      <c r="P21" s="64">
        <v>0</v>
      </c>
      <c r="Q21" s="29"/>
      <c r="R21" s="231" t="s">
        <v>28</v>
      </c>
      <c r="S21" s="232"/>
      <c r="T21" s="233">
        <f t="shared" si="0"/>
        <v>0</v>
      </c>
      <c r="U21" s="232"/>
      <c r="V21" s="57" t="e">
        <f t="shared" si="1"/>
        <v>#DIV/0!</v>
      </c>
      <c r="W21" s="30"/>
      <c r="X21" s="2"/>
      <c r="Y21" s="2"/>
      <c r="Z21" s="2"/>
      <c r="AA21" s="2"/>
      <c r="AB21" s="2"/>
      <c r="AC21" s="2"/>
      <c r="AD21" s="2"/>
    </row>
    <row r="22" spans="1:30" ht="15.75" customHeight="1" x14ac:dyDescent="0.25">
      <c r="A22" s="2"/>
      <c r="B22" s="2"/>
      <c r="C22" s="2"/>
      <c r="D22" s="28"/>
      <c r="E22" s="28"/>
      <c r="F22" s="28"/>
      <c r="G22" s="28"/>
      <c r="H22" s="28"/>
      <c r="I22" s="11"/>
      <c r="J22" s="66"/>
      <c r="K22" s="59"/>
      <c r="L22" s="59"/>
      <c r="M22" s="59"/>
      <c r="N22" s="59"/>
      <c r="O22" s="59"/>
      <c r="P22" s="61">
        <v>0</v>
      </c>
      <c r="Q22" s="29"/>
      <c r="R22" s="239" t="s">
        <v>29</v>
      </c>
      <c r="S22" s="236"/>
      <c r="T22" s="235">
        <f t="shared" si="0"/>
        <v>0</v>
      </c>
      <c r="U22" s="236"/>
      <c r="V22" s="62" t="e">
        <f t="shared" si="1"/>
        <v>#DIV/0!</v>
      </c>
      <c r="W22" s="30"/>
      <c r="X22" s="2"/>
      <c r="Y22" s="2"/>
      <c r="Z22" s="2"/>
      <c r="AA22" s="2"/>
      <c r="AB22" s="2"/>
      <c r="AC22" s="2"/>
      <c r="AD22" s="2"/>
    </row>
    <row r="23" spans="1:30" ht="15.75" customHeight="1" x14ac:dyDescent="0.25">
      <c r="A23" s="2"/>
      <c r="B23" s="2"/>
      <c r="C23" s="11"/>
      <c r="D23" s="242" t="s">
        <v>15</v>
      </c>
      <c r="E23" s="209"/>
      <c r="F23" s="209"/>
      <c r="G23" s="209"/>
      <c r="H23" s="129"/>
      <c r="I23" s="29"/>
      <c r="J23" s="63"/>
      <c r="K23" s="3"/>
      <c r="L23" s="3"/>
      <c r="M23" s="3"/>
      <c r="N23" s="3"/>
      <c r="O23" s="3"/>
      <c r="P23" s="64">
        <v>0</v>
      </c>
      <c r="Q23" s="29"/>
      <c r="R23" s="231" t="s">
        <v>30</v>
      </c>
      <c r="S23" s="232"/>
      <c r="T23" s="233">
        <f t="shared" si="0"/>
        <v>0</v>
      </c>
      <c r="U23" s="232"/>
      <c r="V23" s="57" t="e">
        <f t="shared" si="1"/>
        <v>#DIV/0!</v>
      </c>
      <c r="W23" s="30"/>
      <c r="X23" s="2"/>
      <c r="Y23" s="2"/>
      <c r="Z23" s="2"/>
      <c r="AA23" s="2"/>
      <c r="AB23" s="2"/>
      <c r="AC23" s="2"/>
      <c r="AD23" s="2"/>
    </row>
    <row r="24" spans="1:30" ht="15.75" customHeight="1" x14ac:dyDescent="0.25">
      <c r="A24" s="2"/>
      <c r="B24" s="2"/>
      <c r="C24" s="11"/>
      <c r="D24" s="130"/>
      <c r="E24" s="200"/>
      <c r="F24" s="200"/>
      <c r="G24" s="200"/>
      <c r="H24" s="131"/>
      <c r="I24" s="29"/>
      <c r="J24" s="66"/>
      <c r="K24" s="59"/>
      <c r="L24" s="59"/>
      <c r="M24" s="59"/>
      <c r="N24" s="59"/>
      <c r="O24" s="59"/>
      <c r="P24" s="61">
        <v>0</v>
      </c>
      <c r="Q24" s="29"/>
      <c r="R24" s="239" t="s">
        <v>31</v>
      </c>
      <c r="S24" s="236"/>
      <c r="T24" s="235">
        <f t="shared" si="0"/>
        <v>0</v>
      </c>
      <c r="U24" s="236"/>
      <c r="V24" s="62" t="e">
        <f t="shared" si="1"/>
        <v>#DIV/0!</v>
      </c>
      <c r="W24" s="30"/>
      <c r="X24" s="67"/>
      <c r="Y24" s="67"/>
      <c r="Z24" s="67"/>
      <c r="AA24" s="67"/>
      <c r="AB24" s="2"/>
      <c r="AC24" s="2"/>
      <c r="AD24" s="2"/>
    </row>
    <row r="25" spans="1:30" ht="15.75" customHeight="1" x14ac:dyDescent="0.25">
      <c r="A25" s="2"/>
      <c r="B25" s="2"/>
      <c r="C25" s="11"/>
      <c r="D25" s="275" t="s">
        <v>62</v>
      </c>
      <c r="E25" s="224"/>
      <c r="F25" s="119"/>
      <c r="G25" s="68" t="s">
        <v>75</v>
      </c>
      <c r="H25" s="69" t="s">
        <v>76</v>
      </c>
      <c r="I25" s="29"/>
      <c r="J25" s="63"/>
      <c r="K25" s="3"/>
      <c r="L25" s="3"/>
      <c r="M25" s="3"/>
      <c r="N25" s="3"/>
      <c r="O25" s="3"/>
      <c r="P25" s="64">
        <v>0</v>
      </c>
      <c r="Q25" s="29"/>
      <c r="R25" s="231" t="s">
        <v>32</v>
      </c>
      <c r="S25" s="232"/>
      <c r="T25" s="233">
        <f t="shared" si="0"/>
        <v>0</v>
      </c>
      <c r="U25" s="232"/>
      <c r="V25" s="57" t="e">
        <f t="shared" si="1"/>
        <v>#DIV/0!</v>
      </c>
      <c r="W25" s="2"/>
      <c r="X25" s="2"/>
      <c r="Y25" s="2"/>
      <c r="Z25" s="2"/>
      <c r="AA25" s="2"/>
      <c r="AB25" s="2"/>
      <c r="AC25" s="2"/>
      <c r="AD25" s="2"/>
    </row>
    <row r="26" spans="1:30" ht="15.75" customHeight="1" x14ac:dyDescent="0.25">
      <c r="A26" s="2"/>
      <c r="B26" s="2"/>
      <c r="C26" s="11"/>
      <c r="D26" s="276"/>
      <c r="E26" s="277"/>
      <c r="F26" s="142"/>
      <c r="G26" s="70"/>
      <c r="H26" s="71"/>
      <c r="I26" s="29"/>
      <c r="J26" s="66"/>
      <c r="K26" s="59"/>
      <c r="L26" s="59"/>
      <c r="M26" s="59"/>
      <c r="N26" s="59"/>
      <c r="O26" s="59"/>
      <c r="P26" s="61">
        <v>0</v>
      </c>
      <c r="Q26" s="29"/>
      <c r="R26" s="239" t="s">
        <v>33</v>
      </c>
      <c r="S26" s="236"/>
      <c r="T26" s="235">
        <f t="shared" si="0"/>
        <v>0</v>
      </c>
      <c r="U26" s="236"/>
      <c r="V26" s="62" t="e">
        <f t="shared" si="1"/>
        <v>#DIV/0!</v>
      </c>
      <c r="W26" s="29"/>
      <c r="X26" s="278" t="s">
        <v>77</v>
      </c>
      <c r="Y26" s="224"/>
      <c r="Z26" s="224"/>
      <c r="AA26" s="119"/>
      <c r="AB26" s="30"/>
      <c r="AC26" s="2"/>
      <c r="AD26" s="2"/>
    </row>
    <row r="27" spans="1:30" x14ac:dyDescent="0.3">
      <c r="A27" s="2"/>
      <c r="B27" s="2"/>
      <c r="C27" s="11"/>
      <c r="D27" s="279"/>
      <c r="E27" s="245"/>
      <c r="F27" s="280"/>
      <c r="G27" s="72"/>
      <c r="H27" s="73"/>
      <c r="I27" s="29"/>
      <c r="J27" s="63"/>
      <c r="K27" s="3"/>
      <c r="L27" s="3"/>
      <c r="M27" s="3"/>
      <c r="N27" s="3"/>
      <c r="O27" s="3"/>
      <c r="P27" s="64">
        <v>0</v>
      </c>
      <c r="Q27" s="29"/>
      <c r="R27" s="231" t="s">
        <v>34</v>
      </c>
      <c r="S27" s="232"/>
      <c r="T27" s="233">
        <f t="shared" si="0"/>
        <v>0</v>
      </c>
      <c r="U27" s="232"/>
      <c r="V27" s="57" t="e">
        <f t="shared" si="1"/>
        <v>#DIV/0!</v>
      </c>
      <c r="W27" s="29"/>
      <c r="X27" s="270" t="s">
        <v>78</v>
      </c>
      <c r="Y27" s="119"/>
      <c r="Z27" s="74">
        <f>SUMIF(M59:N119,"Tarjeta de débito",O59:P119)+SUMIF(N15:N39,"Tarjeta de débito",M15:M39)</f>
        <v>0</v>
      </c>
      <c r="AA27" s="75" t="e">
        <f t="shared" ref="AA27:AA30" si="3">Z27*1/$U$8</f>
        <v>#DIV/0!</v>
      </c>
      <c r="AB27" s="30"/>
      <c r="AC27" s="2"/>
      <c r="AD27" s="2"/>
    </row>
    <row r="28" spans="1:30" x14ac:dyDescent="0.3">
      <c r="A28" s="2"/>
      <c r="B28" s="2"/>
      <c r="C28" s="11"/>
      <c r="D28" s="286"/>
      <c r="E28" s="245"/>
      <c r="F28" s="236"/>
      <c r="G28" s="76"/>
      <c r="H28" s="77"/>
      <c r="I28" s="29"/>
      <c r="J28" s="66"/>
      <c r="K28" s="59"/>
      <c r="L28" s="59"/>
      <c r="M28" s="59"/>
      <c r="N28" s="59"/>
      <c r="O28" s="59"/>
      <c r="P28" s="61">
        <v>0</v>
      </c>
      <c r="Q28" s="29"/>
      <c r="R28" s="78" t="s">
        <v>35</v>
      </c>
      <c r="S28" s="79"/>
      <c r="T28" s="235">
        <f t="shared" si="0"/>
        <v>0</v>
      </c>
      <c r="U28" s="236"/>
      <c r="V28" s="62" t="e">
        <f t="shared" si="1"/>
        <v>#DIV/0!</v>
      </c>
      <c r="W28" s="29"/>
      <c r="X28" s="281" t="s">
        <v>31</v>
      </c>
      <c r="Y28" s="119"/>
      <c r="Z28" s="80">
        <f>SUMIF(M59:N119,"Tarjeta de crédito",O59:P119)+SUMIF(N15:N39,"Tarjeta de crédito",M15:M39)</f>
        <v>0</v>
      </c>
      <c r="AA28" s="75" t="e">
        <f t="shared" si="3"/>
        <v>#DIV/0!</v>
      </c>
      <c r="AB28" s="30"/>
      <c r="AC28" s="2"/>
      <c r="AD28" s="2"/>
    </row>
    <row r="29" spans="1:30" x14ac:dyDescent="0.3">
      <c r="A29" s="2"/>
      <c r="B29" s="2"/>
      <c r="C29" s="11"/>
      <c r="D29" s="279"/>
      <c r="E29" s="245"/>
      <c r="F29" s="280"/>
      <c r="G29" s="72"/>
      <c r="H29" s="73"/>
      <c r="I29" s="29"/>
      <c r="J29" s="63"/>
      <c r="K29" s="3"/>
      <c r="L29" s="3"/>
      <c r="M29" s="3"/>
      <c r="N29" s="3"/>
      <c r="O29" s="3"/>
      <c r="P29" s="64">
        <v>0</v>
      </c>
      <c r="Q29" s="29"/>
      <c r="R29" s="231" t="s">
        <v>79</v>
      </c>
      <c r="S29" s="232"/>
      <c r="T29" s="233">
        <f t="shared" si="0"/>
        <v>0</v>
      </c>
      <c r="U29" s="232"/>
      <c r="V29" s="57" t="e">
        <f t="shared" si="1"/>
        <v>#DIV/0!</v>
      </c>
      <c r="W29" s="29"/>
      <c r="X29" s="282" t="s">
        <v>80</v>
      </c>
      <c r="Y29" s="119"/>
      <c r="Z29" s="80">
        <f>SUMIF(M59:N119,"Efectivo",O59:P119)+SUMIF(N15:N39,"Efectivo",M15:M39)</f>
        <v>0</v>
      </c>
      <c r="AA29" s="75" t="e">
        <f t="shared" si="3"/>
        <v>#DIV/0!</v>
      </c>
      <c r="AB29" s="30"/>
      <c r="AC29" s="2"/>
      <c r="AD29" s="2"/>
    </row>
    <row r="30" spans="1:30" x14ac:dyDescent="0.3">
      <c r="A30" s="2"/>
      <c r="B30" s="2"/>
      <c r="C30" s="11"/>
      <c r="D30" s="286"/>
      <c r="E30" s="245"/>
      <c r="F30" s="236"/>
      <c r="G30" s="76"/>
      <c r="H30" s="77"/>
      <c r="I30" s="29"/>
      <c r="J30" s="66"/>
      <c r="K30" s="59"/>
      <c r="L30" s="59"/>
      <c r="M30" s="59"/>
      <c r="N30" s="59"/>
      <c r="O30" s="59"/>
      <c r="P30" s="61">
        <v>0</v>
      </c>
      <c r="Q30" s="29"/>
      <c r="R30" s="78" t="s">
        <v>37</v>
      </c>
      <c r="S30" s="79"/>
      <c r="T30" s="235">
        <f t="shared" si="0"/>
        <v>0</v>
      </c>
      <c r="U30" s="236"/>
      <c r="V30" s="62" t="e">
        <f t="shared" si="1"/>
        <v>#DIV/0!</v>
      </c>
      <c r="W30" s="29"/>
      <c r="X30" s="283" t="s">
        <v>72</v>
      </c>
      <c r="Y30" s="119"/>
      <c r="Z30" s="74">
        <f>SUMIF(M59:N119,"Transferencia",O59:P119)+SUMIF(N15:N39,"Transferencia",M15:M39)</f>
        <v>0</v>
      </c>
      <c r="AA30" s="75" t="e">
        <f t="shared" si="3"/>
        <v>#DIV/0!</v>
      </c>
      <c r="AB30" s="30"/>
      <c r="AC30" s="2"/>
      <c r="AD30" s="2"/>
    </row>
    <row r="31" spans="1:30" ht="15.75" customHeight="1" x14ac:dyDescent="0.25">
      <c r="A31" s="2"/>
      <c r="B31" s="2"/>
      <c r="C31" s="11"/>
      <c r="D31" s="279"/>
      <c r="E31" s="245"/>
      <c r="F31" s="280"/>
      <c r="G31" s="72"/>
      <c r="H31" s="73"/>
      <c r="I31" s="29"/>
      <c r="J31" s="63"/>
      <c r="K31" s="3"/>
      <c r="L31" s="3"/>
      <c r="M31" s="3"/>
      <c r="N31" s="3"/>
      <c r="O31" s="3"/>
      <c r="P31" s="64">
        <v>0</v>
      </c>
      <c r="Q31" s="29"/>
      <c r="R31" s="231" t="s">
        <v>38</v>
      </c>
      <c r="S31" s="232"/>
      <c r="T31" s="233">
        <f t="shared" si="0"/>
        <v>0</v>
      </c>
      <c r="U31" s="232"/>
      <c r="V31" s="57" t="e">
        <f t="shared" si="1"/>
        <v>#DIV/0!</v>
      </c>
      <c r="W31" s="2"/>
      <c r="X31" s="28"/>
      <c r="Y31" s="28"/>
      <c r="Z31" s="28"/>
      <c r="AA31" s="28"/>
      <c r="AB31" s="2"/>
      <c r="AC31" s="2"/>
      <c r="AD31" s="2"/>
    </row>
    <row r="32" spans="1:30" ht="15.75" customHeight="1" x14ac:dyDescent="0.25">
      <c r="A32" s="2"/>
      <c r="B32" s="2"/>
      <c r="C32" s="11"/>
      <c r="D32" s="286"/>
      <c r="E32" s="245"/>
      <c r="F32" s="236"/>
      <c r="G32" s="76"/>
      <c r="H32" s="77"/>
      <c r="I32" s="29"/>
      <c r="J32" s="81"/>
      <c r="K32" s="82"/>
      <c r="L32" s="82"/>
      <c r="M32" s="82"/>
      <c r="N32" s="82"/>
      <c r="O32" s="82"/>
      <c r="P32" s="83">
        <v>0</v>
      </c>
      <c r="Q32" s="29"/>
      <c r="R32" s="78" t="s">
        <v>39</v>
      </c>
      <c r="S32" s="79"/>
      <c r="T32" s="235">
        <f t="shared" si="0"/>
        <v>0</v>
      </c>
      <c r="U32" s="236"/>
      <c r="V32" s="62" t="e">
        <f t="shared" si="1"/>
        <v>#DIV/0!</v>
      </c>
      <c r="W32" s="29"/>
      <c r="X32" s="284" t="s">
        <v>81</v>
      </c>
      <c r="Y32" s="209"/>
      <c r="Z32" s="209"/>
      <c r="AA32" s="129"/>
      <c r="AB32" s="30"/>
      <c r="AC32" s="2"/>
      <c r="AD32" s="2"/>
    </row>
    <row r="33" spans="1:30" ht="15.75" customHeight="1" x14ac:dyDescent="0.25">
      <c r="A33" s="2"/>
      <c r="B33" s="2"/>
      <c r="C33" s="11"/>
      <c r="D33" s="279"/>
      <c r="E33" s="245"/>
      <c r="F33" s="280"/>
      <c r="G33" s="72"/>
      <c r="H33" s="73"/>
      <c r="I33" s="29"/>
      <c r="J33" s="84"/>
      <c r="K33" s="85"/>
      <c r="L33" s="85"/>
      <c r="M33" s="85"/>
      <c r="N33" s="85"/>
      <c r="O33" s="85"/>
      <c r="P33" s="86">
        <v>0</v>
      </c>
      <c r="Q33" s="29"/>
      <c r="R33" s="231" t="s">
        <v>40</v>
      </c>
      <c r="S33" s="232"/>
      <c r="T33" s="233">
        <f t="shared" si="0"/>
        <v>0</v>
      </c>
      <c r="U33" s="232"/>
      <c r="V33" s="57" t="e">
        <f t="shared" si="1"/>
        <v>#DIV/0!</v>
      </c>
      <c r="W33" s="29"/>
      <c r="X33" s="130"/>
      <c r="Y33" s="200"/>
      <c r="Z33" s="200"/>
      <c r="AA33" s="131"/>
      <c r="AB33" s="30"/>
      <c r="AC33" s="2"/>
      <c r="AD33" s="2"/>
    </row>
    <row r="34" spans="1:30" x14ac:dyDescent="0.3">
      <c r="A34" s="2"/>
      <c r="B34" s="2"/>
      <c r="C34" s="11"/>
      <c r="D34" s="287"/>
      <c r="E34" s="245"/>
      <c r="F34" s="236"/>
      <c r="G34" s="87"/>
      <c r="H34" s="88"/>
      <c r="I34" s="29"/>
      <c r="J34" s="81"/>
      <c r="K34" s="82"/>
      <c r="L34" s="82"/>
      <c r="M34" s="82"/>
      <c r="N34" s="82"/>
      <c r="O34" s="82"/>
      <c r="P34" s="83">
        <v>0</v>
      </c>
      <c r="Q34" s="29"/>
      <c r="R34" s="78" t="s">
        <v>41</v>
      </c>
      <c r="S34" s="79"/>
      <c r="T34" s="235">
        <f t="shared" si="0"/>
        <v>0</v>
      </c>
      <c r="U34" s="236"/>
      <c r="V34" s="62" t="e">
        <f t="shared" si="1"/>
        <v>#DIV/0!</v>
      </c>
      <c r="W34" s="29"/>
      <c r="X34" s="285" t="s">
        <v>82</v>
      </c>
      <c r="Y34" s="224"/>
      <c r="Z34" s="224"/>
      <c r="AA34" s="119"/>
      <c r="AB34" s="30"/>
      <c r="AC34" s="2"/>
      <c r="AD34" s="2"/>
    </row>
    <row r="35" spans="1:30" ht="15.75" customHeight="1" x14ac:dyDescent="0.25">
      <c r="A35" s="2"/>
      <c r="B35" s="2"/>
      <c r="C35" s="11"/>
      <c r="D35" s="304"/>
      <c r="E35" s="194"/>
      <c r="F35" s="305"/>
      <c r="G35" s="89"/>
      <c r="H35" s="90"/>
      <c r="I35" s="29"/>
      <c r="J35" s="84"/>
      <c r="K35" s="85"/>
      <c r="L35" s="85"/>
      <c r="M35" s="85"/>
      <c r="N35" s="85"/>
      <c r="O35" s="85"/>
      <c r="P35" s="86">
        <v>0</v>
      </c>
      <c r="Q35" s="29"/>
      <c r="R35" s="231" t="s">
        <v>42</v>
      </c>
      <c r="S35" s="232"/>
      <c r="T35" s="233">
        <f t="shared" si="0"/>
        <v>0</v>
      </c>
      <c r="U35" s="232"/>
      <c r="V35" s="57" t="e">
        <f t="shared" si="1"/>
        <v>#DIV/0!</v>
      </c>
      <c r="W35" s="29"/>
      <c r="X35" s="294" t="s">
        <v>83</v>
      </c>
      <c r="Y35" s="295"/>
      <c r="Z35" s="296">
        <f>W8</f>
        <v>0</v>
      </c>
      <c r="AA35" s="258"/>
      <c r="AB35" s="30"/>
      <c r="AC35" s="2"/>
      <c r="AD35" s="2"/>
    </row>
    <row r="36" spans="1:30" x14ac:dyDescent="0.3">
      <c r="A36" s="2"/>
      <c r="B36" s="2"/>
      <c r="C36" s="11"/>
      <c r="D36" s="306" t="s">
        <v>84</v>
      </c>
      <c r="E36" s="129"/>
      <c r="F36" s="307" t="s">
        <v>85</v>
      </c>
      <c r="G36" s="308"/>
      <c r="H36" s="91">
        <f>SUM(G26:G35)</f>
        <v>0</v>
      </c>
      <c r="I36" s="29"/>
      <c r="J36" s="81"/>
      <c r="K36" s="82"/>
      <c r="L36" s="82"/>
      <c r="M36" s="82"/>
      <c r="N36" s="82"/>
      <c r="O36" s="82"/>
      <c r="P36" s="83">
        <v>0</v>
      </c>
      <c r="Q36" s="29"/>
      <c r="R36" s="78" t="s">
        <v>43</v>
      </c>
      <c r="S36" s="79"/>
      <c r="T36" s="235">
        <f t="shared" si="0"/>
        <v>0</v>
      </c>
      <c r="U36" s="236"/>
      <c r="V36" s="62" t="e">
        <f t="shared" si="1"/>
        <v>#DIV/0!</v>
      </c>
      <c r="W36" s="29"/>
      <c r="X36" s="285" t="s">
        <v>86</v>
      </c>
      <c r="Y36" s="224"/>
      <c r="Z36" s="224"/>
      <c r="AA36" s="119"/>
      <c r="AB36" s="30"/>
      <c r="AC36" s="2"/>
      <c r="AD36" s="2"/>
    </row>
    <row r="37" spans="1:30" ht="13" x14ac:dyDescent="0.3">
      <c r="A37" s="2"/>
      <c r="B37" s="2"/>
      <c r="C37" s="11"/>
      <c r="D37" s="130"/>
      <c r="E37" s="131"/>
      <c r="F37" s="309" t="s">
        <v>87</v>
      </c>
      <c r="G37" s="310"/>
      <c r="H37" s="92">
        <f>SUM(H26:H35)</f>
        <v>0</v>
      </c>
      <c r="I37" s="29"/>
      <c r="J37" s="84"/>
      <c r="K37" s="85"/>
      <c r="L37" s="85"/>
      <c r="M37" s="85"/>
      <c r="N37" s="85"/>
      <c r="O37" s="85"/>
      <c r="P37" s="86">
        <v>0</v>
      </c>
      <c r="Q37" s="29"/>
      <c r="R37" s="231" t="s">
        <v>88</v>
      </c>
      <c r="S37" s="232"/>
      <c r="T37" s="233">
        <f t="shared" si="0"/>
        <v>0</v>
      </c>
      <c r="U37" s="232"/>
      <c r="V37" s="57" t="e">
        <f t="shared" si="1"/>
        <v>#DIV/0!</v>
      </c>
      <c r="W37" s="29"/>
      <c r="X37" s="297" t="s">
        <v>89</v>
      </c>
      <c r="Y37" s="298"/>
      <c r="Z37" s="299"/>
      <c r="AA37" s="300"/>
      <c r="AB37" s="30"/>
      <c r="AC37" s="2"/>
      <c r="AD37" s="2"/>
    </row>
    <row r="38" spans="1:30" ht="12.5" x14ac:dyDescent="0.25">
      <c r="A38" s="2"/>
      <c r="B38" s="2"/>
      <c r="C38" s="2"/>
      <c r="D38" s="36"/>
      <c r="E38" s="36"/>
      <c r="F38" s="36"/>
      <c r="G38" s="36"/>
      <c r="H38" s="36"/>
      <c r="I38" s="11"/>
      <c r="J38" s="81"/>
      <c r="K38" s="82"/>
      <c r="L38" s="82"/>
      <c r="M38" s="82"/>
      <c r="N38" s="82"/>
      <c r="O38" s="82"/>
      <c r="P38" s="83">
        <v>0</v>
      </c>
      <c r="Q38" s="29"/>
      <c r="R38" s="93"/>
      <c r="S38" s="2"/>
      <c r="T38" s="2"/>
      <c r="U38" s="2"/>
      <c r="V38" s="94"/>
      <c r="W38" s="29"/>
      <c r="X38" s="301" t="s">
        <v>80</v>
      </c>
      <c r="Y38" s="302"/>
      <c r="Z38" s="288"/>
      <c r="AA38" s="289"/>
      <c r="AB38" s="30"/>
      <c r="AC38" s="2"/>
      <c r="AD38" s="2"/>
    </row>
    <row r="39" spans="1:30" ht="13" x14ac:dyDescent="0.25">
      <c r="A39" s="2"/>
      <c r="B39" s="2"/>
      <c r="C39" s="11"/>
      <c r="D39" s="311" t="s">
        <v>90</v>
      </c>
      <c r="E39" s="209"/>
      <c r="F39" s="209"/>
      <c r="G39" s="312"/>
      <c r="H39" s="129"/>
      <c r="I39" s="29"/>
      <c r="J39" s="84"/>
      <c r="K39" s="85"/>
      <c r="L39" s="85"/>
      <c r="M39" s="85"/>
      <c r="N39" s="85"/>
      <c r="O39" s="85"/>
      <c r="P39" s="86">
        <v>0</v>
      </c>
      <c r="Q39" s="29"/>
      <c r="R39" s="271"/>
      <c r="S39" s="232"/>
      <c r="T39" s="274"/>
      <c r="U39" s="232"/>
      <c r="V39" s="95"/>
      <c r="W39" s="29"/>
      <c r="X39" s="303" t="s">
        <v>91</v>
      </c>
      <c r="Y39" s="129"/>
      <c r="Z39" s="290">
        <f>(Z38+Z37)-Z35</f>
        <v>0</v>
      </c>
      <c r="AA39" s="119"/>
      <c r="AB39" s="30"/>
      <c r="AC39" s="2"/>
      <c r="AD39" s="2"/>
    </row>
    <row r="40" spans="1:30" ht="13" x14ac:dyDescent="0.3">
      <c r="A40" s="2"/>
      <c r="B40" s="2"/>
      <c r="C40" s="11"/>
      <c r="D40" s="130"/>
      <c r="E40" s="200"/>
      <c r="F40" s="200"/>
      <c r="G40" s="130"/>
      <c r="H40" s="131"/>
      <c r="I40" s="29"/>
      <c r="J40" s="96" t="s">
        <v>14</v>
      </c>
      <c r="K40" s="97"/>
      <c r="L40" s="97">
        <f t="shared" ref="L40:M40" si="4">SUM(L15:L39)</f>
        <v>0</v>
      </c>
      <c r="M40" s="97">
        <f t="shared" si="4"/>
        <v>0</v>
      </c>
      <c r="N40" s="97"/>
      <c r="O40" s="97"/>
      <c r="P40" s="98"/>
      <c r="Q40" s="29"/>
      <c r="R40" s="272" t="s">
        <v>14</v>
      </c>
      <c r="S40" s="273"/>
      <c r="T40" s="291">
        <f>SUM(T15:U39)</f>
        <v>0</v>
      </c>
      <c r="U40" s="224"/>
      <c r="V40" s="119"/>
      <c r="W40" s="29"/>
      <c r="X40" s="130"/>
      <c r="Y40" s="131"/>
      <c r="Z40" s="290" t="str">
        <f>IF(Z39&lt;0,"Te falta dinero o anotar algo", "Te sobra dinero o anotar algo")</f>
        <v>Te sobra dinero o anotar algo</v>
      </c>
      <c r="AA40" s="119"/>
      <c r="AB40" s="30"/>
      <c r="AC40" s="2"/>
      <c r="AD40" s="2"/>
    </row>
    <row r="41" spans="1:30" ht="12.5" x14ac:dyDescent="0.25">
      <c r="A41" s="2"/>
      <c r="B41" s="2"/>
      <c r="C41" s="2"/>
      <c r="D41" s="35"/>
      <c r="E41" s="35"/>
      <c r="F41" s="35"/>
      <c r="G41" s="35"/>
      <c r="H41" s="35"/>
      <c r="I41" s="2"/>
      <c r="J41" s="99"/>
      <c r="K41" s="99"/>
      <c r="L41" s="99"/>
      <c r="M41" s="99"/>
      <c r="N41" s="99"/>
      <c r="O41" s="99"/>
      <c r="P41" s="99"/>
      <c r="Q41" s="28"/>
      <c r="R41" s="36"/>
      <c r="S41" s="36"/>
      <c r="T41" s="36"/>
      <c r="U41" s="36"/>
      <c r="V41" s="36"/>
      <c r="W41" s="2"/>
      <c r="X41" s="35"/>
      <c r="Y41" s="35"/>
      <c r="Z41" s="35"/>
      <c r="AA41" s="35"/>
      <c r="AB41" s="2"/>
      <c r="AC41" s="2"/>
      <c r="AD41" s="2"/>
    </row>
    <row r="42" spans="1:30" ht="13" x14ac:dyDescent="0.3">
      <c r="A42" s="2"/>
      <c r="B42" s="2"/>
      <c r="C42" s="2"/>
      <c r="D42" s="313" t="s">
        <v>92</v>
      </c>
      <c r="E42" s="209"/>
      <c r="F42" s="209"/>
      <c r="G42" s="209"/>
      <c r="H42" s="129"/>
      <c r="I42" s="11"/>
      <c r="J42" s="292" t="s">
        <v>93</v>
      </c>
      <c r="K42" s="224"/>
      <c r="L42" s="224"/>
      <c r="M42" s="224"/>
      <c r="N42" s="224"/>
      <c r="O42" s="224"/>
      <c r="P42" s="224"/>
      <c r="Q42" s="224"/>
      <c r="R42" s="224"/>
      <c r="S42" s="100">
        <f>M40+O120</f>
        <v>0</v>
      </c>
      <c r="T42" s="293"/>
      <c r="U42" s="224"/>
      <c r="V42" s="119"/>
      <c r="W42" s="30"/>
      <c r="X42" s="2"/>
      <c r="Y42" s="2"/>
      <c r="Z42" s="2"/>
      <c r="AA42" s="2"/>
      <c r="AB42" s="2"/>
      <c r="AC42" s="2"/>
      <c r="AD42" s="2"/>
    </row>
    <row r="43" spans="1:30" ht="12.5" x14ac:dyDescent="0.25">
      <c r="A43" s="2"/>
      <c r="B43" s="2"/>
      <c r="C43" s="2"/>
      <c r="D43" s="130"/>
      <c r="E43" s="200"/>
      <c r="F43" s="200"/>
      <c r="G43" s="200"/>
      <c r="H43" s="131"/>
      <c r="I43" s="2"/>
      <c r="J43" s="4"/>
      <c r="K43" s="4"/>
      <c r="L43" s="4"/>
      <c r="M43" s="4"/>
      <c r="N43" s="4"/>
      <c r="O43" s="4"/>
      <c r="P43" s="4"/>
      <c r="Q43" s="35"/>
      <c r="R43" s="35"/>
      <c r="S43" s="35"/>
      <c r="T43" s="35"/>
      <c r="U43" s="35"/>
      <c r="V43" s="35"/>
      <c r="W43" s="2"/>
      <c r="X43" s="2"/>
      <c r="Y43" s="2"/>
      <c r="Z43" s="2"/>
      <c r="AA43" s="2"/>
      <c r="AB43" s="2"/>
      <c r="AC43" s="2"/>
      <c r="AD43" s="2"/>
    </row>
    <row r="44" spans="1:30" ht="13" x14ac:dyDescent="0.25">
      <c r="A44" s="2"/>
      <c r="B44" s="2"/>
      <c r="C44" s="2"/>
      <c r="D44" s="324" t="s">
        <v>62</v>
      </c>
      <c r="E44" s="224"/>
      <c r="F44" s="325"/>
      <c r="G44" s="101" t="s">
        <v>94</v>
      </c>
      <c r="H44" s="102" t="s">
        <v>95</v>
      </c>
      <c r="I44" s="2"/>
      <c r="J44" s="3"/>
      <c r="K44" s="3"/>
      <c r="L44" s="3"/>
      <c r="M44" s="3"/>
      <c r="N44" s="3"/>
      <c r="O44" s="3"/>
      <c r="P44" s="3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2.5" x14ac:dyDescent="0.25">
      <c r="A45" s="2"/>
      <c r="B45" s="2"/>
      <c r="C45" s="11"/>
      <c r="D45" s="326"/>
      <c r="E45" s="327"/>
      <c r="F45" s="230"/>
      <c r="G45" s="103"/>
      <c r="H45" s="104"/>
      <c r="I45" s="30"/>
      <c r="J45" s="3"/>
      <c r="K45" s="3"/>
      <c r="L45" s="3"/>
      <c r="M45" s="3"/>
      <c r="N45" s="3"/>
      <c r="O45" s="3"/>
      <c r="P45" s="3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2.5" x14ac:dyDescent="0.25">
      <c r="A46" s="2"/>
      <c r="B46" s="2"/>
      <c r="C46" s="11"/>
      <c r="D46" s="328"/>
      <c r="E46" s="245"/>
      <c r="F46" s="329"/>
      <c r="G46" s="105"/>
      <c r="H46" s="106"/>
      <c r="I46" s="30"/>
      <c r="J46" s="3"/>
      <c r="K46" s="3"/>
      <c r="L46" s="3"/>
      <c r="M46" s="3"/>
      <c r="N46" s="3"/>
      <c r="O46" s="3"/>
      <c r="P46" s="3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2.5" x14ac:dyDescent="0.25">
      <c r="A47" s="2"/>
      <c r="B47" s="2"/>
      <c r="C47" s="11"/>
      <c r="D47" s="330"/>
      <c r="E47" s="245"/>
      <c r="F47" s="236"/>
      <c r="G47" s="2"/>
      <c r="H47" s="94"/>
      <c r="I47" s="30"/>
      <c r="J47" s="3"/>
      <c r="K47" s="3"/>
      <c r="L47" s="3"/>
      <c r="M47" s="3"/>
      <c r="N47" s="3"/>
      <c r="O47" s="3"/>
      <c r="P47" s="3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2.5" x14ac:dyDescent="0.25">
      <c r="A48" s="2"/>
      <c r="B48" s="2"/>
      <c r="C48" s="11"/>
      <c r="D48" s="328"/>
      <c r="E48" s="245"/>
      <c r="F48" s="329"/>
      <c r="G48" s="105"/>
      <c r="H48" s="106"/>
      <c r="I48" s="30"/>
      <c r="J48" s="3"/>
      <c r="K48" s="3"/>
      <c r="L48" s="3"/>
      <c r="M48" s="3"/>
      <c r="N48" s="3"/>
      <c r="O48" s="3"/>
      <c r="P48" s="3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2.5" x14ac:dyDescent="0.25">
      <c r="A49" s="2"/>
      <c r="B49" s="2"/>
      <c r="C49" s="11"/>
      <c r="D49" s="330"/>
      <c r="E49" s="245"/>
      <c r="F49" s="236"/>
      <c r="G49" s="2"/>
      <c r="H49" s="94"/>
      <c r="I49" s="30"/>
      <c r="J49" s="3"/>
      <c r="K49" s="3"/>
      <c r="L49" s="3"/>
      <c r="M49" s="3"/>
      <c r="N49" s="3"/>
      <c r="O49" s="3"/>
      <c r="P49" s="3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2.5" x14ac:dyDescent="0.25">
      <c r="A50" s="2"/>
      <c r="B50" s="2"/>
      <c r="C50" s="11"/>
      <c r="D50" s="328"/>
      <c r="E50" s="245"/>
      <c r="F50" s="329"/>
      <c r="G50" s="105"/>
      <c r="H50" s="106"/>
      <c r="I50" s="30"/>
      <c r="J50" s="3"/>
      <c r="K50" s="3"/>
      <c r="L50" s="3"/>
      <c r="M50" s="3"/>
      <c r="N50" s="3"/>
      <c r="O50" s="3"/>
      <c r="P50" s="3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2.5" x14ac:dyDescent="0.25">
      <c r="A51" s="2"/>
      <c r="B51" s="2"/>
      <c r="C51" s="11"/>
      <c r="D51" s="331"/>
      <c r="E51" s="218"/>
      <c r="F51" s="219"/>
      <c r="G51" s="47"/>
      <c r="H51" s="107"/>
      <c r="I51" s="30"/>
      <c r="J51" s="3"/>
      <c r="K51" s="3"/>
      <c r="L51" s="3"/>
      <c r="M51" s="3"/>
      <c r="N51" s="3"/>
      <c r="O51" s="3"/>
      <c r="P51" s="3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3" x14ac:dyDescent="0.3">
      <c r="A52" s="2"/>
      <c r="B52" s="2"/>
      <c r="C52" s="11"/>
      <c r="D52" s="332" t="s">
        <v>96</v>
      </c>
      <c r="E52" s="224"/>
      <c r="F52" s="224"/>
      <c r="G52" s="325"/>
      <c r="H52" s="108">
        <f>SUMIF(G45:G51, "Ahorro", H45:H51)</f>
        <v>0</v>
      </c>
      <c r="I52" s="30"/>
      <c r="J52" s="3"/>
      <c r="K52" s="3"/>
      <c r="L52" s="3"/>
      <c r="M52" s="3"/>
      <c r="N52" s="3"/>
      <c r="O52" s="3"/>
      <c r="P52" s="3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3" x14ac:dyDescent="0.3">
      <c r="A53" s="2"/>
      <c r="B53" s="2"/>
      <c r="C53" s="11"/>
      <c r="D53" s="332" t="s">
        <v>97</v>
      </c>
      <c r="E53" s="224"/>
      <c r="F53" s="224"/>
      <c r="G53" s="325"/>
      <c r="H53" s="108">
        <f>SUMIF(G45:G51, "Inversión", H45:H51)</f>
        <v>0</v>
      </c>
      <c r="I53" s="30"/>
      <c r="J53" s="3"/>
      <c r="K53" s="3"/>
      <c r="L53" s="3"/>
      <c r="M53" s="3"/>
      <c r="N53" s="3"/>
      <c r="O53" s="3"/>
      <c r="P53" s="3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2.5" x14ac:dyDescent="0.25">
      <c r="A54" s="2"/>
      <c r="B54" s="2"/>
      <c r="C54" s="2"/>
      <c r="D54" s="35"/>
      <c r="E54" s="35"/>
      <c r="F54" s="35"/>
      <c r="G54" s="35"/>
      <c r="H54" s="35"/>
      <c r="I54" s="2"/>
      <c r="J54" s="3"/>
      <c r="K54" s="3"/>
      <c r="L54" s="3"/>
      <c r="M54" s="3"/>
      <c r="N54" s="3"/>
      <c r="O54" s="3"/>
      <c r="P54" s="3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2.5" x14ac:dyDescent="0.25">
      <c r="A55" s="2"/>
      <c r="B55" s="2"/>
      <c r="C55" s="2"/>
      <c r="D55" s="28"/>
      <c r="E55" s="28"/>
      <c r="F55" s="28"/>
      <c r="G55" s="28"/>
      <c r="H55" s="28"/>
      <c r="I55" s="28"/>
      <c r="J55" s="5"/>
      <c r="K55" s="5"/>
      <c r="L55" s="5"/>
      <c r="M55" s="5"/>
      <c r="N55" s="5"/>
      <c r="O55" s="5"/>
      <c r="P55" s="5"/>
      <c r="Q55" s="28"/>
      <c r="R55" s="28"/>
      <c r="S55" s="28"/>
      <c r="T55" s="28"/>
      <c r="U55" s="28"/>
      <c r="V55" s="28"/>
      <c r="W55" s="2"/>
      <c r="X55" s="2"/>
      <c r="Y55" s="2"/>
      <c r="Z55" s="2"/>
      <c r="AA55" s="2"/>
      <c r="AB55" s="2"/>
      <c r="AC55" s="2"/>
      <c r="AD55" s="2"/>
    </row>
    <row r="56" spans="1:30" ht="12.5" x14ac:dyDescent="0.25">
      <c r="A56" s="2"/>
      <c r="B56" s="2"/>
      <c r="C56" s="11"/>
      <c r="D56" s="208" t="s">
        <v>98</v>
      </c>
      <c r="E56" s="209"/>
      <c r="F56" s="209"/>
      <c r="G56" s="209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9"/>
      <c r="S56" s="209"/>
      <c r="T56" s="209"/>
      <c r="U56" s="209"/>
      <c r="V56" s="129"/>
      <c r="W56" s="30"/>
      <c r="X56" s="2"/>
      <c r="Y56" s="2"/>
      <c r="Z56" s="2"/>
      <c r="AA56" s="2"/>
      <c r="AB56" s="2"/>
      <c r="AC56" s="2"/>
      <c r="AD56" s="2"/>
    </row>
    <row r="57" spans="1:30" ht="12.5" x14ac:dyDescent="0.25">
      <c r="A57" s="2"/>
      <c r="B57" s="2"/>
      <c r="C57" s="11"/>
      <c r="D57" s="333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277"/>
      <c r="P57" s="277"/>
      <c r="Q57" s="277"/>
      <c r="R57" s="277"/>
      <c r="S57" s="277"/>
      <c r="T57" s="277"/>
      <c r="U57" s="277"/>
      <c r="V57" s="334"/>
      <c r="W57" s="30"/>
      <c r="X57" s="2"/>
      <c r="Y57" s="2"/>
      <c r="Z57" s="2"/>
      <c r="AA57" s="2"/>
      <c r="AB57" s="2"/>
      <c r="AC57" s="2"/>
      <c r="AD57" s="2"/>
    </row>
    <row r="58" spans="1:30" ht="13" x14ac:dyDescent="0.3">
      <c r="A58" s="2"/>
      <c r="B58" s="2"/>
      <c r="C58" s="11"/>
      <c r="D58" s="335" t="s">
        <v>62</v>
      </c>
      <c r="E58" s="224"/>
      <c r="F58" s="224"/>
      <c r="G58" s="224"/>
      <c r="H58" s="224"/>
      <c r="I58" s="119"/>
      <c r="J58" s="109" t="s">
        <v>99</v>
      </c>
      <c r="K58" s="319" t="s">
        <v>68</v>
      </c>
      <c r="L58" s="119"/>
      <c r="M58" s="319" t="s">
        <v>100</v>
      </c>
      <c r="N58" s="119"/>
      <c r="O58" s="319" t="s">
        <v>95</v>
      </c>
      <c r="P58" s="119"/>
      <c r="Q58" s="319" t="s">
        <v>101</v>
      </c>
      <c r="R58" s="224"/>
      <c r="S58" s="224"/>
      <c r="T58" s="224"/>
      <c r="U58" s="224"/>
      <c r="V58" s="119"/>
      <c r="W58" s="30"/>
      <c r="X58" s="2"/>
      <c r="Y58" s="2"/>
      <c r="Z58" s="2"/>
      <c r="AA58" s="2"/>
      <c r="AB58" s="2"/>
      <c r="AC58" s="2"/>
      <c r="AD58" s="2"/>
    </row>
    <row r="59" spans="1:30" ht="12.5" x14ac:dyDescent="0.25">
      <c r="A59" s="2"/>
      <c r="B59" s="2"/>
      <c r="C59" s="11"/>
      <c r="D59" s="336"/>
      <c r="E59" s="277"/>
      <c r="F59" s="277"/>
      <c r="G59" s="277"/>
      <c r="H59" s="277"/>
      <c r="I59" s="142"/>
      <c r="J59" s="4"/>
      <c r="K59" s="314"/>
      <c r="L59" s="142"/>
      <c r="M59" s="314"/>
      <c r="N59" s="142"/>
      <c r="O59" s="315"/>
      <c r="P59" s="142"/>
      <c r="Q59" s="247"/>
      <c r="R59" s="277"/>
      <c r="S59" s="277"/>
      <c r="T59" s="277"/>
      <c r="U59" s="277"/>
      <c r="V59" s="334"/>
      <c r="W59" s="30"/>
      <c r="X59" s="2"/>
      <c r="Y59" s="2"/>
      <c r="Z59" s="2"/>
      <c r="AA59" s="2"/>
      <c r="AB59" s="2"/>
      <c r="AC59" s="2"/>
      <c r="AD59" s="2"/>
    </row>
    <row r="60" spans="1:30" ht="12.5" x14ac:dyDescent="0.25">
      <c r="A60" s="2"/>
      <c r="B60" s="2"/>
      <c r="C60" s="11"/>
      <c r="D60" s="337"/>
      <c r="E60" s="277"/>
      <c r="F60" s="277"/>
      <c r="G60" s="277"/>
      <c r="H60" s="277"/>
      <c r="I60" s="338"/>
      <c r="J60" s="111"/>
      <c r="K60" s="316"/>
      <c r="L60" s="232"/>
      <c r="M60" s="316"/>
      <c r="N60" s="232"/>
      <c r="O60" s="317"/>
      <c r="P60" s="232"/>
      <c r="Q60" s="274"/>
      <c r="R60" s="245"/>
      <c r="S60" s="245"/>
      <c r="T60" s="245"/>
      <c r="U60" s="245"/>
      <c r="V60" s="246"/>
      <c r="W60" s="30"/>
      <c r="X60" s="2"/>
      <c r="Y60" s="2"/>
      <c r="Z60" s="2"/>
      <c r="AA60" s="2"/>
      <c r="AB60" s="2"/>
      <c r="AC60" s="2"/>
      <c r="AD60" s="2"/>
    </row>
    <row r="61" spans="1:30" ht="12.5" x14ac:dyDescent="0.25">
      <c r="A61" s="2"/>
      <c r="B61" s="2"/>
      <c r="C61" s="11"/>
      <c r="D61" s="336"/>
      <c r="E61" s="277"/>
      <c r="F61" s="277"/>
      <c r="G61" s="277"/>
      <c r="H61" s="277"/>
      <c r="I61" s="142"/>
      <c r="J61" s="3"/>
      <c r="K61" s="314"/>
      <c r="L61" s="142"/>
      <c r="M61" s="314"/>
      <c r="N61" s="142"/>
      <c r="O61" s="320"/>
      <c r="P61" s="236"/>
      <c r="Q61" s="318"/>
      <c r="R61" s="245"/>
      <c r="S61" s="245"/>
      <c r="T61" s="245"/>
      <c r="U61" s="245"/>
      <c r="V61" s="246"/>
      <c r="W61" s="30"/>
      <c r="X61" s="2"/>
      <c r="Y61" s="2"/>
      <c r="Z61" s="2"/>
      <c r="AA61" s="2"/>
      <c r="AB61" s="2"/>
      <c r="AC61" s="2"/>
      <c r="AD61" s="2"/>
    </row>
    <row r="62" spans="1:30" ht="12.5" x14ac:dyDescent="0.25">
      <c r="A62" s="2"/>
      <c r="B62" s="2"/>
      <c r="C62" s="11"/>
      <c r="D62" s="337"/>
      <c r="E62" s="277"/>
      <c r="F62" s="277"/>
      <c r="G62" s="277"/>
      <c r="H62" s="277"/>
      <c r="I62" s="338"/>
      <c r="J62" s="111"/>
      <c r="K62" s="316"/>
      <c r="L62" s="232"/>
      <c r="M62" s="316"/>
      <c r="N62" s="232"/>
      <c r="O62" s="317"/>
      <c r="P62" s="232"/>
      <c r="Q62" s="274"/>
      <c r="R62" s="245"/>
      <c r="S62" s="245"/>
      <c r="T62" s="245"/>
      <c r="U62" s="245"/>
      <c r="V62" s="246"/>
      <c r="W62" s="30"/>
      <c r="X62" s="2"/>
      <c r="Y62" s="2"/>
      <c r="Z62" s="2"/>
      <c r="AA62" s="2"/>
      <c r="AB62" s="2"/>
      <c r="AC62" s="2"/>
      <c r="AD62" s="2"/>
    </row>
    <row r="63" spans="1:30" ht="12.5" x14ac:dyDescent="0.25">
      <c r="A63" s="2"/>
      <c r="B63" s="2"/>
      <c r="C63" s="11"/>
      <c r="D63" s="336"/>
      <c r="E63" s="277"/>
      <c r="F63" s="277"/>
      <c r="G63" s="277"/>
      <c r="H63" s="277"/>
      <c r="I63" s="142"/>
      <c r="J63" s="3"/>
      <c r="K63" s="314"/>
      <c r="L63" s="142"/>
      <c r="M63" s="314"/>
      <c r="N63" s="142"/>
      <c r="O63" s="320"/>
      <c r="P63" s="236"/>
      <c r="Q63" s="318"/>
      <c r="R63" s="245"/>
      <c r="S63" s="245"/>
      <c r="T63" s="245"/>
      <c r="U63" s="245"/>
      <c r="V63" s="246"/>
      <c r="W63" s="30"/>
      <c r="X63" s="2"/>
      <c r="Y63" s="2"/>
      <c r="Z63" s="2"/>
      <c r="AA63" s="2"/>
      <c r="AB63" s="2"/>
      <c r="AC63" s="2"/>
      <c r="AD63" s="2"/>
    </row>
    <row r="64" spans="1:30" ht="14" x14ac:dyDescent="0.3">
      <c r="A64" s="2"/>
      <c r="B64" s="2"/>
      <c r="C64" s="11"/>
      <c r="D64" s="337"/>
      <c r="E64" s="277"/>
      <c r="F64" s="277"/>
      <c r="G64" s="277"/>
      <c r="H64" s="277"/>
      <c r="I64" s="338"/>
      <c r="J64" s="111"/>
      <c r="K64" s="316"/>
      <c r="L64" s="232"/>
      <c r="M64" s="316"/>
      <c r="N64" s="232"/>
      <c r="O64" s="321"/>
      <c r="P64" s="232"/>
      <c r="Q64" s="274"/>
      <c r="R64" s="245"/>
      <c r="S64" s="245"/>
      <c r="T64" s="245"/>
      <c r="U64" s="245"/>
      <c r="V64" s="246"/>
      <c r="W64" s="30"/>
      <c r="X64" s="2"/>
      <c r="Y64" s="2"/>
      <c r="Z64" s="2"/>
      <c r="AA64" s="2"/>
      <c r="AB64" s="2"/>
      <c r="AC64" s="2"/>
      <c r="AD64" s="2"/>
    </row>
    <row r="65" spans="1:30" ht="12.5" x14ac:dyDescent="0.25">
      <c r="A65" s="2"/>
      <c r="B65" s="2"/>
      <c r="C65" s="11"/>
      <c r="D65" s="93"/>
      <c r="E65" s="2"/>
      <c r="F65" s="2"/>
      <c r="G65" s="2"/>
      <c r="H65" s="2"/>
      <c r="I65" s="2"/>
      <c r="J65" s="3"/>
      <c r="K65" s="314"/>
      <c r="L65" s="142"/>
      <c r="M65" s="314"/>
      <c r="N65" s="142"/>
      <c r="O65" s="320"/>
      <c r="P65" s="236"/>
      <c r="Q65" s="318"/>
      <c r="R65" s="245"/>
      <c r="S65" s="245"/>
      <c r="T65" s="245"/>
      <c r="U65" s="245"/>
      <c r="V65" s="246"/>
      <c r="W65" s="30"/>
      <c r="X65" s="2"/>
      <c r="Y65" s="2"/>
      <c r="Z65" s="2"/>
      <c r="AA65" s="2"/>
      <c r="AB65" s="2"/>
      <c r="AC65" s="2"/>
      <c r="AD65" s="2"/>
    </row>
    <row r="66" spans="1:30" ht="12.5" x14ac:dyDescent="0.25">
      <c r="A66" s="2"/>
      <c r="B66" s="2"/>
      <c r="C66" s="11"/>
      <c r="D66" s="337"/>
      <c r="E66" s="277"/>
      <c r="F66" s="277"/>
      <c r="G66" s="277"/>
      <c r="H66" s="277"/>
      <c r="I66" s="338"/>
      <c r="J66" s="111"/>
      <c r="K66" s="316"/>
      <c r="L66" s="232"/>
      <c r="M66" s="316"/>
      <c r="N66" s="232"/>
      <c r="O66" s="317"/>
      <c r="P66" s="232"/>
      <c r="Q66" s="274"/>
      <c r="R66" s="245"/>
      <c r="S66" s="245"/>
      <c r="T66" s="245"/>
      <c r="U66" s="245"/>
      <c r="V66" s="246"/>
      <c r="W66" s="30"/>
      <c r="X66" s="2"/>
      <c r="Y66" s="2"/>
      <c r="Z66" s="2"/>
      <c r="AA66" s="2"/>
      <c r="AB66" s="2"/>
      <c r="AC66" s="2"/>
      <c r="AD66" s="2"/>
    </row>
    <row r="67" spans="1:30" ht="12.5" x14ac:dyDescent="0.25">
      <c r="A67" s="2"/>
      <c r="B67" s="2"/>
      <c r="C67" s="11"/>
      <c r="D67" s="93"/>
      <c r="E67" s="2"/>
      <c r="F67" s="2"/>
      <c r="G67" s="2"/>
      <c r="H67" s="2"/>
      <c r="I67" s="2"/>
      <c r="J67" s="3"/>
      <c r="K67" s="314"/>
      <c r="L67" s="142"/>
      <c r="M67" s="314"/>
      <c r="N67" s="142"/>
      <c r="O67" s="320"/>
      <c r="P67" s="236"/>
      <c r="Q67" s="318"/>
      <c r="R67" s="245"/>
      <c r="S67" s="245"/>
      <c r="T67" s="245"/>
      <c r="U67" s="245"/>
      <c r="V67" s="246"/>
      <c r="W67" s="30"/>
      <c r="X67" s="2"/>
      <c r="Y67" s="2"/>
      <c r="Z67" s="2"/>
      <c r="AA67" s="2"/>
      <c r="AB67" s="2"/>
      <c r="AC67" s="2"/>
      <c r="AD67" s="2"/>
    </row>
    <row r="68" spans="1:30" ht="12.5" x14ac:dyDescent="0.25">
      <c r="A68" s="2"/>
      <c r="B68" s="2"/>
      <c r="C68" s="11"/>
      <c r="D68" s="337"/>
      <c r="E68" s="277"/>
      <c r="F68" s="277"/>
      <c r="G68" s="277"/>
      <c r="H68" s="277"/>
      <c r="I68" s="338"/>
      <c r="J68" s="111"/>
      <c r="K68" s="316"/>
      <c r="L68" s="232"/>
      <c r="M68" s="316"/>
      <c r="N68" s="232"/>
      <c r="O68" s="317"/>
      <c r="P68" s="232"/>
      <c r="Q68" s="274"/>
      <c r="R68" s="245"/>
      <c r="S68" s="245"/>
      <c r="T68" s="245"/>
      <c r="U68" s="245"/>
      <c r="V68" s="246"/>
      <c r="W68" s="30"/>
      <c r="X68" s="2"/>
      <c r="Y68" s="2"/>
      <c r="Z68" s="2"/>
      <c r="AA68" s="2"/>
      <c r="AB68" s="2"/>
      <c r="AC68" s="2"/>
      <c r="AD68" s="2"/>
    </row>
    <row r="69" spans="1:30" ht="12.5" x14ac:dyDescent="0.25">
      <c r="A69" s="2"/>
      <c r="B69" s="2"/>
      <c r="C69" s="11"/>
      <c r="D69" s="93"/>
      <c r="E69" s="2"/>
      <c r="F69" s="2"/>
      <c r="G69" s="2"/>
      <c r="H69" s="2"/>
      <c r="I69" s="2"/>
      <c r="J69" s="3"/>
      <c r="K69" s="314"/>
      <c r="L69" s="142"/>
      <c r="M69" s="314"/>
      <c r="N69" s="142"/>
      <c r="O69" s="320"/>
      <c r="P69" s="236"/>
      <c r="Q69" s="318"/>
      <c r="R69" s="245"/>
      <c r="S69" s="245"/>
      <c r="T69" s="245"/>
      <c r="U69" s="245"/>
      <c r="V69" s="246"/>
      <c r="W69" s="30"/>
      <c r="X69" s="2"/>
      <c r="Y69" s="2"/>
      <c r="Z69" s="2"/>
      <c r="AA69" s="2"/>
      <c r="AB69" s="2"/>
      <c r="AC69" s="2"/>
      <c r="AD69" s="2"/>
    </row>
    <row r="70" spans="1:30" ht="12.5" x14ac:dyDescent="0.25">
      <c r="A70" s="2"/>
      <c r="B70" s="2"/>
      <c r="C70" s="11"/>
      <c r="D70" s="337"/>
      <c r="E70" s="277"/>
      <c r="F70" s="277"/>
      <c r="G70" s="277"/>
      <c r="H70" s="277"/>
      <c r="I70" s="338"/>
      <c r="J70" s="111"/>
      <c r="K70" s="316"/>
      <c r="L70" s="232"/>
      <c r="M70" s="316"/>
      <c r="N70" s="232"/>
      <c r="O70" s="317"/>
      <c r="P70" s="232"/>
      <c r="Q70" s="274"/>
      <c r="R70" s="245"/>
      <c r="S70" s="245"/>
      <c r="T70" s="245"/>
      <c r="U70" s="245"/>
      <c r="V70" s="246"/>
      <c r="W70" s="30"/>
      <c r="X70" s="2"/>
      <c r="Y70" s="2"/>
      <c r="Z70" s="2"/>
      <c r="AA70" s="2"/>
      <c r="AB70" s="2"/>
      <c r="AC70" s="2"/>
      <c r="AD70" s="2"/>
    </row>
    <row r="71" spans="1:30" ht="12.5" x14ac:dyDescent="0.25">
      <c r="A71" s="2"/>
      <c r="B71" s="2"/>
      <c r="C71" s="11"/>
      <c r="D71" s="93"/>
      <c r="E71" s="2"/>
      <c r="F71" s="2"/>
      <c r="G71" s="2"/>
      <c r="H71" s="2"/>
      <c r="I71" s="2"/>
      <c r="J71" s="3"/>
      <c r="K71" s="314"/>
      <c r="L71" s="142"/>
      <c r="M71" s="314"/>
      <c r="N71" s="142"/>
      <c r="O71" s="320"/>
      <c r="P71" s="236"/>
      <c r="Q71" s="318"/>
      <c r="R71" s="245"/>
      <c r="S71" s="245"/>
      <c r="T71" s="245"/>
      <c r="U71" s="245"/>
      <c r="V71" s="246"/>
      <c r="W71" s="30"/>
      <c r="X71" s="2"/>
      <c r="Y71" s="2"/>
      <c r="Z71" s="2"/>
      <c r="AA71" s="2"/>
      <c r="AB71" s="2"/>
      <c r="AC71" s="2"/>
      <c r="AD71" s="2"/>
    </row>
    <row r="72" spans="1:30" ht="12.5" x14ac:dyDescent="0.25">
      <c r="A72" s="2"/>
      <c r="B72" s="2"/>
      <c r="C72" s="11"/>
      <c r="D72" s="337"/>
      <c r="E72" s="277"/>
      <c r="F72" s="277"/>
      <c r="G72" s="277"/>
      <c r="H72" s="277"/>
      <c r="I72" s="338"/>
      <c r="J72" s="111"/>
      <c r="K72" s="316"/>
      <c r="L72" s="232"/>
      <c r="M72" s="316"/>
      <c r="N72" s="232"/>
      <c r="O72" s="317"/>
      <c r="P72" s="232"/>
      <c r="Q72" s="274"/>
      <c r="R72" s="245"/>
      <c r="S72" s="245"/>
      <c r="T72" s="245"/>
      <c r="U72" s="245"/>
      <c r="V72" s="246"/>
      <c r="W72" s="30"/>
      <c r="X72" s="2"/>
      <c r="Y72" s="2"/>
      <c r="Z72" s="2"/>
      <c r="AA72" s="2"/>
      <c r="AB72" s="2"/>
      <c r="AC72" s="2"/>
      <c r="AD72" s="2"/>
    </row>
    <row r="73" spans="1:30" ht="12.5" x14ac:dyDescent="0.25">
      <c r="A73" s="2"/>
      <c r="B73" s="2"/>
      <c r="C73" s="11"/>
      <c r="D73" s="93"/>
      <c r="E73" s="2"/>
      <c r="F73" s="2"/>
      <c r="G73" s="2"/>
      <c r="H73" s="2"/>
      <c r="I73" s="2"/>
      <c r="J73" s="3"/>
      <c r="K73" s="314"/>
      <c r="L73" s="142"/>
      <c r="M73" s="314"/>
      <c r="N73" s="142"/>
      <c r="O73" s="320"/>
      <c r="P73" s="236"/>
      <c r="Q73" s="318"/>
      <c r="R73" s="245"/>
      <c r="S73" s="245"/>
      <c r="T73" s="245"/>
      <c r="U73" s="245"/>
      <c r="V73" s="246"/>
      <c r="W73" s="30"/>
      <c r="X73" s="2"/>
      <c r="Y73" s="2"/>
      <c r="Z73" s="2"/>
      <c r="AA73" s="2"/>
      <c r="AB73" s="2"/>
      <c r="AC73" s="2"/>
      <c r="AD73" s="2"/>
    </row>
    <row r="74" spans="1:30" ht="12.5" x14ac:dyDescent="0.25">
      <c r="A74" s="2"/>
      <c r="B74" s="2"/>
      <c r="C74" s="11"/>
      <c r="D74" s="337"/>
      <c r="E74" s="277"/>
      <c r="F74" s="277"/>
      <c r="G74" s="277"/>
      <c r="H74" s="277"/>
      <c r="I74" s="338"/>
      <c r="J74" s="111"/>
      <c r="K74" s="316"/>
      <c r="L74" s="232"/>
      <c r="M74" s="316"/>
      <c r="N74" s="232"/>
      <c r="O74" s="317"/>
      <c r="P74" s="232"/>
      <c r="Q74" s="274"/>
      <c r="R74" s="245"/>
      <c r="S74" s="245"/>
      <c r="T74" s="245"/>
      <c r="U74" s="245"/>
      <c r="V74" s="246"/>
      <c r="W74" s="30"/>
      <c r="X74" s="2"/>
      <c r="Y74" s="2"/>
      <c r="Z74" s="2"/>
      <c r="AA74" s="2"/>
      <c r="AB74" s="2"/>
      <c r="AC74" s="2"/>
      <c r="AD74" s="2"/>
    </row>
    <row r="75" spans="1:30" ht="12.5" x14ac:dyDescent="0.25">
      <c r="A75" s="2"/>
      <c r="B75" s="2"/>
      <c r="C75" s="11"/>
      <c r="D75" s="93"/>
      <c r="E75" s="2"/>
      <c r="F75" s="2"/>
      <c r="G75" s="2"/>
      <c r="H75" s="2"/>
      <c r="I75" s="2"/>
      <c r="J75" s="3"/>
      <c r="K75" s="314"/>
      <c r="L75" s="142"/>
      <c r="M75" s="314"/>
      <c r="N75" s="142"/>
      <c r="O75" s="320"/>
      <c r="P75" s="236"/>
      <c r="Q75" s="318"/>
      <c r="R75" s="245"/>
      <c r="S75" s="245"/>
      <c r="T75" s="245"/>
      <c r="U75" s="245"/>
      <c r="V75" s="246"/>
      <c r="W75" s="30"/>
      <c r="X75" s="2"/>
      <c r="Y75" s="2"/>
      <c r="Z75" s="2"/>
      <c r="AA75" s="2"/>
      <c r="AB75" s="2"/>
      <c r="AC75" s="2"/>
      <c r="AD75" s="2"/>
    </row>
    <row r="76" spans="1:30" ht="12.5" x14ac:dyDescent="0.25">
      <c r="A76" s="2"/>
      <c r="B76" s="2"/>
      <c r="C76" s="11"/>
      <c r="D76" s="337"/>
      <c r="E76" s="277"/>
      <c r="F76" s="277"/>
      <c r="G76" s="277"/>
      <c r="H76" s="277"/>
      <c r="I76" s="338"/>
      <c r="J76" s="111"/>
      <c r="K76" s="316"/>
      <c r="L76" s="232"/>
      <c r="M76" s="316"/>
      <c r="N76" s="232"/>
      <c r="O76" s="317"/>
      <c r="P76" s="232"/>
      <c r="Q76" s="274"/>
      <c r="R76" s="245"/>
      <c r="S76" s="245"/>
      <c r="T76" s="245"/>
      <c r="U76" s="245"/>
      <c r="V76" s="246"/>
      <c r="W76" s="30"/>
      <c r="X76" s="2"/>
      <c r="Y76" s="2"/>
      <c r="Z76" s="2"/>
      <c r="AA76" s="2"/>
      <c r="AB76" s="2"/>
      <c r="AC76" s="2"/>
      <c r="AD76" s="2"/>
    </row>
    <row r="77" spans="1:30" ht="12.5" x14ac:dyDescent="0.25">
      <c r="A77" s="2"/>
      <c r="B77" s="2"/>
      <c r="C77" s="11"/>
      <c r="D77" s="93"/>
      <c r="E77" s="2"/>
      <c r="F77" s="2"/>
      <c r="G77" s="2"/>
      <c r="H77" s="2"/>
      <c r="I77" s="2"/>
      <c r="J77" s="3"/>
      <c r="K77" s="314"/>
      <c r="L77" s="142"/>
      <c r="M77" s="314"/>
      <c r="N77" s="142"/>
      <c r="O77" s="320"/>
      <c r="P77" s="236"/>
      <c r="Q77" s="318"/>
      <c r="R77" s="245"/>
      <c r="S77" s="245"/>
      <c r="T77" s="245"/>
      <c r="U77" s="245"/>
      <c r="V77" s="246"/>
      <c r="W77" s="30"/>
      <c r="X77" s="2"/>
      <c r="Y77" s="2"/>
      <c r="Z77" s="2"/>
      <c r="AA77" s="2"/>
      <c r="AB77" s="2"/>
      <c r="AC77" s="2"/>
      <c r="AD77" s="2"/>
    </row>
    <row r="78" spans="1:30" ht="12.5" x14ac:dyDescent="0.25">
      <c r="A78" s="2"/>
      <c r="B78" s="2"/>
      <c r="C78" s="11"/>
      <c r="D78" s="337"/>
      <c r="E78" s="277"/>
      <c r="F78" s="277"/>
      <c r="G78" s="277"/>
      <c r="H78" s="277"/>
      <c r="I78" s="338"/>
      <c r="J78" s="111"/>
      <c r="K78" s="316"/>
      <c r="L78" s="232"/>
      <c r="M78" s="316"/>
      <c r="N78" s="232"/>
      <c r="O78" s="317"/>
      <c r="P78" s="232"/>
      <c r="Q78" s="274"/>
      <c r="R78" s="245"/>
      <c r="S78" s="245"/>
      <c r="T78" s="245"/>
      <c r="U78" s="245"/>
      <c r="V78" s="246"/>
      <c r="W78" s="30"/>
      <c r="X78" s="2"/>
      <c r="Y78" s="2"/>
      <c r="Z78" s="2"/>
      <c r="AA78" s="2"/>
      <c r="AB78" s="2"/>
      <c r="AC78" s="2"/>
      <c r="AD78" s="2"/>
    </row>
    <row r="79" spans="1:30" ht="12.5" x14ac:dyDescent="0.25">
      <c r="A79" s="2"/>
      <c r="B79" s="2"/>
      <c r="C79" s="11"/>
      <c r="D79" s="93"/>
      <c r="E79" s="2"/>
      <c r="F79" s="2"/>
      <c r="G79" s="2"/>
      <c r="H79" s="2"/>
      <c r="I79" s="2"/>
      <c r="J79" s="3"/>
      <c r="K79" s="314"/>
      <c r="L79" s="142"/>
      <c r="M79" s="314"/>
      <c r="N79" s="142"/>
      <c r="O79" s="320"/>
      <c r="P79" s="236"/>
      <c r="Q79" s="318"/>
      <c r="R79" s="245"/>
      <c r="S79" s="245"/>
      <c r="T79" s="245"/>
      <c r="U79" s="245"/>
      <c r="V79" s="246"/>
      <c r="W79" s="30"/>
      <c r="X79" s="2"/>
      <c r="Y79" s="2"/>
      <c r="Z79" s="2"/>
      <c r="AA79" s="2"/>
      <c r="AB79" s="2"/>
      <c r="AC79" s="2"/>
      <c r="AD79" s="2"/>
    </row>
    <row r="80" spans="1:30" ht="12.5" x14ac:dyDescent="0.25">
      <c r="A80" s="2"/>
      <c r="B80" s="2"/>
      <c r="C80" s="11"/>
      <c r="D80" s="337"/>
      <c r="E80" s="277"/>
      <c r="F80" s="277"/>
      <c r="G80" s="277"/>
      <c r="H80" s="277"/>
      <c r="I80" s="338"/>
      <c r="J80" s="111"/>
      <c r="K80" s="316"/>
      <c r="L80" s="232"/>
      <c r="M80" s="316"/>
      <c r="N80" s="232"/>
      <c r="O80" s="317"/>
      <c r="P80" s="232"/>
      <c r="Q80" s="274"/>
      <c r="R80" s="245"/>
      <c r="S80" s="245"/>
      <c r="T80" s="245"/>
      <c r="U80" s="245"/>
      <c r="V80" s="246"/>
      <c r="W80" s="30"/>
      <c r="X80" s="2"/>
      <c r="Y80" s="2"/>
      <c r="Z80" s="2"/>
      <c r="AA80" s="2"/>
      <c r="AB80" s="2"/>
      <c r="AC80" s="2"/>
      <c r="AD80" s="2"/>
    </row>
    <row r="81" spans="1:30" ht="12.5" x14ac:dyDescent="0.25">
      <c r="A81" s="2"/>
      <c r="B81" s="2"/>
      <c r="C81" s="11"/>
      <c r="D81" s="93"/>
      <c r="E81" s="2"/>
      <c r="F81" s="2"/>
      <c r="G81" s="2"/>
      <c r="H81" s="2"/>
      <c r="I81" s="2"/>
      <c r="J81" s="3"/>
      <c r="K81" s="314"/>
      <c r="L81" s="142"/>
      <c r="M81" s="314"/>
      <c r="N81" s="142"/>
      <c r="O81" s="320"/>
      <c r="P81" s="236"/>
      <c r="Q81" s="318"/>
      <c r="R81" s="245"/>
      <c r="S81" s="245"/>
      <c r="T81" s="245"/>
      <c r="U81" s="245"/>
      <c r="V81" s="246"/>
      <c r="W81" s="30"/>
      <c r="X81" s="2"/>
      <c r="Y81" s="2"/>
      <c r="Z81" s="2"/>
      <c r="AA81" s="2"/>
      <c r="AB81" s="2"/>
      <c r="AC81" s="2"/>
      <c r="AD81" s="2"/>
    </row>
    <row r="82" spans="1:30" ht="12.5" x14ac:dyDescent="0.25">
      <c r="A82" s="2"/>
      <c r="B82" s="2"/>
      <c r="C82" s="11"/>
      <c r="D82" s="337"/>
      <c r="E82" s="277"/>
      <c r="F82" s="277"/>
      <c r="G82" s="277"/>
      <c r="H82" s="277"/>
      <c r="I82" s="338"/>
      <c r="J82" s="111"/>
      <c r="K82" s="316"/>
      <c r="L82" s="232"/>
      <c r="M82" s="316"/>
      <c r="N82" s="232"/>
      <c r="O82" s="317"/>
      <c r="P82" s="232"/>
      <c r="Q82" s="274"/>
      <c r="R82" s="245"/>
      <c r="S82" s="245"/>
      <c r="T82" s="245"/>
      <c r="U82" s="245"/>
      <c r="V82" s="246"/>
      <c r="W82" s="30"/>
      <c r="X82" s="2"/>
      <c r="Y82" s="2"/>
      <c r="Z82" s="2"/>
      <c r="AA82" s="2"/>
      <c r="AB82" s="2"/>
      <c r="AC82" s="2"/>
      <c r="AD82" s="2"/>
    </row>
    <row r="83" spans="1:30" ht="12.5" x14ac:dyDescent="0.25">
      <c r="A83" s="2"/>
      <c r="B83" s="2"/>
      <c r="C83" s="11"/>
      <c r="D83" s="93"/>
      <c r="E83" s="2"/>
      <c r="F83" s="2"/>
      <c r="G83" s="2"/>
      <c r="H83" s="2"/>
      <c r="I83" s="2"/>
      <c r="J83" s="3"/>
      <c r="K83" s="314"/>
      <c r="L83" s="142"/>
      <c r="M83" s="314"/>
      <c r="N83" s="142"/>
      <c r="O83" s="320"/>
      <c r="P83" s="236"/>
      <c r="Q83" s="318"/>
      <c r="R83" s="245"/>
      <c r="S83" s="245"/>
      <c r="T83" s="245"/>
      <c r="U83" s="245"/>
      <c r="V83" s="246"/>
      <c r="W83" s="30"/>
      <c r="X83" s="2"/>
      <c r="Y83" s="2"/>
      <c r="Z83" s="2"/>
      <c r="AA83" s="2"/>
      <c r="AB83" s="2"/>
      <c r="AC83" s="2"/>
      <c r="AD83" s="2"/>
    </row>
    <row r="84" spans="1:30" ht="12.5" x14ac:dyDescent="0.25">
      <c r="A84" s="2"/>
      <c r="B84" s="2"/>
      <c r="C84" s="11"/>
      <c r="D84" s="337"/>
      <c r="E84" s="277"/>
      <c r="F84" s="277"/>
      <c r="G84" s="277"/>
      <c r="H84" s="277"/>
      <c r="I84" s="338"/>
      <c r="J84" s="111"/>
      <c r="K84" s="316"/>
      <c r="L84" s="232"/>
      <c r="M84" s="316"/>
      <c r="N84" s="232"/>
      <c r="O84" s="317"/>
      <c r="P84" s="232"/>
      <c r="Q84" s="274"/>
      <c r="R84" s="245"/>
      <c r="S84" s="245"/>
      <c r="T84" s="245"/>
      <c r="U84" s="245"/>
      <c r="V84" s="246"/>
      <c r="W84" s="30"/>
      <c r="X84" s="2"/>
      <c r="Y84" s="2"/>
      <c r="Z84" s="2"/>
      <c r="AA84" s="2"/>
      <c r="AB84" s="2"/>
      <c r="AC84" s="2"/>
      <c r="AD84" s="2"/>
    </row>
    <row r="85" spans="1:30" ht="12.5" x14ac:dyDescent="0.25">
      <c r="A85" s="2"/>
      <c r="B85" s="2"/>
      <c r="C85" s="11"/>
      <c r="D85" s="93"/>
      <c r="E85" s="2"/>
      <c r="F85" s="2"/>
      <c r="G85" s="2"/>
      <c r="H85" s="2"/>
      <c r="I85" s="2"/>
      <c r="J85" s="3"/>
      <c r="K85" s="314"/>
      <c r="L85" s="142"/>
      <c r="M85" s="314"/>
      <c r="N85" s="142"/>
      <c r="O85" s="320"/>
      <c r="P85" s="236"/>
      <c r="Q85" s="318"/>
      <c r="R85" s="245"/>
      <c r="S85" s="245"/>
      <c r="T85" s="245"/>
      <c r="U85" s="245"/>
      <c r="V85" s="246"/>
      <c r="W85" s="30"/>
      <c r="X85" s="2"/>
      <c r="Y85" s="2"/>
      <c r="Z85" s="2"/>
      <c r="AA85" s="2"/>
      <c r="AB85" s="2"/>
      <c r="AC85" s="2"/>
      <c r="AD85" s="2"/>
    </row>
    <row r="86" spans="1:30" ht="12.5" x14ac:dyDescent="0.25">
      <c r="A86" s="2"/>
      <c r="B86" s="2"/>
      <c r="C86" s="11"/>
      <c r="D86" s="337"/>
      <c r="E86" s="277"/>
      <c r="F86" s="277"/>
      <c r="G86" s="277"/>
      <c r="H86" s="277"/>
      <c r="I86" s="338"/>
      <c r="J86" s="111"/>
      <c r="K86" s="316"/>
      <c r="L86" s="232"/>
      <c r="M86" s="316"/>
      <c r="N86" s="232"/>
      <c r="O86" s="317"/>
      <c r="P86" s="232"/>
      <c r="Q86" s="274"/>
      <c r="R86" s="245"/>
      <c r="S86" s="245"/>
      <c r="T86" s="245"/>
      <c r="U86" s="245"/>
      <c r="V86" s="246"/>
      <c r="W86" s="30"/>
      <c r="X86" s="2"/>
      <c r="Y86" s="2"/>
      <c r="Z86" s="2"/>
      <c r="AA86" s="2"/>
      <c r="AB86" s="2"/>
      <c r="AC86" s="2"/>
      <c r="AD86" s="2"/>
    </row>
    <row r="87" spans="1:30" ht="12.5" x14ac:dyDescent="0.25">
      <c r="A87" s="2"/>
      <c r="B87" s="2"/>
      <c r="C87" s="11"/>
      <c r="D87" s="93"/>
      <c r="E87" s="2"/>
      <c r="F87" s="2"/>
      <c r="G87" s="2"/>
      <c r="H87" s="2"/>
      <c r="I87" s="2"/>
      <c r="J87" s="3"/>
      <c r="K87" s="314"/>
      <c r="L87" s="142"/>
      <c r="M87" s="314"/>
      <c r="N87" s="142"/>
      <c r="O87" s="320"/>
      <c r="P87" s="236"/>
      <c r="Q87" s="318"/>
      <c r="R87" s="245"/>
      <c r="S87" s="245"/>
      <c r="T87" s="245"/>
      <c r="U87" s="245"/>
      <c r="V87" s="246"/>
      <c r="W87" s="30"/>
      <c r="X87" s="2"/>
      <c r="Y87" s="2"/>
      <c r="Z87" s="2"/>
      <c r="AA87" s="2"/>
      <c r="AB87" s="2"/>
      <c r="AC87" s="2"/>
      <c r="AD87" s="2"/>
    </row>
    <row r="88" spans="1:30" ht="12.5" x14ac:dyDescent="0.25">
      <c r="A88" s="2"/>
      <c r="B88" s="2"/>
      <c r="C88" s="11"/>
      <c r="D88" s="337"/>
      <c r="E88" s="277"/>
      <c r="F88" s="277"/>
      <c r="G88" s="277"/>
      <c r="H88" s="277"/>
      <c r="I88" s="338"/>
      <c r="J88" s="111"/>
      <c r="K88" s="316"/>
      <c r="L88" s="232"/>
      <c r="M88" s="316"/>
      <c r="N88" s="232"/>
      <c r="O88" s="317"/>
      <c r="P88" s="232"/>
      <c r="Q88" s="274"/>
      <c r="R88" s="245"/>
      <c r="S88" s="245"/>
      <c r="T88" s="245"/>
      <c r="U88" s="245"/>
      <c r="V88" s="246"/>
      <c r="W88" s="30"/>
      <c r="X88" s="2"/>
      <c r="Y88" s="2"/>
      <c r="Z88" s="2"/>
      <c r="AA88" s="2"/>
      <c r="AB88" s="2"/>
      <c r="AC88" s="2"/>
      <c r="AD88" s="2"/>
    </row>
    <row r="89" spans="1:30" ht="12.5" x14ac:dyDescent="0.25">
      <c r="A89" s="2"/>
      <c r="B89" s="2"/>
      <c r="C89" s="11"/>
      <c r="D89" s="93"/>
      <c r="E89" s="2"/>
      <c r="F89" s="2"/>
      <c r="G89" s="2"/>
      <c r="H89" s="2"/>
      <c r="I89" s="2"/>
      <c r="J89" s="3"/>
      <c r="K89" s="314"/>
      <c r="L89" s="142"/>
      <c r="M89" s="314"/>
      <c r="N89" s="142"/>
      <c r="O89" s="320"/>
      <c r="P89" s="236"/>
      <c r="Q89" s="318"/>
      <c r="R89" s="245"/>
      <c r="S89" s="245"/>
      <c r="T89" s="245"/>
      <c r="U89" s="245"/>
      <c r="V89" s="246"/>
      <c r="W89" s="30"/>
      <c r="X89" s="2"/>
      <c r="Y89" s="2"/>
      <c r="Z89" s="2"/>
      <c r="AA89" s="2"/>
      <c r="AB89" s="2"/>
      <c r="AC89" s="2"/>
      <c r="AD89" s="2"/>
    </row>
    <row r="90" spans="1:30" ht="12.5" x14ac:dyDescent="0.25">
      <c r="A90" s="2"/>
      <c r="B90" s="2"/>
      <c r="C90" s="11"/>
      <c r="D90" s="337"/>
      <c r="E90" s="277"/>
      <c r="F90" s="277"/>
      <c r="G90" s="277"/>
      <c r="H90" s="277"/>
      <c r="I90" s="338"/>
      <c r="J90" s="111"/>
      <c r="K90" s="316"/>
      <c r="L90" s="232"/>
      <c r="M90" s="316"/>
      <c r="N90" s="232"/>
      <c r="O90" s="317"/>
      <c r="P90" s="232"/>
      <c r="Q90" s="274"/>
      <c r="R90" s="245"/>
      <c r="S90" s="245"/>
      <c r="T90" s="245"/>
      <c r="U90" s="245"/>
      <c r="V90" s="246"/>
      <c r="W90" s="30"/>
      <c r="X90" s="2"/>
      <c r="Y90" s="2"/>
      <c r="Z90" s="2"/>
      <c r="AA90" s="2"/>
      <c r="AB90" s="2"/>
      <c r="AC90" s="2"/>
      <c r="AD90" s="2"/>
    </row>
    <row r="91" spans="1:30" ht="12.5" x14ac:dyDescent="0.25">
      <c r="A91" s="2"/>
      <c r="B91" s="2"/>
      <c r="C91" s="11"/>
      <c r="D91" s="93"/>
      <c r="E91" s="2"/>
      <c r="F91" s="2"/>
      <c r="G91" s="2"/>
      <c r="H91" s="2"/>
      <c r="I91" s="2"/>
      <c r="J91" s="3"/>
      <c r="K91" s="314"/>
      <c r="L91" s="142"/>
      <c r="M91" s="314"/>
      <c r="N91" s="142"/>
      <c r="O91" s="320"/>
      <c r="P91" s="236"/>
      <c r="Q91" s="318"/>
      <c r="R91" s="245"/>
      <c r="S91" s="245"/>
      <c r="T91" s="245"/>
      <c r="U91" s="245"/>
      <c r="V91" s="246"/>
      <c r="W91" s="30"/>
      <c r="X91" s="2"/>
      <c r="Y91" s="2"/>
      <c r="Z91" s="2"/>
      <c r="AA91" s="2"/>
      <c r="AB91" s="2"/>
      <c r="AC91" s="2"/>
      <c r="AD91" s="2"/>
    </row>
    <row r="92" spans="1:30" ht="12.5" x14ac:dyDescent="0.25">
      <c r="A92" s="2"/>
      <c r="B92" s="2"/>
      <c r="C92" s="11"/>
      <c r="D92" s="337"/>
      <c r="E92" s="277"/>
      <c r="F92" s="277"/>
      <c r="G92" s="277"/>
      <c r="H92" s="277"/>
      <c r="I92" s="338"/>
      <c r="J92" s="111"/>
      <c r="K92" s="316"/>
      <c r="L92" s="232"/>
      <c r="M92" s="316"/>
      <c r="N92" s="232"/>
      <c r="O92" s="317"/>
      <c r="P92" s="232"/>
      <c r="Q92" s="274"/>
      <c r="R92" s="245"/>
      <c r="S92" s="245"/>
      <c r="T92" s="245"/>
      <c r="U92" s="245"/>
      <c r="V92" s="246"/>
      <c r="W92" s="30"/>
      <c r="X92" s="2"/>
      <c r="Y92" s="2"/>
      <c r="Z92" s="2"/>
      <c r="AA92" s="2"/>
      <c r="AB92" s="2"/>
      <c r="AC92" s="2"/>
      <c r="AD92" s="2"/>
    </row>
    <row r="93" spans="1:30" ht="12.5" x14ac:dyDescent="0.25">
      <c r="A93" s="2"/>
      <c r="B93" s="2"/>
      <c r="C93" s="11"/>
      <c r="D93" s="93"/>
      <c r="E93" s="2"/>
      <c r="F93" s="2"/>
      <c r="G93" s="2"/>
      <c r="H93" s="2"/>
      <c r="I93" s="2"/>
      <c r="J93" s="3"/>
      <c r="K93" s="314"/>
      <c r="L93" s="142"/>
      <c r="M93" s="314"/>
      <c r="N93" s="142"/>
      <c r="O93" s="320"/>
      <c r="P93" s="236"/>
      <c r="Q93" s="318"/>
      <c r="R93" s="245"/>
      <c r="S93" s="245"/>
      <c r="T93" s="245"/>
      <c r="U93" s="245"/>
      <c r="V93" s="246"/>
      <c r="W93" s="30"/>
      <c r="X93" s="2"/>
      <c r="Y93" s="2"/>
      <c r="Z93" s="2"/>
      <c r="AA93" s="2"/>
      <c r="AB93" s="2"/>
      <c r="AC93" s="2"/>
      <c r="AD93" s="2"/>
    </row>
    <row r="94" spans="1:30" ht="12.5" x14ac:dyDescent="0.25">
      <c r="A94" s="2"/>
      <c r="B94" s="2"/>
      <c r="C94" s="11"/>
      <c r="D94" s="337"/>
      <c r="E94" s="277"/>
      <c r="F94" s="277"/>
      <c r="G94" s="277"/>
      <c r="H94" s="277"/>
      <c r="I94" s="338"/>
      <c r="J94" s="111"/>
      <c r="K94" s="316"/>
      <c r="L94" s="232"/>
      <c r="M94" s="316"/>
      <c r="N94" s="232"/>
      <c r="O94" s="317"/>
      <c r="P94" s="232"/>
      <c r="Q94" s="274"/>
      <c r="R94" s="245"/>
      <c r="S94" s="245"/>
      <c r="T94" s="245"/>
      <c r="U94" s="245"/>
      <c r="V94" s="246"/>
      <c r="W94" s="30"/>
      <c r="X94" s="2"/>
      <c r="Y94" s="2"/>
      <c r="Z94" s="2"/>
      <c r="AA94" s="2"/>
      <c r="AB94" s="2"/>
      <c r="AC94" s="2"/>
      <c r="AD94" s="2"/>
    </row>
    <row r="95" spans="1:30" ht="12.5" x14ac:dyDescent="0.25">
      <c r="A95" s="2"/>
      <c r="B95" s="2"/>
      <c r="C95" s="11"/>
      <c r="D95" s="93"/>
      <c r="E95" s="2"/>
      <c r="F95" s="2"/>
      <c r="G95" s="2"/>
      <c r="H95" s="2"/>
      <c r="I95" s="2"/>
      <c r="J95" s="3"/>
      <c r="K95" s="314"/>
      <c r="L95" s="142"/>
      <c r="M95" s="314"/>
      <c r="N95" s="142"/>
      <c r="O95" s="320"/>
      <c r="P95" s="236"/>
      <c r="Q95" s="318"/>
      <c r="R95" s="245"/>
      <c r="S95" s="245"/>
      <c r="T95" s="245"/>
      <c r="U95" s="245"/>
      <c r="V95" s="246"/>
      <c r="W95" s="30"/>
      <c r="X95" s="2"/>
      <c r="Y95" s="2"/>
      <c r="Z95" s="2"/>
      <c r="AA95" s="2"/>
      <c r="AB95" s="2"/>
      <c r="AC95" s="2"/>
      <c r="AD95" s="2"/>
    </row>
    <row r="96" spans="1:30" ht="12.5" x14ac:dyDescent="0.25">
      <c r="A96" s="2"/>
      <c r="B96" s="2"/>
      <c r="C96" s="11"/>
      <c r="D96" s="337"/>
      <c r="E96" s="277"/>
      <c r="F96" s="277"/>
      <c r="G96" s="277"/>
      <c r="H96" s="277"/>
      <c r="I96" s="338"/>
      <c r="J96" s="111"/>
      <c r="K96" s="316"/>
      <c r="L96" s="232"/>
      <c r="M96" s="316"/>
      <c r="N96" s="232"/>
      <c r="O96" s="317"/>
      <c r="P96" s="232"/>
      <c r="Q96" s="274"/>
      <c r="R96" s="245"/>
      <c r="S96" s="245"/>
      <c r="T96" s="245"/>
      <c r="U96" s="245"/>
      <c r="V96" s="246"/>
      <c r="W96" s="30"/>
      <c r="X96" s="2"/>
      <c r="Y96" s="2"/>
      <c r="Z96" s="2"/>
      <c r="AA96" s="2"/>
      <c r="AB96" s="2"/>
      <c r="AC96" s="2"/>
      <c r="AD96" s="2"/>
    </row>
    <row r="97" spans="1:30" ht="12.5" x14ac:dyDescent="0.25">
      <c r="A97" s="2"/>
      <c r="B97" s="2"/>
      <c r="C97" s="11"/>
      <c r="D97" s="93"/>
      <c r="E97" s="2"/>
      <c r="F97" s="2"/>
      <c r="G97" s="2"/>
      <c r="H97" s="2"/>
      <c r="I97" s="2"/>
      <c r="J97" s="3"/>
      <c r="K97" s="314"/>
      <c r="L97" s="142"/>
      <c r="M97" s="314"/>
      <c r="N97" s="142"/>
      <c r="O97" s="320"/>
      <c r="P97" s="236"/>
      <c r="Q97" s="318"/>
      <c r="R97" s="245"/>
      <c r="S97" s="245"/>
      <c r="T97" s="245"/>
      <c r="U97" s="245"/>
      <c r="V97" s="246"/>
      <c r="W97" s="30"/>
      <c r="X97" s="2"/>
      <c r="Y97" s="2"/>
      <c r="Z97" s="2"/>
      <c r="AA97" s="2"/>
      <c r="AB97" s="2"/>
      <c r="AC97" s="2"/>
      <c r="AD97" s="2"/>
    </row>
    <row r="98" spans="1:30" ht="12.5" x14ac:dyDescent="0.25">
      <c r="A98" s="2"/>
      <c r="B98" s="2"/>
      <c r="C98" s="11"/>
      <c r="D98" s="337"/>
      <c r="E98" s="277"/>
      <c r="F98" s="277"/>
      <c r="G98" s="277"/>
      <c r="H98" s="277"/>
      <c r="I98" s="338"/>
      <c r="J98" s="111"/>
      <c r="K98" s="316"/>
      <c r="L98" s="232"/>
      <c r="M98" s="316"/>
      <c r="N98" s="232"/>
      <c r="O98" s="317"/>
      <c r="P98" s="232"/>
      <c r="Q98" s="274"/>
      <c r="R98" s="245"/>
      <c r="S98" s="245"/>
      <c r="T98" s="245"/>
      <c r="U98" s="245"/>
      <c r="V98" s="246"/>
      <c r="W98" s="30"/>
      <c r="X98" s="2"/>
      <c r="Y98" s="2"/>
      <c r="Z98" s="2"/>
      <c r="AA98" s="2"/>
      <c r="AB98" s="2"/>
      <c r="AC98" s="2"/>
      <c r="AD98" s="2"/>
    </row>
    <row r="99" spans="1:30" ht="12.5" x14ac:dyDescent="0.25">
      <c r="A99" s="2"/>
      <c r="B99" s="2"/>
      <c r="C99" s="11"/>
      <c r="D99" s="93"/>
      <c r="E99" s="2"/>
      <c r="F99" s="2"/>
      <c r="G99" s="2"/>
      <c r="H99" s="2"/>
      <c r="I99" s="2"/>
      <c r="J99" s="3"/>
      <c r="K99" s="314"/>
      <c r="L99" s="142"/>
      <c r="M99" s="314"/>
      <c r="N99" s="142"/>
      <c r="O99" s="320"/>
      <c r="P99" s="236"/>
      <c r="Q99" s="318"/>
      <c r="R99" s="245"/>
      <c r="S99" s="245"/>
      <c r="T99" s="245"/>
      <c r="U99" s="245"/>
      <c r="V99" s="246"/>
      <c r="W99" s="30"/>
      <c r="X99" s="2"/>
      <c r="Y99" s="2"/>
      <c r="Z99" s="2"/>
      <c r="AA99" s="2"/>
      <c r="AB99" s="2"/>
      <c r="AC99" s="2"/>
      <c r="AD99" s="2"/>
    </row>
    <row r="100" spans="1:30" ht="12.5" x14ac:dyDescent="0.25">
      <c r="A100" s="2"/>
      <c r="B100" s="2"/>
      <c r="C100" s="11"/>
      <c r="D100" s="337"/>
      <c r="E100" s="277"/>
      <c r="F100" s="277"/>
      <c r="G100" s="277"/>
      <c r="H100" s="277"/>
      <c r="I100" s="338"/>
      <c r="J100" s="111"/>
      <c r="K100" s="316"/>
      <c r="L100" s="232"/>
      <c r="M100" s="316"/>
      <c r="N100" s="232"/>
      <c r="O100" s="317"/>
      <c r="P100" s="232"/>
      <c r="Q100" s="274"/>
      <c r="R100" s="245"/>
      <c r="S100" s="245"/>
      <c r="T100" s="245"/>
      <c r="U100" s="245"/>
      <c r="V100" s="246"/>
      <c r="W100" s="30"/>
      <c r="X100" s="2"/>
      <c r="Y100" s="2"/>
      <c r="Z100" s="2"/>
      <c r="AA100" s="2"/>
      <c r="AB100" s="2"/>
      <c r="AC100" s="2"/>
      <c r="AD100" s="2"/>
    </row>
    <row r="101" spans="1:30" ht="12.5" x14ac:dyDescent="0.25">
      <c r="A101" s="2"/>
      <c r="B101" s="2"/>
      <c r="C101" s="11"/>
      <c r="D101" s="93"/>
      <c r="E101" s="2"/>
      <c r="F101" s="2"/>
      <c r="G101" s="2"/>
      <c r="H101" s="2"/>
      <c r="I101" s="2"/>
      <c r="J101" s="3"/>
      <c r="K101" s="314"/>
      <c r="L101" s="142"/>
      <c r="M101" s="314"/>
      <c r="N101" s="142"/>
      <c r="O101" s="320"/>
      <c r="P101" s="236"/>
      <c r="Q101" s="318"/>
      <c r="R101" s="245"/>
      <c r="S101" s="245"/>
      <c r="T101" s="245"/>
      <c r="U101" s="245"/>
      <c r="V101" s="246"/>
      <c r="W101" s="30"/>
      <c r="X101" s="2"/>
      <c r="Y101" s="2"/>
      <c r="Z101" s="2"/>
      <c r="AA101" s="2"/>
      <c r="AB101" s="2"/>
      <c r="AC101" s="2"/>
      <c r="AD101" s="2"/>
    </row>
    <row r="102" spans="1:30" ht="12.5" x14ac:dyDescent="0.25">
      <c r="A102" s="2"/>
      <c r="B102" s="2"/>
      <c r="C102" s="11"/>
      <c r="D102" s="337"/>
      <c r="E102" s="277"/>
      <c r="F102" s="277"/>
      <c r="G102" s="277"/>
      <c r="H102" s="277"/>
      <c r="I102" s="338"/>
      <c r="J102" s="111"/>
      <c r="K102" s="316"/>
      <c r="L102" s="232"/>
      <c r="M102" s="316"/>
      <c r="N102" s="232"/>
      <c r="O102" s="317"/>
      <c r="P102" s="232"/>
      <c r="Q102" s="274"/>
      <c r="R102" s="245"/>
      <c r="S102" s="245"/>
      <c r="T102" s="245"/>
      <c r="U102" s="245"/>
      <c r="V102" s="246"/>
      <c r="W102" s="30"/>
      <c r="X102" s="2"/>
      <c r="Y102" s="2"/>
      <c r="Z102" s="2"/>
      <c r="AA102" s="2"/>
      <c r="AB102" s="2"/>
      <c r="AC102" s="2"/>
      <c r="AD102" s="2"/>
    </row>
    <row r="103" spans="1:30" ht="12.5" x14ac:dyDescent="0.25">
      <c r="A103" s="2"/>
      <c r="B103" s="2"/>
      <c r="C103" s="11"/>
      <c r="D103" s="93"/>
      <c r="E103" s="2"/>
      <c r="F103" s="2"/>
      <c r="G103" s="2"/>
      <c r="H103" s="2"/>
      <c r="I103" s="2"/>
      <c r="J103" s="3"/>
      <c r="K103" s="314"/>
      <c r="L103" s="142"/>
      <c r="M103" s="314"/>
      <c r="N103" s="142"/>
      <c r="O103" s="320"/>
      <c r="P103" s="236"/>
      <c r="Q103" s="318"/>
      <c r="R103" s="245"/>
      <c r="S103" s="245"/>
      <c r="T103" s="245"/>
      <c r="U103" s="245"/>
      <c r="V103" s="246"/>
      <c r="W103" s="30"/>
      <c r="X103" s="2"/>
      <c r="Y103" s="2"/>
      <c r="Z103" s="2"/>
      <c r="AA103" s="2"/>
      <c r="AB103" s="2"/>
      <c r="AC103" s="2"/>
      <c r="AD103" s="2"/>
    </row>
    <row r="104" spans="1:30" ht="12.5" x14ac:dyDescent="0.25">
      <c r="A104" s="2"/>
      <c r="B104" s="2"/>
      <c r="C104" s="11"/>
      <c r="D104" s="337"/>
      <c r="E104" s="277"/>
      <c r="F104" s="277"/>
      <c r="G104" s="277"/>
      <c r="H104" s="277"/>
      <c r="I104" s="338"/>
      <c r="J104" s="111"/>
      <c r="K104" s="316"/>
      <c r="L104" s="232"/>
      <c r="M104" s="316"/>
      <c r="N104" s="232"/>
      <c r="O104" s="317"/>
      <c r="P104" s="232"/>
      <c r="Q104" s="274"/>
      <c r="R104" s="245"/>
      <c r="S104" s="245"/>
      <c r="T104" s="245"/>
      <c r="U104" s="245"/>
      <c r="V104" s="246"/>
      <c r="W104" s="30"/>
      <c r="X104" s="2"/>
      <c r="Y104" s="2"/>
      <c r="Z104" s="2"/>
      <c r="AA104" s="2"/>
      <c r="AB104" s="2"/>
      <c r="AC104" s="2"/>
      <c r="AD104" s="2"/>
    </row>
    <row r="105" spans="1:30" ht="12.5" x14ac:dyDescent="0.25">
      <c r="A105" s="2"/>
      <c r="B105" s="2"/>
      <c r="C105" s="11"/>
      <c r="D105" s="93"/>
      <c r="E105" s="2"/>
      <c r="F105" s="2"/>
      <c r="G105" s="2"/>
      <c r="H105" s="2"/>
      <c r="I105" s="2"/>
      <c r="J105" s="3"/>
      <c r="K105" s="314"/>
      <c r="L105" s="142"/>
      <c r="M105" s="314"/>
      <c r="N105" s="142"/>
      <c r="O105" s="320"/>
      <c r="P105" s="236"/>
      <c r="Q105" s="318"/>
      <c r="R105" s="245"/>
      <c r="S105" s="245"/>
      <c r="T105" s="245"/>
      <c r="U105" s="245"/>
      <c r="V105" s="246"/>
      <c r="W105" s="30"/>
      <c r="X105" s="2"/>
      <c r="Y105" s="2"/>
      <c r="Z105" s="2"/>
      <c r="AA105" s="2"/>
      <c r="AB105" s="2"/>
      <c r="AC105" s="2"/>
      <c r="AD105" s="2"/>
    </row>
    <row r="106" spans="1:30" ht="12.5" x14ac:dyDescent="0.25">
      <c r="A106" s="2"/>
      <c r="B106" s="2"/>
      <c r="C106" s="11"/>
      <c r="D106" s="337"/>
      <c r="E106" s="277"/>
      <c r="F106" s="277"/>
      <c r="G106" s="277"/>
      <c r="H106" s="277"/>
      <c r="I106" s="338"/>
      <c r="J106" s="111"/>
      <c r="K106" s="316"/>
      <c r="L106" s="232"/>
      <c r="M106" s="316"/>
      <c r="N106" s="232"/>
      <c r="O106" s="317"/>
      <c r="P106" s="232"/>
      <c r="Q106" s="274"/>
      <c r="R106" s="245"/>
      <c r="S106" s="245"/>
      <c r="T106" s="245"/>
      <c r="U106" s="245"/>
      <c r="V106" s="246"/>
      <c r="W106" s="30"/>
      <c r="X106" s="2"/>
      <c r="Y106" s="2"/>
      <c r="Z106" s="2"/>
      <c r="AA106" s="2"/>
      <c r="AB106" s="2"/>
      <c r="AC106" s="2"/>
      <c r="AD106" s="2"/>
    </row>
    <row r="107" spans="1:30" ht="12.5" x14ac:dyDescent="0.25">
      <c r="A107" s="2"/>
      <c r="B107" s="2"/>
      <c r="C107" s="11"/>
      <c r="D107" s="93"/>
      <c r="E107" s="2"/>
      <c r="F107" s="2"/>
      <c r="G107" s="2"/>
      <c r="H107" s="2"/>
      <c r="I107" s="2"/>
      <c r="J107" s="3"/>
      <c r="K107" s="314"/>
      <c r="L107" s="142"/>
      <c r="M107" s="314"/>
      <c r="N107" s="142"/>
      <c r="O107" s="320"/>
      <c r="P107" s="236"/>
      <c r="Q107" s="318"/>
      <c r="R107" s="245"/>
      <c r="S107" s="245"/>
      <c r="T107" s="245"/>
      <c r="U107" s="245"/>
      <c r="V107" s="246"/>
      <c r="W107" s="30"/>
      <c r="X107" s="2"/>
      <c r="Y107" s="2"/>
      <c r="Z107" s="2"/>
      <c r="AA107" s="2"/>
      <c r="AB107" s="2"/>
      <c r="AC107" s="2"/>
      <c r="AD107" s="2"/>
    </row>
    <row r="108" spans="1:30" ht="12.5" x14ac:dyDescent="0.25">
      <c r="A108" s="2"/>
      <c r="B108" s="2"/>
      <c r="C108" s="11"/>
      <c r="D108" s="337"/>
      <c r="E108" s="277"/>
      <c r="F108" s="277"/>
      <c r="G108" s="277"/>
      <c r="H108" s="277"/>
      <c r="I108" s="338"/>
      <c r="J108" s="111"/>
      <c r="K108" s="316"/>
      <c r="L108" s="232"/>
      <c r="M108" s="316"/>
      <c r="N108" s="232"/>
      <c r="O108" s="317"/>
      <c r="P108" s="232"/>
      <c r="Q108" s="274"/>
      <c r="R108" s="245"/>
      <c r="S108" s="245"/>
      <c r="T108" s="245"/>
      <c r="U108" s="245"/>
      <c r="V108" s="246"/>
      <c r="W108" s="30"/>
      <c r="X108" s="2"/>
      <c r="Y108" s="2"/>
      <c r="Z108" s="2"/>
      <c r="AA108" s="2"/>
      <c r="AB108" s="2"/>
      <c r="AC108" s="2"/>
      <c r="AD108" s="2"/>
    </row>
    <row r="109" spans="1:30" ht="12.5" x14ac:dyDescent="0.25">
      <c r="A109" s="2"/>
      <c r="B109" s="2"/>
      <c r="C109" s="11"/>
      <c r="D109" s="93"/>
      <c r="E109" s="2"/>
      <c r="F109" s="2"/>
      <c r="G109" s="2"/>
      <c r="H109" s="2"/>
      <c r="I109" s="2"/>
      <c r="J109" s="3"/>
      <c r="K109" s="314"/>
      <c r="L109" s="142"/>
      <c r="M109" s="314"/>
      <c r="N109" s="142"/>
      <c r="O109" s="320"/>
      <c r="P109" s="236"/>
      <c r="Q109" s="318"/>
      <c r="R109" s="245"/>
      <c r="S109" s="245"/>
      <c r="T109" s="245"/>
      <c r="U109" s="245"/>
      <c r="V109" s="246"/>
      <c r="W109" s="30"/>
      <c r="X109" s="2"/>
      <c r="Y109" s="2"/>
      <c r="Z109" s="2"/>
      <c r="AA109" s="2"/>
      <c r="AB109" s="2"/>
      <c r="AC109" s="2"/>
      <c r="AD109" s="2"/>
    </row>
    <row r="110" spans="1:30" ht="12.5" x14ac:dyDescent="0.25">
      <c r="A110" s="2"/>
      <c r="B110" s="2"/>
      <c r="C110" s="11"/>
      <c r="D110" s="337"/>
      <c r="E110" s="277"/>
      <c r="F110" s="277"/>
      <c r="G110" s="277"/>
      <c r="H110" s="277"/>
      <c r="I110" s="338"/>
      <c r="J110" s="111"/>
      <c r="K110" s="316"/>
      <c r="L110" s="232"/>
      <c r="M110" s="316"/>
      <c r="N110" s="232"/>
      <c r="O110" s="317"/>
      <c r="P110" s="232"/>
      <c r="Q110" s="274"/>
      <c r="R110" s="245"/>
      <c r="S110" s="245"/>
      <c r="T110" s="245"/>
      <c r="U110" s="245"/>
      <c r="V110" s="246"/>
      <c r="W110" s="30"/>
      <c r="X110" s="2"/>
      <c r="Y110" s="2"/>
      <c r="Z110" s="2"/>
      <c r="AA110" s="2"/>
      <c r="AB110" s="2"/>
      <c r="AC110" s="2"/>
      <c r="AD110" s="2"/>
    </row>
    <row r="111" spans="1:30" ht="12.5" x14ac:dyDescent="0.25">
      <c r="A111" s="2"/>
      <c r="B111" s="2"/>
      <c r="C111" s="11"/>
      <c r="D111" s="93"/>
      <c r="E111" s="2"/>
      <c r="F111" s="2"/>
      <c r="G111" s="2"/>
      <c r="H111" s="2"/>
      <c r="I111" s="2"/>
      <c r="J111" s="3"/>
      <c r="K111" s="314"/>
      <c r="L111" s="142"/>
      <c r="M111" s="314"/>
      <c r="N111" s="142"/>
      <c r="O111" s="320"/>
      <c r="P111" s="236"/>
      <c r="Q111" s="318"/>
      <c r="R111" s="245"/>
      <c r="S111" s="245"/>
      <c r="T111" s="245"/>
      <c r="U111" s="245"/>
      <c r="V111" s="246"/>
      <c r="W111" s="30"/>
      <c r="X111" s="2"/>
      <c r="Y111" s="2"/>
      <c r="Z111" s="2"/>
      <c r="AA111" s="2"/>
      <c r="AB111" s="2"/>
      <c r="AC111" s="2"/>
      <c r="AD111" s="2"/>
    </row>
    <row r="112" spans="1:30" ht="12.5" x14ac:dyDescent="0.25">
      <c r="A112" s="2"/>
      <c r="B112" s="2"/>
      <c r="C112" s="11"/>
      <c r="D112" s="337"/>
      <c r="E112" s="277"/>
      <c r="F112" s="277"/>
      <c r="G112" s="277"/>
      <c r="H112" s="277"/>
      <c r="I112" s="338"/>
      <c r="J112" s="111"/>
      <c r="K112" s="316"/>
      <c r="L112" s="232"/>
      <c r="M112" s="316"/>
      <c r="N112" s="232"/>
      <c r="O112" s="317"/>
      <c r="P112" s="232"/>
      <c r="Q112" s="274"/>
      <c r="R112" s="245"/>
      <c r="S112" s="245"/>
      <c r="T112" s="245"/>
      <c r="U112" s="245"/>
      <c r="V112" s="246"/>
      <c r="W112" s="30"/>
      <c r="X112" s="2"/>
      <c r="Y112" s="2"/>
      <c r="Z112" s="2"/>
      <c r="AA112" s="2"/>
      <c r="AB112" s="2"/>
      <c r="AC112" s="2"/>
      <c r="AD112" s="2"/>
    </row>
    <row r="113" spans="1:30" ht="12.5" x14ac:dyDescent="0.25">
      <c r="A113" s="2"/>
      <c r="B113" s="2"/>
      <c r="C113" s="11"/>
      <c r="D113" s="93"/>
      <c r="E113" s="2"/>
      <c r="F113" s="2"/>
      <c r="G113" s="2"/>
      <c r="H113" s="2"/>
      <c r="I113" s="2"/>
      <c r="J113" s="3"/>
      <c r="K113" s="314"/>
      <c r="L113" s="142"/>
      <c r="M113" s="314"/>
      <c r="N113" s="142"/>
      <c r="O113" s="320"/>
      <c r="P113" s="236"/>
      <c r="Q113" s="318"/>
      <c r="R113" s="245"/>
      <c r="S113" s="245"/>
      <c r="T113" s="245"/>
      <c r="U113" s="245"/>
      <c r="V113" s="246"/>
      <c r="W113" s="30"/>
      <c r="X113" s="2"/>
      <c r="Y113" s="2"/>
      <c r="Z113" s="2"/>
      <c r="AA113" s="2"/>
      <c r="AB113" s="2"/>
      <c r="AC113" s="2"/>
      <c r="AD113" s="2"/>
    </row>
    <row r="114" spans="1:30" ht="12.5" x14ac:dyDescent="0.25">
      <c r="A114" s="2"/>
      <c r="B114" s="2"/>
      <c r="C114" s="11"/>
      <c r="D114" s="337"/>
      <c r="E114" s="277"/>
      <c r="F114" s="277"/>
      <c r="G114" s="277"/>
      <c r="H114" s="277"/>
      <c r="I114" s="338"/>
      <c r="J114" s="111"/>
      <c r="K114" s="316"/>
      <c r="L114" s="232"/>
      <c r="M114" s="316"/>
      <c r="N114" s="232"/>
      <c r="O114" s="317"/>
      <c r="P114" s="232"/>
      <c r="Q114" s="274"/>
      <c r="R114" s="245"/>
      <c r="S114" s="245"/>
      <c r="T114" s="245"/>
      <c r="U114" s="245"/>
      <c r="V114" s="246"/>
      <c r="W114" s="30"/>
      <c r="X114" s="2"/>
      <c r="Y114" s="2"/>
      <c r="Z114" s="2"/>
      <c r="AA114" s="2"/>
      <c r="AB114" s="2"/>
      <c r="AC114" s="2"/>
      <c r="AD114" s="2"/>
    </row>
    <row r="115" spans="1:30" ht="12.5" x14ac:dyDescent="0.25">
      <c r="A115" s="2"/>
      <c r="B115" s="2"/>
      <c r="C115" s="11"/>
      <c r="D115" s="93"/>
      <c r="E115" s="2"/>
      <c r="F115" s="2"/>
      <c r="G115" s="2"/>
      <c r="H115" s="2"/>
      <c r="I115" s="2"/>
      <c r="J115" s="3"/>
      <c r="K115" s="314"/>
      <c r="L115" s="142"/>
      <c r="M115" s="314"/>
      <c r="N115" s="142"/>
      <c r="O115" s="320"/>
      <c r="P115" s="236"/>
      <c r="Q115" s="318"/>
      <c r="R115" s="245"/>
      <c r="S115" s="245"/>
      <c r="T115" s="245"/>
      <c r="U115" s="245"/>
      <c r="V115" s="246"/>
      <c r="W115" s="30"/>
      <c r="X115" s="2"/>
      <c r="Y115" s="2"/>
      <c r="Z115" s="2"/>
      <c r="AA115" s="2"/>
      <c r="AB115" s="2"/>
      <c r="AC115" s="2"/>
      <c r="AD115" s="2"/>
    </row>
    <row r="116" spans="1:30" ht="12.5" x14ac:dyDescent="0.25">
      <c r="A116" s="2"/>
      <c r="B116" s="2"/>
      <c r="C116" s="11"/>
      <c r="D116" s="337"/>
      <c r="E116" s="277"/>
      <c r="F116" s="277"/>
      <c r="G116" s="277"/>
      <c r="H116" s="277"/>
      <c r="I116" s="338"/>
      <c r="J116" s="111"/>
      <c r="K116" s="316"/>
      <c r="L116" s="232"/>
      <c r="M116" s="316"/>
      <c r="N116" s="232"/>
      <c r="O116" s="317"/>
      <c r="P116" s="232"/>
      <c r="Q116" s="274"/>
      <c r="R116" s="245"/>
      <c r="S116" s="245"/>
      <c r="T116" s="245"/>
      <c r="U116" s="245"/>
      <c r="V116" s="246"/>
      <c r="W116" s="30"/>
      <c r="X116" s="2"/>
      <c r="Y116" s="2"/>
      <c r="Z116" s="2"/>
      <c r="AA116" s="2"/>
      <c r="AB116" s="2"/>
      <c r="AC116" s="2"/>
      <c r="AD116" s="2"/>
    </row>
    <row r="117" spans="1:30" ht="12.5" x14ac:dyDescent="0.25">
      <c r="A117" s="2"/>
      <c r="B117" s="2"/>
      <c r="C117" s="11"/>
      <c r="D117" s="93"/>
      <c r="E117" s="2"/>
      <c r="F117" s="2"/>
      <c r="G117" s="2"/>
      <c r="H117" s="2"/>
      <c r="I117" s="2"/>
      <c r="J117" s="3"/>
      <c r="K117" s="314"/>
      <c r="L117" s="142"/>
      <c r="M117" s="314"/>
      <c r="N117" s="142"/>
      <c r="O117" s="320"/>
      <c r="P117" s="236"/>
      <c r="Q117" s="318"/>
      <c r="R117" s="245"/>
      <c r="S117" s="245"/>
      <c r="T117" s="245"/>
      <c r="U117" s="245"/>
      <c r="V117" s="246"/>
      <c r="W117" s="30"/>
      <c r="X117" s="2"/>
      <c r="Y117" s="2"/>
      <c r="Z117" s="2"/>
      <c r="AA117" s="2"/>
      <c r="AB117" s="2"/>
      <c r="AC117" s="2"/>
      <c r="AD117" s="2"/>
    </row>
    <row r="118" spans="1:30" ht="12.5" x14ac:dyDescent="0.25">
      <c r="A118" s="2"/>
      <c r="B118" s="2"/>
      <c r="C118" s="11"/>
      <c r="D118" s="337"/>
      <c r="E118" s="277"/>
      <c r="F118" s="277"/>
      <c r="G118" s="277"/>
      <c r="H118" s="277"/>
      <c r="I118" s="338"/>
      <c r="J118" s="111"/>
      <c r="K118" s="316"/>
      <c r="L118" s="232"/>
      <c r="M118" s="316"/>
      <c r="N118" s="232"/>
      <c r="O118" s="317"/>
      <c r="P118" s="232"/>
      <c r="Q118" s="274"/>
      <c r="R118" s="245"/>
      <c r="S118" s="245"/>
      <c r="T118" s="245"/>
      <c r="U118" s="245"/>
      <c r="V118" s="246"/>
      <c r="W118" s="30"/>
      <c r="X118" s="2"/>
      <c r="Y118" s="2"/>
      <c r="Z118" s="2"/>
      <c r="AA118" s="2"/>
      <c r="AB118" s="2"/>
      <c r="AC118" s="2"/>
      <c r="AD118" s="2"/>
    </row>
    <row r="119" spans="1:30" ht="12.5" x14ac:dyDescent="0.25">
      <c r="A119" s="2"/>
      <c r="B119" s="2"/>
      <c r="C119" s="11"/>
      <c r="D119" s="112"/>
      <c r="E119" s="28"/>
      <c r="F119" s="28"/>
      <c r="G119" s="28"/>
      <c r="H119" s="28"/>
      <c r="I119" s="28"/>
      <c r="J119" s="5"/>
      <c r="K119" s="339"/>
      <c r="L119" s="198"/>
      <c r="M119" s="339"/>
      <c r="N119" s="198"/>
      <c r="O119" s="320"/>
      <c r="P119" s="236"/>
      <c r="Q119" s="322"/>
      <c r="R119" s="194"/>
      <c r="S119" s="194"/>
      <c r="T119" s="194"/>
      <c r="U119" s="194"/>
      <c r="V119" s="323"/>
      <c r="W119" s="30"/>
      <c r="X119" s="2"/>
      <c r="Y119" s="2"/>
      <c r="Z119" s="2"/>
      <c r="AA119" s="2"/>
      <c r="AB119" s="2"/>
      <c r="AC119" s="2"/>
      <c r="AD119" s="2"/>
    </row>
    <row r="120" spans="1:30" ht="13" x14ac:dyDescent="0.3">
      <c r="A120" s="2"/>
      <c r="B120" s="2"/>
      <c r="C120" s="11"/>
      <c r="D120" s="335" t="s">
        <v>14</v>
      </c>
      <c r="E120" s="224"/>
      <c r="F120" s="224"/>
      <c r="G120" s="224"/>
      <c r="H120" s="224"/>
      <c r="I120" s="224"/>
      <c r="J120" s="224"/>
      <c r="K120" s="224"/>
      <c r="L120" s="224"/>
      <c r="M120" s="224"/>
      <c r="N120" s="273"/>
      <c r="O120" s="340">
        <f>SUM(O59:P119)</f>
        <v>0</v>
      </c>
      <c r="P120" s="273"/>
      <c r="Q120" s="113"/>
      <c r="R120" s="113"/>
      <c r="S120" s="113"/>
      <c r="T120" s="113"/>
      <c r="U120" s="113"/>
      <c r="V120" s="114"/>
      <c r="W120" s="30"/>
      <c r="X120" s="2"/>
      <c r="Y120" s="2"/>
      <c r="Z120" s="2"/>
      <c r="AA120" s="2"/>
      <c r="AB120" s="2"/>
      <c r="AC120" s="2"/>
      <c r="AD120" s="2"/>
    </row>
    <row r="121" spans="1:30" ht="12.5" x14ac:dyDescent="0.25">
      <c r="A121" s="2"/>
      <c r="B121" s="2"/>
      <c r="C121" s="2"/>
      <c r="D121" s="35"/>
      <c r="E121" s="35"/>
      <c r="F121" s="35"/>
      <c r="G121" s="35"/>
      <c r="H121" s="35"/>
      <c r="I121" s="35"/>
      <c r="J121" s="4"/>
      <c r="K121" s="4"/>
      <c r="L121" s="4"/>
      <c r="M121" s="4"/>
      <c r="N121" s="4"/>
      <c r="O121" s="4"/>
      <c r="P121" s="4"/>
      <c r="Q121" s="35"/>
      <c r="R121" s="35"/>
      <c r="S121" s="35"/>
      <c r="T121" s="35"/>
      <c r="U121" s="35"/>
      <c r="V121" s="35"/>
      <c r="W121" s="2"/>
      <c r="X121" s="2"/>
      <c r="Y121" s="2"/>
      <c r="Z121" s="2"/>
      <c r="AA121" s="2"/>
      <c r="AB121" s="2"/>
      <c r="AC121" s="2"/>
      <c r="AD121" s="2"/>
    </row>
    <row r="122" spans="1:30" ht="12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3"/>
      <c r="K122" s="3"/>
      <c r="L122" s="3"/>
      <c r="M122" s="3"/>
      <c r="N122" s="3"/>
      <c r="O122" s="3"/>
      <c r="P122" s="3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2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3"/>
      <c r="K123" s="3"/>
      <c r="L123" s="3"/>
      <c r="M123" s="3"/>
      <c r="N123" s="3"/>
      <c r="O123" s="3"/>
      <c r="P123" s="3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2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3"/>
      <c r="K124" s="3"/>
      <c r="L124" s="3"/>
      <c r="M124" s="3"/>
      <c r="N124" s="3"/>
      <c r="O124" s="3"/>
      <c r="P124" s="3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2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3"/>
      <c r="K125" s="3"/>
      <c r="L125" s="3"/>
      <c r="M125" s="3"/>
      <c r="N125" s="3"/>
      <c r="O125" s="3"/>
      <c r="P125" s="3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2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3"/>
      <c r="K126" s="3"/>
      <c r="L126" s="3"/>
      <c r="M126" s="3"/>
      <c r="N126" s="3"/>
      <c r="O126" s="3"/>
      <c r="P126" s="3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2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3"/>
      <c r="K127" s="3"/>
      <c r="L127" s="3"/>
      <c r="M127" s="3"/>
      <c r="N127" s="3"/>
      <c r="O127" s="3"/>
      <c r="P127" s="3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2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3"/>
      <c r="K128" s="3"/>
      <c r="L128" s="3"/>
      <c r="M128" s="3"/>
      <c r="N128" s="3"/>
      <c r="O128" s="3"/>
      <c r="P128" s="3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2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3"/>
      <c r="K129" s="3"/>
      <c r="L129" s="3"/>
      <c r="M129" s="3"/>
      <c r="N129" s="3"/>
      <c r="O129" s="3"/>
      <c r="P129" s="3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2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3"/>
      <c r="K130" s="3"/>
      <c r="L130" s="3"/>
      <c r="M130" s="3"/>
      <c r="N130" s="3"/>
      <c r="O130" s="3"/>
      <c r="P130" s="3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2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3"/>
      <c r="K131" s="3"/>
      <c r="L131" s="3"/>
      <c r="M131" s="3"/>
      <c r="N131" s="3"/>
      <c r="O131" s="3"/>
      <c r="P131" s="3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2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3"/>
      <c r="K132" s="3"/>
      <c r="L132" s="3"/>
      <c r="M132" s="3"/>
      <c r="N132" s="3"/>
      <c r="O132" s="3"/>
      <c r="P132" s="3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2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3"/>
      <c r="K133" s="3"/>
      <c r="L133" s="3"/>
      <c r="M133" s="3"/>
      <c r="N133" s="3"/>
      <c r="O133" s="3"/>
      <c r="P133" s="3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2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3"/>
      <c r="K134" s="3"/>
      <c r="L134" s="3"/>
      <c r="M134" s="3"/>
      <c r="N134" s="3"/>
      <c r="O134" s="3"/>
      <c r="P134" s="3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2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3"/>
      <c r="K135" s="3"/>
      <c r="L135" s="3"/>
      <c r="M135" s="3"/>
      <c r="N135" s="3"/>
      <c r="O135" s="3"/>
      <c r="P135" s="3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2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3"/>
      <c r="K136" s="3"/>
      <c r="L136" s="3"/>
      <c r="M136" s="3"/>
      <c r="N136" s="3"/>
      <c r="O136" s="3"/>
      <c r="P136" s="3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2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3"/>
      <c r="K137" s="3"/>
      <c r="L137" s="3"/>
      <c r="M137" s="3"/>
      <c r="N137" s="3"/>
      <c r="O137" s="3"/>
      <c r="P137" s="3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2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3"/>
      <c r="K138" s="3"/>
      <c r="L138" s="3"/>
      <c r="M138" s="3"/>
      <c r="N138" s="3"/>
      <c r="O138" s="3"/>
      <c r="P138" s="3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2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3"/>
      <c r="K139" s="3"/>
      <c r="L139" s="3"/>
      <c r="M139" s="3"/>
      <c r="N139" s="3"/>
      <c r="O139" s="3"/>
      <c r="P139" s="3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2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3"/>
      <c r="K140" s="3"/>
      <c r="L140" s="3"/>
      <c r="M140" s="3"/>
      <c r="N140" s="3"/>
      <c r="O140" s="3"/>
      <c r="P140" s="3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2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3"/>
      <c r="K141" s="3"/>
      <c r="L141" s="3"/>
      <c r="M141" s="3"/>
      <c r="N141" s="3"/>
      <c r="O141" s="3"/>
      <c r="P141" s="3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2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3"/>
      <c r="K142" s="3"/>
      <c r="L142" s="3"/>
      <c r="M142" s="3"/>
      <c r="N142" s="3"/>
      <c r="O142" s="3"/>
      <c r="P142" s="3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2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3"/>
      <c r="K143" s="3"/>
      <c r="L143" s="3"/>
      <c r="M143" s="3"/>
      <c r="N143" s="3"/>
      <c r="O143" s="3"/>
      <c r="P143" s="3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2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3"/>
      <c r="K144" s="3"/>
      <c r="L144" s="3"/>
      <c r="M144" s="3"/>
      <c r="N144" s="3"/>
      <c r="O144" s="3"/>
      <c r="P144" s="3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2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3"/>
      <c r="K145" s="3"/>
      <c r="L145" s="3"/>
      <c r="M145" s="3"/>
      <c r="N145" s="3"/>
      <c r="O145" s="3"/>
      <c r="P145" s="3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2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3"/>
      <c r="K146" s="3"/>
      <c r="L146" s="3"/>
      <c r="M146" s="3"/>
      <c r="N146" s="3"/>
      <c r="O146" s="3"/>
      <c r="P146" s="3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2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3"/>
      <c r="K147" s="3"/>
      <c r="L147" s="3"/>
      <c r="M147" s="3"/>
      <c r="N147" s="3"/>
      <c r="O147" s="3"/>
      <c r="P147" s="3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2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3"/>
      <c r="K148" s="3"/>
      <c r="L148" s="3"/>
      <c r="M148" s="3"/>
      <c r="N148" s="3"/>
      <c r="O148" s="3"/>
      <c r="P148" s="3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2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3"/>
      <c r="K149" s="3"/>
      <c r="L149" s="3"/>
      <c r="M149" s="3"/>
      <c r="N149" s="3"/>
      <c r="O149" s="3"/>
      <c r="P149" s="3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2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3"/>
      <c r="K150" s="3"/>
      <c r="L150" s="3"/>
      <c r="M150" s="3"/>
      <c r="N150" s="3"/>
      <c r="O150" s="3"/>
      <c r="P150" s="3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2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3"/>
      <c r="K151" s="3"/>
      <c r="L151" s="3"/>
      <c r="M151" s="3"/>
      <c r="N151" s="3"/>
      <c r="O151" s="3"/>
      <c r="P151" s="3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2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3"/>
      <c r="K152" s="3"/>
      <c r="L152" s="3"/>
      <c r="M152" s="3"/>
      <c r="N152" s="3"/>
      <c r="O152" s="3"/>
      <c r="P152" s="3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2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3"/>
      <c r="K153" s="3"/>
      <c r="L153" s="3"/>
      <c r="M153" s="3"/>
      <c r="N153" s="3"/>
      <c r="O153" s="3"/>
      <c r="P153" s="3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2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3"/>
      <c r="K154" s="3"/>
      <c r="L154" s="3"/>
      <c r="M154" s="3"/>
      <c r="N154" s="3"/>
      <c r="O154" s="3"/>
      <c r="P154" s="3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2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3"/>
      <c r="K155" s="3"/>
      <c r="L155" s="3"/>
      <c r="M155" s="3"/>
      <c r="N155" s="3"/>
      <c r="O155" s="3"/>
      <c r="P155" s="3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2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3"/>
      <c r="K156" s="3"/>
      <c r="L156" s="3"/>
      <c r="M156" s="3"/>
      <c r="N156" s="3"/>
      <c r="O156" s="3"/>
      <c r="P156" s="3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2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3"/>
      <c r="K157" s="3"/>
      <c r="L157" s="3"/>
      <c r="M157" s="3"/>
      <c r="N157" s="3"/>
      <c r="O157" s="3"/>
      <c r="P157" s="3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2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3"/>
      <c r="K158" s="3"/>
      <c r="L158" s="3"/>
      <c r="M158" s="3"/>
      <c r="N158" s="3"/>
      <c r="O158" s="3"/>
      <c r="P158" s="3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2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3"/>
      <c r="K159" s="3"/>
      <c r="L159" s="3"/>
      <c r="M159" s="3"/>
      <c r="N159" s="3"/>
      <c r="O159" s="3"/>
      <c r="P159" s="3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2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3"/>
      <c r="K160" s="3"/>
      <c r="L160" s="3"/>
      <c r="M160" s="3"/>
      <c r="N160" s="3"/>
      <c r="O160" s="3"/>
      <c r="P160" s="3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2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3"/>
      <c r="K161" s="3"/>
      <c r="L161" s="3"/>
      <c r="M161" s="3"/>
      <c r="N161" s="3"/>
      <c r="O161" s="3"/>
      <c r="P161" s="3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2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3"/>
      <c r="K162" s="3"/>
      <c r="L162" s="3"/>
      <c r="M162" s="3"/>
      <c r="N162" s="3"/>
      <c r="O162" s="3"/>
      <c r="P162" s="3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2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3"/>
      <c r="K163" s="3"/>
      <c r="L163" s="3"/>
      <c r="M163" s="3"/>
      <c r="N163" s="3"/>
      <c r="O163" s="3"/>
      <c r="P163" s="3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2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3"/>
      <c r="K164" s="3"/>
      <c r="L164" s="3"/>
      <c r="M164" s="3"/>
      <c r="N164" s="3"/>
      <c r="O164" s="3"/>
      <c r="P164" s="3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2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3"/>
      <c r="K165" s="3"/>
      <c r="L165" s="3"/>
      <c r="M165" s="3"/>
      <c r="N165" s="3"/>
      <c r="O165" s="3"/>
      <c r="P165" s="3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2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3"/>
      <c r="K166" s="3"/>
      <c r="L166" s="3"/>
      <c r="M166" s="3"/>
      <c r="N166" s="3"/>
      <c r="O166" s="3"/>
      <c r="P166" s="3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2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3"/>
      <c r="K167" s="3"/>
      <c r="L167" s="3"/>
      <c r="M167" s="3"/>
      <c r="N167" s="3"/>
      <c r="O167" s="3"/>
      <c r="P167" s="3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2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3"/>
      <c r="K168" s="3"/>
      <c r="L168" s="3"/>
      <c r="M168" s="3"/>
      <c r="N168" s="3"/>
      <c r="O168" s="3"/>
      <c r="P168" s="3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2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3"/>
      <c r="K169" s="3"/>
      <c r="L169" s="3"/>
      <c r="M169" s="3"/>
      <c r="N169" s="3"/>
      <c r="O169" s="3"/>
      <c r="P169" s="3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2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3"/>
      <c r="K170" s="3"/>
      <c r="L170" s="3"/>
      <c r="M170" s="3"/>
      <c r="N170" s="3"/>
      <c r="O170" s="3"/>
      <c r="P170" s="3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2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3"/>
      <c r="K171" s="3"/>
      <c r="L171" s="3"/>
      <c r="M171" s="3"/>
      <c r="N171" s="3"/>
      <c r="O171" s="3"/>
      <c r="P171" s="3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2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3"/>
      <c r="K172" s="3"/>
      <c r="L172" s="3"/>
      <c r="M172" s="3"/>
      <c r="N172" s="3"/>
      <c r="O172" s="3"/>
      <c r="P172" s="3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2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3"/>
      <c r="K173" s="3"/>
      <c r="L173" s="3"/>
      <c r="M173" s="3"/>
      <c r="N173" s="3"/>
      <c r="O173" s="3"/>
      <c r="P173" s="3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2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3"/>
      <c r="K174" s="3"/>
      <c r="L174" s="3"/>
      <c r="M174" s="3"/>
      <c r="N174" s="3"/>
      <c r="O174" s="3"/>
      <c r="P174" s="3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2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3"/>
      <c r="K175" s="3"/>
      <c r="L175" s="3"/>
      <c r="M175" s="3"/>
      <c r="N175" s="3"/>
      <c r="O175" s="3"/>
      <c r="P175" s="3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2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3"/>
      <c r="K176" s="3"/>
      <c r="L176" s="3"/>
      <c r="M176" s="3"/>
      <c r="N176" s="3"/>
      <c r="O176" s="3"/>
      <c r="P176" s="3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2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3"/>
      <c r="K177" s="3"/>
      <c r="L177" s="3"/>
      <c r="M177" s="3"/>
      <c r="N177" s="3"/>
      <c r="O177" s="3"/>
      <c r="P177" s="3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2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3"/>
      <c r="K178" s="3"/>
      <c r="L178" s="3"/>
      <c r="M178" s="3"/>
      <c r="N178" s="3"/>
      <c r="O178" s="3"/>
      <c r="P178" s="3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2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3"/>
      <c r="K179" s="3"/>
      <c r="L179" s="3"/>
      <c r="M179" s="3"/>
      <c r="N179" s="3"/>
      <c r="O179" s="3"/>
      <c r="P179" s="3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2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3"/>
      <c r="K180" s="3"/>
      <c r="L180" s="3"/>
      <c r="M180" s="3"/>
      <c r="N180" s="3"/>
      <c r="O180" s="3"/>
      <c r="P180" s="3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2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3"/>
      <c r="K181" s="3"/>
      <c r="L181" s="3"/>
      <c r="M181" s="3"/>
      <c r="N181" s="3"/>
      <c r="O181" s="3"/>
      <c r="P181" s="3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2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3"/>
      <c r="K182" s="3"/>
      <c r="L182" s="3"/>
      <c r="M182" s="3"/>
      <c r="N182" s="3"/>
      <c r="O182" s="3"/>
      <c r="P182" s="3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2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3"/>
      <c r="K183" s="3"/>
      <c r="L183" s="3"/>
      <c r="M183" s="3"/>
      <c r="N183" s="3"/>
      <c r="O183" s="3"/>
      <c r="P183" s="3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2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3"/>
      <c r="K184" s="3"/>
      <c r="L184" s="3"/>
      <c r="M184" s="3"/>
      <c r="N184" s="3"/>
      <c r="O184" s="3"/>
      <c r="P184" s="3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2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3"/>
      <c r="K185" s="3"/>
      <c r="L185" s="3"/>
      <c r="M185" s="3"/>
      <c r="N185" s="3"/>
      <c r="O185" s="3"/>
      <c r="P185" s="3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2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3"/>
      <c r="K186" s="3"/>
      <c r="L186" s="3"/>
      <c r="M186" s="3"/>
      <c r="N186" s="3"/>
      <c r="O186" s="3"/>
      <c r="P186" s="3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2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3"/>
      <c r="K187" s="3"/>
      <c r="L187" s="3"/>
      <c r="M187" s="3"/>
      <c r="N187" s="3"/>
      <c r="O187" s="3"/>
      <c r="P187" s="3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2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3"/>
      <c r="K188" s="3"/>
      <c r="L188" s="3"/>
      <c r="M188" s="3"/>
      <c r="N188" s="3"/>
      <c r="O188" s="3"/>
      <c r="P188" s="3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2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3"/>
      <c r="K189" s="3"/>
      <c r="L189" s="3"/>
      <c r="M189" s="3"/>
      <c r="N189" s="3"/>
      <c r="O189" s="3"/>
      <c r="P189" s="3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2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3"/>
      <c r="K190" s="3"/>
      <c r="L190" s="3"/>
      <c r="M190" s="3"/>
      <c r="N190" s="3"/>
      <c r="O190" s="3"/>
      <c r="P190" s="3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2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3"/>
      <c r="K191" s="3"/>
      <c r="L191" s="3"/>
      <c r="M191" s="3"/>
      <c r="N191" s="3"/>
      <c r="O191" s="3"/>
      <c r="P191" s="3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3"/>
      <c r="K192" s="3"/>
      <c r="L192" s="3"/>
      <c r="M192" s="3"/>
      <c r="N192" s="3"/>
      <c r="O192" s="3"/>
      <c r="P192" s="3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3"/>
      <c r="K193" s="3"/>
      <c r="L193" s="3"/>
      <c r="M193" s="3"/>
      <c r="N193" s="3"/>
      <c r="O193" s="3"/>
      <c r="P193" s="3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3"/>
      <c r="K194" s="3"/>
      <c r="L194" s="3"/>
      <c r="M194" s="3"/>
      <c r="N194" s="3"/>
      <c r="O194" s="3"/>
      <c r="P194" s="3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3"/>
      <c r="K195" s="3"/>
      <c r="L195" s="3"/>
      <c r="M195" s="3"/>
      <c r="N195" s="3"/>
      <c r="O195" s="3"/>
      <c r="P195" s="3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3"/>
      <c r="K196" s="3"/>
      <c r="L196" s="3"/>
      <c r="M196" s="3"/>
      <c r="N196" s="3"/>
      <c r="O196" s="3"/>
      <c r="P196" s="3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3"/>
      <c r="K197" s="3"/>
      <c r="L197" s="3"/>
      <c r="M197" s="3"/>
      <c r="N197" s="3"/>
      <c r="O197" s="3"/>
      <c r="P197" s="3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3"/>
      <c r="K198" s="3"/>
      <c r="L198" s="3"/>
      <c r="M198" s="3"/>
      <c r="N198" s="3"/>
      <c r="O198" s="3"/>
      <c r="P198" s="3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3"/>
      <c r="K199" s="3"/>
      <c r="L199" s="3"/>
      <c r="M199" s="3"/>
      <c r="N199" s="3"/>
      <c r="O199" s="3"/>
      <c r="P199" s="3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3"/>
      <c r="K200" s="3"/>
      <c r="L200" s="3"/>
      <c r="M200" s="3"/>
      <c r="N200" s="3"/>
      <c r="O200" s="3"/>
      <c r="P200" s="3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3"/>
      <c r="K201" s="3"/>
      <c r="L201" s="3"/>
      <c r="M201" s="3"/>
      <c r="N201" s="3"/>
      <c r="O201" s="3"/>
      <c r="P201" s="3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3"/>
      <c r="K202" s="3"/>
      <c r="L202" s="3"/>
      <c r="M202" s="3"/>
      <c r="N202" s="3"/>
      <c r="O202" s="3"/>
      <c r="P202" s="3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3"/>
      <c r="K203" s="3"/>
      <c r="L203" s="3"/>
      <c r="M203" s="3"/>
      <c r="N203" s="3"/>
      <c r="O203" s="3"/>
      <c r="P203" s="3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3"/>
      <c r="K204" s="3"/>
      <c r="L204" s="3"/>
      <c r="M204" s="3"/>
      <c r="N204" s="3"/>
      <c r="O204" s="3"/>
      <c r="P204" s="3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3"/>
      <c r="K205" s="3"/>
      <c r="L205" s="3"/>
      <c r="M205" s="3"/>
      <c r="N205" s="3"/>
      <c r="O205" s="3"/>
      <c r="P205" s="3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3"/>
      <c r="K206" s="3"/>
      <c r="L206" s="3"/>
      <c r="M206" s="3"/>
      <c r="N206" s="3"/>
      <c r="O206" s="3"/>
      <c r="P206" s="3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3"/>
      <c r="K207" s="3"/>
      <c r="L207" s="3"/>
      <c r="M207" s="3"/>
      <c r="N207" s="3"/>
      <c r="O207" s="3"/>
      <c r="P207" s="3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3"/>
      <c r="K208" s="3"/>
      <c r="L208" s="3"/>
      <c r="M208" s="3"/>
      <c r="N208" s="3"/>
      <c r="O208" s="3"/>
      <c r="P208" s="3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3"/>
      <c r="K209" s="3"/>
      <c r="L209" s="3"/>
      <c r="M209" s="3"/>
      <c r="N209" s="3"/>
      <c r="O209" s="3"/>
      <c r="P209" s="3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3"/>
      <c r="K210" s="3"/>
      <c r="L210" s="3"/>
      <c r="M210" s="3"/>
      <c r="N210" s="3"/>
      <c r="O210" s="3"/>
      <c r="P210" s="3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3"/>
      <c r="K211" s="3"/>
      <c r="L211" s="3"/>
      <c r="M211" s="3"/>
      <c r="N211" s="3"/>
      <c r="O211" s="3"/>
      <c r="P211" s="3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3"/>
      <c r="K212" s="3"/>
      <c r="L212" s="3"/>
      <c r="M212" s="3"/>
      <c r="N212" s="3"/>
      <c r="O212" s="3"/>
      <c r="P212" s="3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3"/>
      <c r="K213" s="3"/>
      <c r="L213" s="3"/>
      <c r="M213" s="3"/>
      <c r="N213" s="3"/>
      <c r="O213" s="3"/>
      <c r="P213" s="3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3"/>
      <c r="K214" s="3"/>
      <c r="L214" s="3"/>
      <c r="M214" s="3"/>
      <c r="N214" s="3"/>
      <c r="O214" s="3"/>
      <c r="P214" s="3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3"/>
      <c r="K215" s="3"/>
      <c r="L215" s="3"/>
      <c r="M215" s="3"/>
      <c r="N215" s="3"/>
      <c r="O215" s="3"/>
      <c r="P215" s="3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3"/>
      <c r="K216" s="3"/>
      <c r="L216" s="3"/>
      <c r="M216" s="3"/>
      <c r="N216" s="3"/>
      <c r="O216" s="3"/>
      <c r="P216" s="3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3"/>
      <c r="K217" s="3"/>
      <c r="L217" s="3"/>
      <c r="M217" s="3"/>
      <c r="N217" s="3"/>
      <c r="O217" s="3"/>
      <c r="P217" s="3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3"/>
      <c r="K218" s="3"/>
      <c r="L218" s="3"/>
      <c r="M218" s="3"/>
      <c r="N218" s="3"/>
      <c r="O218" s="3"/>
      <c r="P218" s="3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3"/>
      <c r="K219" s="3"/>
      <c r="L219" s="3"/>
      <c r="M219" s="3"/>
      <c r="N219" s="3"/>
      <c r="O219" s="3"/>
      <c r="P219" s="3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3"/>
      <c r="K220" s="3"/>
      <c r="L220" s="3"/>
      <c r="M220" s="3"/>
      <c r="N220" s="3"/>
      <c r="O220" s="3"/>
      <c r="P220" s="3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3"/>
      <c r="K221" s="3"/>
      <c r="L221" s="3"/>
      <c r="M221" s="3"/>
      <c r="N221" s="3"/>
      <c r="O221" s="3"/>
      <c r="P221" s="3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3"/>
      <c r="K222" s="3"/>
      <c r="L222" s="3"/>
      <c r="M222" s="3"/>
      <c r="N222" s="3"/>
      <c r="O222" s="3"/>
      <c r="P222" s="3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3"/>
      <c r="K223" s="3"/>
      <c r="L223" s="3"/>
      <c r="M223" s="3"/>
      <c r="N223" s="3"/>
      <c r="O223" s="3"/>
      <c r="P223" s="3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3"/>
      <c r="K224" s="3"/>
      <c r="L224" s="3"/>
      <c r="M224" s="3"/>
      <c r="N224" s="3"/>
      <c r="O224" s="3"/>
      <c r="P224" s="3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3"/>
      <c r="K225" s="3"/>
      <c r="L225" s="3"/>
      <c r="M225" s="3"/>
      <c r="N225" s="3"/>
      <c r="O225" s="3"/>
      <c r="P225" s="3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3"/>
      <c r="K226" s="3"/>
      <c r="L226" s="3"/>
      <c r="M226" s="3"/>
      <c r="N226" s="3"/>
      <c r="O226" s="3"/>
      <c r="P226" s="3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3"/>
      <c r="K227" s="3"/>
      <c r="L227" s="3"/>
      <c r="M227" s="3"/>
      <c r="N227" s="3"/>
      <c r="O227" s="3"/>
      <c r="P227" s="3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3"/>
      <c r="K228" s="3"/>
      <c r="L228" s="3"/>
      <c r="M228" s="3"/>
      <c r="N228" s="3"/>
      <c r="O228" s="3"/>
      <c r="P228" s="3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3"/>
      <c r="K229" s="3"/>
      <c r="L229" s="3"/>
      <c r="M229" s="3"/>
      <c r="N229" s="3"/>
      <c r="O229" s="3"/>
      <c r="P229" s="3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3"/>
      <c r="K230" s="3"/>
      <c r="L230" s="3"/>
      <c r="M230" s="3"/>
      <c r="N230" s="3"/>
      <c r="O230" s="3"/>
      <c r="P230" s="3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3"/>
      <c r="K231" s="3"/>
      <c r="L231" s="3"/>
      <c r="M231" s="3"/>
      <c r="N231" s="3"/>
      <c r="O231" s="3"/>
      <c r="P231" s="3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3"/>
      <c r="K232" s="3"/>
      <c r="L232" s="3"/>
      <c r="M232" s="3"/>
      <c r="N232" s="3"/>
      <c r="O232" s="3"/>
      <c r="P232" s="3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3"/>
      <c r="K233" s="3"/>
      <c r="L233" s="3"/>
      <c r="M233" s="3"/>
      <c r="N233" s="3"/>
      <c r="O233" s="3"/>
      <c r="P233" s="3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3"/>
      <c r="K234" s="3"/>
      <c r="L234" s="3"/>
      <c r="M234" s="3"/>
      <c r="N234" s="3"/>
      <c r="O234" s="3"/>
      <c r="P234" s="3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3"/>
      <c r="K235" s="3"/>
      <c r="L235" s="3"/>
      <c r="M235" s="3"/>
      <c r="N235" s="3"/>
      <c r="O235" s="3"/>
      <c r="P235" s="3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3"/>
      <c r="K236" s="3"/>
      <c r="L236" s="3"/>
      <c r="M236" s="3"/>
      <c r="N236" s="3"/>
      <c r="O236" s="3"/>
      <c r="P236" s="3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3"/>
      <c r="K237" s="3"/>
      <c r="L237" s="3"/>
      <c r="M237" s="3"/>
      <c r="N237" s="3"/>
      <c r="O237" s="3"/>
      <c r="P237" s="3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3"/>
      <c r="K238" s="3"/>
      <c r="L238" s="3"/>
      <c r="M238" s="3"/>
      <c r="N238" s="3"/>
      <c r="O238" s="3"/>
      <c r="P238" s="3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3"/>
      <c r="K239" s="3"/>
      <c r="L239" s="3"/>
      <c r="M239" s="3"/>
      <c r="N239" s="3"/>
      <c r="O239" s="3"/>
      <c r="P239" s="3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3"/>
      <c r="K240" s="3"/>
      <c r="L240" s="3"/>
      <c r="M240" s="3"/>
      <c r="N240" s="3"/>
      <c r="O240" s="3"/>
      <c r="P240" s="3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3"/>
      <c r="K241" s="3"/>
      <c r="L241" s="3"/>
      <c r="M241" s="3"/>
      <c r="N241" s="3"/>
      <c r="O241" s="3"/>
      <c r="P241" s="3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3"/>
      <c r="K242" s="3"/>
      <c r="L242" s="3"/>
      <c r="M242" s="3"/>
      <c r="N242" s="3"/>
      <c r="O242" s="3"/>
      <c r="P242" s="3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3"/>
      <c r="K243" s="3"/>
      <c r="L243" s="3"/>
      <c r="M243" s="3"/>
      <c r="N243" s="3"/>
      <c r="O243" s="3"/>
      <c r="P243" s="3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3"/>
      <c r="K244" s="3"/>
      <c r="L244" s="3"/>
      <c r="M244" s="3"/>
      <c r="N244" s="3"/>
      <c r="O244" s="3"/>
      <c r="P244" s="3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3"/>
      <c r="K245" s="3"/>
      <c r="L245" s="3"/>
      <c r="M245" s="3"/>
      <c r="N245" s="3"/>
      <c r="O245" s="3"/>
      <c r="P245" s="3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3"/>
      <c r="K246" s="3"/>
      <c r="L246" s="3"/>
      <c r="M246" s="3"/>
      <c r="N246" s="3"/>
      <c r="O246" s="3"/>
      <c r="P246" s="3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3"/>
      <c r="K247" s="3"/>
      <c r="L247" s="3"/>
      <c r="M247" s="3"/>
      <c r="N247" s="3"/>
      <c r="O247" s="3"/>
      <c r="P247" s="3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3"/>
      <c r="K248" s="3"/>
      <c r="L248" s="3"/>
      <c r="M248" s="3"/>
      <c r="N248" s="3"/>
      <c r="O248" s="3"/>
      <c r="P248" s="3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3"/>
      <c r="K249" s="3"/>
      <c r="L249" s="3"/>
      <c r="M249" s="3"/>
      <c r="N249" s="3"/>
      <c r="O249" s="3"/>
      <c r="P249" s="3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3"/>
      <c r="K250" s="3"/>
      <c r="L250" s="3"/>
      <c r="M250" s="3"/>
      <c r="N250" s="3"/>
      <c r="O250" s="3"/>
      <c r="P250" s="3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3"/>
      <c r="K251" s="3"/>
      <c r="L251" s="3"/>
      <c r="M251" s="3"/>
      <c r="N251" s="3"/>
      <c r="O251" s="3"/>
      <c r="P251" s="3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3"/>
      <c r="K252" s="3"/>
      <c r="L252" s="3"/>
      <c r="M252" s="3"/>
      <c r="N252" s="3"/>
      <c r="O252" s="3"/>
      <c r="P252" s="3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3"/>
      <c r="K253" s="3"/>
      <c r="L253" s="3"/>
      <c r="M253" s="3"/>
      <c r="N253" s="3"/>
      <c r="O253" s="3"/>
      <c r="P253" s="3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3"/>
      <c r="K254" s="3"/>
      <c r="L254" s="3"/>
      <c r="M254" s="3"/>
      <c r="N254" s="3"/>
      <c r="O254" s="3"/>
      <c r="P254" s="3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3"/>
      <c r="K255" s="3"/>
      <c r="L255" s="3"/>
      <c r="M255" s="3"/>
      <c r="N255" s="3"/>
      <c r="O255" s="3"/>
      <c r="P255" s="3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3"/>
      <c r="K256" s="3"/>
      <c r="L256" s="3"/>
      <c r="M256" s="3"/>
      <c r="N256" s="3"/>
      <c r="O256" s="3"/>
      <c r="P256" s="3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3"/>
      <c r="K257" s="3"/>
      <c r="L257" s="3"/>
      <c r="M257" s="3"/>
      <c r="N257" s="3"/>
      <c r="O257" s="3"/>
      <c r="P257" s="3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3"/>
      <c r="K258" s="3"/>
      <c r="L258" s="3"/>
      <c r="M258" s="3"/>
      <c r="N258" s="3"/>
      <c r="O258" s="3"/>
      <c r="P258" s="3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3"/>
      <c r="K259" s="3"/>
      <c r="L259" s="3"/>
      <c r="M259" s="3"/>
      <c r="N259" s="3"/>
      <c r="O259" s="3"/>
      <c r="P259" s="3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3"/>
      <c r="K260" s="3"/>
      <c r="L260" s="3"/>
      <c r="M260" s="3"/>
      <c r="N260" s="3"/>
      <c r="O260" s="3"/>
      <c r="P260" s="3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3"/>
      <c r="K261" s="3"/>
      <c r="L261" s="3"/>
      <c r="M261" s="3"/>
      <c r="N261" s="3"/>
      <c r="O261" s="3"/>
      <c r="P261" s="3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3"/>
      <c r="K262" s="3"/>
      <c r="L262" s="3"/>
      <c r="M262" s="3"/>
      <c r="N262" s="3"/>
      <c r="O262" s="3"/>
      <c r="P262" s="3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3"/>
      <c r="K263" s="3"/>
      <c r="L263" s="3"/>
      <c r="M263" s="3"/>
      <c r="N263" s="3"/>
      <c r="O263" s="3"/>
      <c r="P263" s="3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3"/>
      <c r="K264" s="3"/>
      <c r="L264" s="3"/>
      <c r="M264" s="3"/>
      <c r="N264" s="3"/>
      <c r="O264" s="3"/>
      <c r="P264" s="3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3"/>
      <c r="K265" s="3"/>
      <c r="L265" s="3"/>
      <c r="M265" s="3"/>
      <c r="N265" s="3"/>
      <c r="O265" s="3"/>
      <c r="P265" s="3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3"/>
      <c r="K266" s="3"/>
      <c r="L266" s="3"/>
      <c r="M266" s="3"/>
      <c r="N266" s="3"/>
      <c r="O266" s="3"/>
      <c r="P266" s="3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3"/>
      <c r="K267" s="3"/>
      <c r="L267" s="3"/>
      <c r="M267" s="3"/>
      <c r="N267" s="3"/>
      <c r="O267" s="3"/>
      <c r="P267" s="3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3"/>
      <c r="K268" s="3"/>
      <c r="L268" s="3"/>
      <c r="M268" s="3"/>
      <c r="N268" s="3"/>
      <c r="O268" s="3"/>
      <c r="P268" s="3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3"/>
      <c r="K269" s="3"/>
      <c r="L269" s="3"/>
      <c r="M269" s="3"/>
      <c r="N269" s="3"/>
      <c r="O269" s="3"/>
      <c r="P269" s="3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3"/>
      <c r="K270" s="3"/>
      <c r="L270" s="3"/>
      <c r="M270" s="3"/>
      <c r="N270" s="3"/>
      <c r="O270" s="3"/>
      <c r="P270" s="3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3"/>
      <c r="K271" s="3"/>
      <c r="L271" s="3"/>
      <c r="M271" s="3"/>
      <c r="N271" s="3"/>
      <c r="O271" s="3"/>
      <c r="P271" s="3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3"/>
      <c r="K272" s="3"/>
      <c r="L272" s="3"/>
      <c r="M272" s="3"/>
      <c r="N272" s="3"/>
      <c r="O272" s="3"/>
      <c r="P272" s="3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3"/>
      <c r="K273" s="3"/>
      <c r="L273" s="3"/>
      <c r="M273" s="3"/>
      <c r="N273" s="3"/>
      <c r="O273" s="3"/>
      <c r="P273" s="3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3"/>
      <c r="K274" s="3"/>
      <c r="L274" s="3"/>
      <c r="M274" s="3"/>
      <c r="N274" s="3"/>
      <c r="O274" s="3"/>
      <c r="P274" s="3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3"/>
      <c r="K275" s="3"/>
      <c r="L275" s="3"/>
      <c r="M275" s="3"/>
      <c r="N275" s="3"/>
      <c r="O275" s="3"/>
      <c r="P275" s="3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3"/>
      <c r="K276" s="3"/>
      <c r="L276" s="3"/>
      <c r="M276" s="3"/>
      <c r="N276" s="3"/>
      <c r="O276" s="3"/>
      <c r="P276" s="3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3"/>
      <c r="K277" s="3"/>
      <c r="L277" s="3"/>
      <c r="M277" s="3"/>
      <c r="N277" s="3"/>
      <c r="O277" s="3"/>
      <c r="P277" s="3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3"/>
      <c r="K278" s="3"/>
      <c r="L278" s="3"/>
      <c r="M278" s="3"/>
      <c r="N278" s="3"/>
      <c r="O278" s="3"/>
      <c r="P278" s="3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3"/>
      <c r="K279" s="3"/>
      <c r="L279" s="3"/>
      <c r="M279" s="3"/>
      <c r="N279" s="3"/>
      <c r="O279" s="3"/>
      <c r="P279" s="3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3"/>
      <c r="K280" s="3"/>
      <c r="L280" s="3"/>
      <c r="M280" s="3"/>
      <c r="N280" s="3"/>
      <c r="O280" s="3"/>
      <c r="P280" s="3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3"/>
      <c r="K281" s="3"/>
      <c r="L281" s="3"/>
      <c r="M281" s="3"/>
      <c r="N281" s="3"/>
      <c r="O281" s="3"/>
      <c r="P281" s="3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3"/>
      <c r="K282" s="3"/>
      <c r="L282" s="3"/>
      <c r="M282" s="3"/>
      <c r="N282" s="3"/>
      <c r="O282" s="3"/>
      <c r="P282" s="3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3"/>
      <c r="K283" s="3"/>
      <c r="L283" s="3"/>
      <c r="M283" s="3"/>
      <c r="N283" s="3"/>
      <c r="O283" s="3"/>
      <c r="P283" s="3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3"/>
      <c r="K284" s="3"/>
      <c r="L284" s="3"/>
      <c r="M284" s="3"/>
      <c r="N284" s="3"/>
      <c r="O284" s="3"/>
      <c r="P284" s="3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3"/>
      <c r="K285" s="3"/>
      <c r="L285" s="3"/>
      <c r="M285" s="3"/>
      <c r="N285" s="3"/>
      <c r="O285" s="3"/>
      <c r="P285" s="3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3"/>
      <c r="K286" s="3"/>
      <c r="L286" s="3"/>
      <c r="M286" s="3"/>
      <c r="N286" s="3"/>
      <c r="O286" s="3"/>
      <c r="P286" s="3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3"/>
      <c r="K287" s="3"/>
      <c r="L287" s="3"/>
      <c r="M287" s="3"/>
      <c r="N287" s="3"/>
      <c r="O287" s="3"/>
      <c r="P287" s="3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3"/>
      <c r="K288" s="3"/>
      <c r="L288" s="3"/>
      <c r="M288" s="3"/>
      <c r="N288" s="3"/>
      <c r="O288" s="3"/>
      <c r="P288" s="3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3"/>
      <c r="K289" s="3"/>
      <c r="L289" s="3"/>
      <c r="M289" s="3"/>
      <c r="N289" s="3"/>
      <c r="O289" s="3"/>
      <c r="P289" s="3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3"/>
      <c r="K290" s="3"/>
      <c r="L290" s="3"/>
      <c r="M290" s="3"/>
      <c r="N290" s="3"/>
      <c r="O290" s="3"/>
      <c r="P290" s="3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3"/>
      <c r="K291" s="3"/>
      <c r="L291" s="3"/>
      <c r="M291" s="3"/>
      <c r="N291" s="3"/>
      <c r="O291" s="3"/>
      <c r="P291" s="3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3"/>
      <c r="K292" s="3"/>
      <c r="L292" s="3"/>
      <c r="M292" s="3"/>
      <c r="N292" s="3"/>
      <c r="O292" s="3"/>
      <c r="P292" s="3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3"/>
      <c r="K293" s="3"/>
      <c r="L293" s="3"/>
      <c r="M293" s="3"/>
      <c r="N293" s="3"/>
      <c r="O293" s="3"/>
      <c r="P293" s="3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3"/>
      <c r="K294" s="3"/>
      <c r="L294" s="3"/>
      <c r="M294" s="3"/>
      <c r="N294" s="3"/>
      <c r="O294" s="3"/>
      <c r="P294" s="3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3"/>
      <c r="K295" s="3"/>
      <c r="L295" s="3"/>
      <c r="M295" s="3"/>
      <c r="N295" s="3"/>
      <c r="O295" s="3"/>
      <c r="P295" s="3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3"/>
      <c r="K296" s="3"/>
      <c r="L296" s="3"/>
      <c r="M296" s="3"/>
      <c r="N296" s="3"/>
      <c r="O296" s="3"/>
      <c r="P296" s="3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3"/>
      <c r="K297" s="3"/>
      <c r="L297" s="3"/>
      <c r="M297" s="3"/>
      <c r="N297" s="3"/>
      <c r="O297" s="3"/>
      <c r="P297" s="3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3"/>
      <c r="K298" s="3"/>
      <c r="L298" s="3"/>
      <c r="M298" s="3"/>
      <c r="N298" s="3"/>
      <c r="O298" s="3"/>
      <c r="P298" s="3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3"/>
      <c r="K299" s="3"/>
      <c r="L299" s="3"/>
      <c r="M299" s="3"/>
      <c r="N299" s="3"/>
      <c r="O299" s="3"/>
      <c r="P299" s="3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3"/>
      <c r="K300" s="3"/>
      <c r="L300" s="3"/>
      <c r="M300" s="3"/>
      <c r="N300" s="3"/>
      <c r="O300" s="3"/>
      <c r="P300" s="3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3"/>
      <c r="K301" s="3"/>
      <c r="L301" s="3"/>
      <c r="M301" s="3"/>
      <c r="N301" s="3"/>
      <c r="O301" s="3"/>
      <c r="P301" s="3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3"/>
      <c r="K302" s="3"/>
      <c r="L302" s="3"/>
      <c r="M302" s="3"/>
      <c r="N302" s="3"/>
      <c r="O302" s="3"/>
      <c r="P302" s="3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3"/>
      <c r="K303" s="3"/>
      <c r="L303" s="3"/>
      <c r="M303" s="3"/>
      <c r="N303" s="3"/>
      <c r="O303" s="3"/>
      <c r="P303" s="3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3"/>
      <c r="K304" s="3"/>
      <c r="L304" s="3"/>
      <c r="M304" s="3"/>
      <c r="N304" s="3"/>
      <c r="O304" s="3"/>
      <c r="P304" s="3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3"/>
      <c r="K305" s="3"/>
      <c r="L305" s="3"/>
      <c r="M305" s="3"/>
      <c r="N305" s="3"/>
      <c r="O305" s="3"/>
      <c r="P305" s="3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3"/>
      <c r="K306" s="3"/>
      <c r="L306" s="3"/>
      <c r="M306" s="3"/>
      <c r="N306" s="3"/>
      <c r="O306" s="3"/>
      <c r="P306" s="3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3"/>
      <c r="K307" s="3"/>
      <c r="L307" s="3"/>
      <c r="M307" s="3"/>
      <c r="N307" s="3"/>
      <c r="O307" s="3"/>
      <c r="P307" s="3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3"/>
      <c r="K308" s="3"/>
      <c r="L308" s="3"/>
      <c r="M308" s="3"/>
      <c r="N308" s="3"/>
      <c r="O308" s="3"/>
      <c r="P308" s="3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3"/>
      <c r="K309" s="3"/>
      <c r="L309" s="3"/>
      <c r="M309" s="3"/>
      <c r="N309" s="3"/>
      <c r="O309" s="3"/>
      <c r="P309" s="3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3"/>
      <c r="K310" s="3"/>
      <c r="L310" s="3"/>
      <c r="M310" s="3"/>
      <c r="N310" s="3"/>
      <c r="O310" s="3"/>
      <c r="P310" s="3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3"/>
      <c r="K311" s="3"/>
      <c r="L311" s="3"/>
      <c r="M311" s="3"/>
      <c r="N311" s="3"/>
      <c r="O311" s="3"/>
      <c r="P311" s="3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3"/>
      <c r="K312" s="3"/>
      <c r="L312" s="3"/>
      <c r="M312" s="3"/>
      <c r="N312" s="3"/>
      <c r="O312" s="3"/>
      <c r="P312" s="3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3"/>
      <c r="K313" s="3"/>
      <c r="L313" s="3"/>
      <c r="M313" s="3"/>
      <c r="N313" s="3"/>
      <c r="O313" s="3"/>
      <c r="P313" s="3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3"/>
      <c r="K314" s="3"/>
      <c r="L314" s="3"/>
      <c r="M314" s="3"/>
      <c r="N314" s="3"/>
      <c r="O314" s="3"/>
      <c r="P314" s="3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3"/>
      <c r="K315" s="3"/>
      <c r="L315" s="3"/>
      <c r="M315" s="3"/>
      <c r="N315" s="3"/>
      <c r="O315" s="3"/>
      <c r="P315" s="3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3"/>
      <c r="K316" s="3"/>
      <c r="L316" s="3"/>
      <c r="M316" s="3"/>
      <c r="N316" s="3"/>
      <c r="O316" s="3"/>
      <c r="P316" s="3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3"/>
      <c r="K317" s="3"/>
      <c r="L317" s="3"/>
      <c r="M317" s="3"/>
      <c r="N317" s="3"/>
      <c r="O317" s="3"/>
      <c r="P317" s="3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3"/>
      <c r="K318" s="3"/>
      <c r="L318" s="3"/>
      <c r="M318" s="3"/>
      <c r="N318" s="3"/>
      <c r="O318" s="3"/>
      <c r="P318" s="3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3"/>
      <c r="K319" s="3"/>
      <c r="L319" s="3"/>
      <c r="M319" s="3"/>
      <c r="N319" s="3"/>
      <c r="O319" s="3"/>
      <c r="P319" s="3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3"/>
      <c r="K320" s="3"/>
      <c r="L320" s="3"/>
      <c r="M320" s="3"/>
      <c r="N320" s="3"/>
      <c r="O320" s="3"/>
      <c r="P320" s="3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3"/>
      <c r="K321" s="3"/>
      <c r="L321" s="3"/>
      <c r="M321" s="3"/>
      <c r="N321" s="3"/>
      <c r="O321" s="3"/>
      <c r="P321" s="3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3"/>
      <c r="K322" s="3"/>
      <c r="L322" s="3"/>
      <c r="M322" s="3"/>
      <c r="N322" s="3"/>
      <c r="O322" s="3"/>
      <c r="P322" s="3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3"/>
      <c r="K323" s="3"/>
      <c r="L323" s="3"/>
      <c r="M323" s="3"/>
      <c r="N323" s="3"/>
      <c r="O323" s="3"/>
      <c r="P323" s="3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3"/>
      <c r="K324" s="3"/>
      <c r="L324" s="3"/>
      <c r="M324" s="3"/>
      <c r="N324" s="3"/>
      <c r="O324" s="3"/>
      <c r="P324" s="3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3"/>
      <c r="K325" s="3"/>
      <c r="L325" s="3"/>
      <c r="M325" s="3"/>
      <c r="N325" s="3"/>
      <c r="O325" s="3"/>
      <c r="P325" s="3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2.5" x14ac:dyDescent="0.25">
      <c r="J326" s="115"/>
      <c r="K326" s="115"/>
      <c r="L326" s="115"/>
      <c r="M326" s="115"/>
      <c r="N326" s="115"/>
      <c r="O326" s="115"/>
      <c r="P326" s="115"/>
    </row>
    <row r="327" spans="1:30" ht="12.5" x14ac:dyDescent="0.25">
      <c r="J327" s="115"/>
      <c r="K327" s="115"/>
      <c r="L327" s="115"/>
      <c r="M327" s="115"/>
      <c r="N327" s="115"/>
      <c r="O327" s="115"/>
      <c r="P327" s="115"/>
    </row>
    <row r="328" spans="1:30" ht="12.5" x14ac:dyDescent="0.25">
      <c r="J328" s="115"/>
      <c r="K328" s="115"/>
      <c r="L328" s="115"/>
      <c r="M328" s="115"/>
      <c r="N328" s="115"/>
      <c r="O328" s="115"/>
      <c r="P328" s="115"/>
    </row>
    <row r="329" spans="1:30" ht="12.5" x14ac:dyDescent="0.25">
      <c r="J329" s="115"/>
      <c r="K329" s="115"/>
      <c r="L329" s="115"/>
      <c r="M329" s="115"/>
      <c r="N329" s="115"/>
      <c r="O329" s="115"/>
      <c r="P329" s="115"/>
    </row>
    <row r="330" spans="1:30" ht="12.5" x14ac:dyDescent="0.25">
      <c r="J330" s="115"/>
      <c r="K330" s="115"/>
      <c r="L330" s="115"/>
      <c r="M330" s="115"/>
      <c r="N330" s="115"/>
      <c r="O330" s="115"/>
      <c r="P330" s="115"/>
    </row>
    <row r="331" spans="1:30" ht="12.5" x14ac:dyDescent="0.25">
      <c r="J331" s="115"/>
      <c r="K331" s="115"/>
      <c r="L331" s="115"/>
      <c r="M331" s="115"/>
      <c r="N331" s="115"/>
      <c r="O331" s="115"/>
      <c r="P331" s="115"/>
    </row>
    <row r="332" spans="1:30" ht="12.5" x14ac:dyDescent="0.25">
      <c r="J332" s="115"/>
      <c r="K332" s="115"/>
      <c r="L332" s="115"/>
      <c r="M332" s="115"/>
      <c r="N332" s="115"/>
      <c r="O332" s="115"/>
      <c r="P332" s="115"/>
    </row>
    <row r="333" spans="1:30" ht="12.5" x14ac:dyDescent="0.25">
      <c r="J333" s="115"/>
      <c r="K333" s="115"/>
      <c r="L333" s="115"/>
      <c r="M333" s="115"/>
      <c r="N333" s="115"/>
      <c r="O333" s="115"/>
      <c r="P333" s="115"/>
    </row>
    <row r="334" spans="1:30" ht="12.5" x14ac:dyDescent="0.25">
      <c r="J334" s="115"/>
      <c r="K334" s="115"/>
      <c r="L334" s="115"/>
      <c r="M334" s="115"/>
      <c r="N334" s="115"/>
      <c r="O334" s="115"/>
      <c r="P334" s="115"/>
    </row>
    <row r="335" spans="1:30" ht="12.5" x14ac:dyDescent="0.25">
      <c r="J335" s="115"/>
      <c r="K335" s="115"/>
      <c r="L335" s="115"/>
      <c r="M335" s="115"/>
      <c r="N335" s="115"/>
      <c r="O335" s="115"/>
      <c r="P335" s="115"/>
    </row>
    <row r="336" spans="1:30" ht="12.5" x14ac:dyDescent="0.25">
      <c r="J336" s="115"/>
      <c r="K336" s="115"/>
      <c r="L336" s="115"/>
      <c r="M336" s="115"/>
      <c r="N336" s="115"/>
      <c r="O336" s="115"/>
      <c r="P336" s="115"/>
    </row>
    <row r="337" spans="10:16" ht="12.5" x14ac:dyDescent="0.25">
      <c r="J337" s="115"/>
      <c r="K337" s="115"/>
      <c r="L337" s="115"/>
      <c r="M337" s="115"/>
      <c r="N337" s="115"/>
      <c r="O337" s="115"/>
      <c r="P337" s="115"/>
    </row>
    <row r="338" spans="10:16" ht="12.5" x14ac:dyDescent="0.25">
      <c r="J338" s="115"/>
      <c r="K338" s="115"/>
      <c r="L338" s="115"/>
      <c r="M338" s="115"/>
      <c r="N338" s="115"/>
      <c r="O338" s="115"/>
      <c r="P338" s="115"/>
    </row>
    <row r="339" spans="10:16" ht="12.5" x14ac:dyDescent="0.25">
      <c r="J339" s="115"/>
      <c r="K339" s="115"/>
      <c r="L339" s="115"/>
      <c r="M339" s="115"/>
      <c r="N339" s="115"/>
      <c r="O339" s="115"/>
      <c r="P339" s="115"/>
    </row>
    <row r="340" spans="10:16" ht="12.5" x14ac:dyDescent="0.25">
      <c r="J340" s="115"/>
      <c r="K340" s="115"/>
      <c r="L340" s="115"/>
      <c r="M340" s="115"/>
      <c r="N340" s="115"/>
      <c r="O340" s="115"/>
      <c r="P340" s="115"/>
    </row>
    <row r="341" spans="10:16" ht="12.5" x14ac:dyDescent="0.25">
      <c r="J341" s="115"/>
      <c r="K341" s="115"/>
      <c r="L341" s="115"/>
      <c r="M341" s="115"/>
      <c r="N341" s="115"/>
      <c r="O341" s="115"/>
      <c r="P341" s="115"/>
    </row>
    <row r="342" spans="10:16" ht="12.5" x14ac:dyDescent="0.25">
      <c r="J342" s="115"/>
      <c r="K342" s="115"/>
      <c r="L342" s="115"/>
      <c r="M342" s="115"/>
      <c r="N342" s="115"/>
      <c r="O342" s="115"/>
      <c r="P342" s="115"/>
    </row>
    <row r="343" spans="10:16" ht="12.5" x14ac:dyDescent="0.25">
      <c r="J343" s="115"/>
      <c r="K343" s="115"/>
      <c r="L343" s="115"/>
      <c r="M343" s="115"/>
      <c r="N343" s="115"/>
      <c r="O343" s="115"/>
      <c r="P343" s="115"/>
    </row>
    <row r="344" spans="10:16" ht="12.5" x14ac:dyDescent="0.25">
      <c r="J344" s="115"/>
      <c r="K344" s="115"/>
      <c r="L344" s="115"/>
      <c r="M344" s="115"/>
      <c r="N344" s="115"/>
      <c r="O344" s="115"/>
      <c r="P344" s="115"/>
    </row>
    <row r="345" spans="10:16" ht="12.5" x14ac:dyDescent="0.25">
      <c r="J345" s="115"/>
      <c r="K345" s="115"/>
      <c r="L345" s="115"/>
      <c r="M345" s="115"/>
      <c r="N345" s="115"/>
      <c r="O345" s="115"/>
      <c r="P345" s="115"/>
    </row>
    <row r="346" spans="10:16" ht="12.5" x14ac:dyDescent="0.25">
      <c r="J346" s="115"/>
      <c r="K346" s="115"/>
      <c r="L346" s="115"/>
      <c r="M346" s="115"/>
      <c r="N346" s="115"/>
      <c r="O346" s="115"/>
      <c r="P346" s="115"/>
    </row>
    <row r="347" spans="10:16" ht="12.5" x14ac:dyDescent="0.25">
      <c r="J347" s="115"/>
      <c r="K347" s="115"/>
      <c r="L347" s="115"/>
      <c r="M347" s="115"/>
      <c r="N347" s="115"/>
      <c r="O347" s="115"/>
      <c r="P347" s="115"/>
    </row>
    <row r="348" spans="10:16" ht="12.5" x14ac:dyDescent="0.25">
      <c r="J348" s="115"/>
      <c r="K348" s="115"/>
      <c r="L348" s="115"/>
      <c r="M348" s="115"/>
      <c r="N348" s="115"/>
      <c r="O348" s="115"/>
      <c r="P348" s="115"/>
    </row>
    <row r="349" spans="10:16" ht="12.5" x14ac:dyDescent="0.25">
      <c r="J349" s="115"/>
      <c r="K349" s="115"/>
      <c r="L349" s="115"/>
      <c r="M349" s="115"/>
      <c r="N349" s="115"/>
      <c r="O349" s="115"/>
      <c r="P349" s="115"/>
    </row>
    <row r="350" spans="10:16" ht="12.5" x14ac:dyDescent="0.25">
      <c r="J350" s="115"/>
      <c r="K350" s="115"/>
      <c r="L350" s="115"/>
      <c r="M350" s="115"/>
      <c r="N350" s="115"/>
      <c r="O350" s="115"/>
      <c r="P350" s="115"/>
    </row>
    <row r="351" spans="10:16" ht="12.5" x14ac:dyDescent="0.25">
      <c r="J351" s="115"/>
      <c r="K351" s="115"/>
      <c r="L351" s="115"/>
      <c r="M351" s="115"/>
      <c r="N351" s="115"/>
      <c r="O351" s="115"/>
      <c r="P351" s="115"/>
    </row>
    <row r="352" spans="10:16" ht="12.5" x14ac:dyDescent="0.25">
      <c r="J352" s="115"/>
      <c r="K352" s="115"/>
      <c r="L352" s="115"/>
      <c r="M352" s="115"/>
      <c r="N352" s="115"/>
      <c r="O352" s="115"/>
      <c r="P352" s="115"/>
    </row>
    <row r="353" spans="10:16" ht="12.5" x14ac:dyDescent="0.25">
      <c r="J353" s="115"/>
      <c r="K353" s="115"/>
      <c r="L353" s="115"/>
      <c r="M353" s="115"/>
      <c r="N353" s="115"/>
      <c r="O353" s="115"/>
      <c r="P353" s="115"/>
    </row>
    <row r="354" spans="10:16" ht="12.5" x14ac:dyDescent="0.25">
      <c r="J354" s="115"/>
      <c r="K354" s="115"/>
      <c r="L354" s="115"/>
      <c r="M354" s="115"/>
      <c r="N354" s="115"/>
      <c r="O354" s="115"/>
      <c r="P354" s="115"/>
    </row>
    <row r="355" spans="10:16" ht="12.5" x14ac:dyDescent="0.25">
      <c r="J355" s="115"/>
      <c r="K355" s="115"/>
      <c r="L355" s="115"/>
      <c r="M355" s="115"/>
      <c r="N355" s="115"/>
      <c r="O355" s="115"/>
      <c r="P355" s="115"/>
    </row>
    <row r="356" spans="10:16" ht="12.5" x14ac:dyDescent="0.25">
      <c r="J356" s="115"/>
      <c r="K356" s="115"/>
      <c r="L356" s="115"/>
      <c r="M356" s="115"/>
      <c r="N356" s="115"/>
      <c r="O356" s="115"/>
      <c r="P356" s="115"/>
    </row>
    <row r="357" spans="10:16" ht="12.5" x14ac:dyDescent="0.25">
      <c r="J357" s="115"/>
      <c r="K357" s="115"/>
      <c r="L357" s="115"/>
      <c r="M357" s="115"/>
      <c r="N357" s="115"/>
      <c r="O357" s="115"/>
      <c r="P357" s="115"/>
    </row>
    <row r="358" spans="10:16" ht="12.5" x14ac:dyDescent="0.25">
      <c r="J358" s="115"/>
      <c r="K358" s="115"/>
      <c r="L358" s="115"/>
      <c r="M358" s="115"/>
      <c r="N358" s="115"/>
      <c r="O358" s="115"/>
      <c r="P358" s="115"/>
    </row>
    <row r="359" spans="10:16" ht="12.5" x14ac:dyDescent="0.25">
      <c r="J359" s="115"/>
      <c r="K359" s="115"/>
      <c r="L359" s="115"/>
      <c r="M359" s="115"/>
      <c r="N359" s="115"/>
      <c r="O359" s="115"/>
      <c r="P359" s="115"/>
    </row>
    <row r="360" spans="10:16" ht="12.5" x14ac:dyDescent="0.25">
      <c r="J360" s="115"/>
      <c r="K360" s="115"/>
      <c r="L360" s="115"/>
      <c r="M360" s="115"/>
      <c r="N360" s="115"/>
      <c r="O360" s="115"/>
      <c r="P360" s="115"/>
    </row>
    <row r="361" spans="10:16" ht="12.5" x14ac:dyDescent="0.25">
      <c r="J361" s="115"/>
      <c r="K361" s="115"/>
      <c r="L361" s="115"/>
      <c r="M361" s="115"/>
      <c r="N361" s="115"/>
      <c r="O361" s="115"/>
      <c r="P361" s="115"/>
    </row>
    <row r="362" spans="10:16" ht="12.5" x14ac:dyDescent="0.25">
      <c r="J362" s="115"/>
      <c r="K362" s="115"/>
      <c r="L362" s="115"/>
      <c r="M362" s="115"/>
      <c r="N362" s="115"/>
      <c r="O362" s="115"/>
      <c r="P362" s="115"/>
    </row>
    <row r="363" spans="10:16" ht="12.5" x14ac:dyDescent="0.25">
      <c r="J363" s="115"/>
      <c r="K363" s="115"/>
      <c r="L363" s="115"/>
      <c r="M363" s="115"/>
      <c r="N363" s="115"/>
      <c r="O363" s="115"/>
      <c r="P363" s="115"/>
    </row>
    <row r="364" spans="10:16" ht="12.5" x14ac:dyDescent="0.25">
      <c r="J364" s="115"/>
      <c r="K364" s="115"/>
      <c r="L364" s="115"/>
      <c r="M364" s="115"/>
      <c r="N364" s="115"/>
      <c r="O364" s="115"/>
      <c r="P364" s="115"/>
    </row>
    <row r="365" spans="10:16" ht="12.5" x14ac:dyDescent="0.25">
      <c r="J365" s="115"/>
      <c r="K365" s="115"/>
      <c r="L365" s="115"/>
      <c r="M365" s="115"/>
      <c r="N365" s="115"/>
      <c r="O365" s="115"/>
      <c r="P365" s="115"/>
    </row>
    <row r="366" spans="10:16" ht="12.5" x14ac:dyDescent="0.25">
      <c r="J366" s="115"/>
      <c r="K366" s="115"/>
      <c r="L366" s="115"/>
      <c r="M366" s="115"/>
      <c r="N366" s="115"/>
      <c r="O366" s="115"/>
      <c r="P366" s="115"/>
    </row>
    <row r="367" spans="10:16" ht="12.5" x14ac:dyDescent="0.25">
      <c r="J367" s="115"/>
      <c r="K367" s="115"/>
      <c r="L367" s="115"/>
      <c r="M367" s="115"/>
      <c r="N367" s="115"/>
      <c r="O367" s="115"/>
      <c r="P367" s="115"/>
    </row>
    <row r="368" spans="10:16" ht="12.5" x14ac:dyDescent="0.25">
      <c r="J368" s="115"/>
      <c r="K368" s="115"/>
      <c r="L368" s="115"/>
      <c r="M368" s="115"/>
      <c r="N368" s="115"/>
      <c r="O368" s="115"/>
      <c r="P368" s="115"/>
    </row>
    <row r="369" spans="10:16" ht="12.5" x14ac:dyDescent="0.25">
      <c r="J369" s="115"/>
      <c r="K369" s="115"/>
      <c r="L369" s="115"/>
      <c r="M369" s="115"/>
      <c r="N369" s="115"/>
      <c r="O369" s="115"/>
      <c r="P369" s="115"/>
    </row>
    <row r="370" spans="10:16" ht="12.5" x14ac:dyDescent="0.25">
      <c r="J370" s="115"/>
      <c r="K370" s="115"/>
      <c r="L370" s="115"/>
      <c r="M370" s="115"/>
      <c r="N370" s="115"/>
      <c r="O370" s="115"/>
      <c r="P370" s="115"/>
    </row>
    <row r="371" spans="10:16" ht="12.5" x14ac:dyDescent="0.25">
      <c r="J371" s="115"/>
      <c r="K371" s="115"/>
      <c r="L371" s="115"/>
      <c r="M371" s="115"/>
      <c r="N371" s="115"/>
      <c r="O371" s="115"/>
      <c r="P371" s="115"/>
    </row>
    <row r="372" spans="10:16" ht="12.5" x14ac:dyDescent="0.25">
      <c r="J372" s="115"/>
      <c r="K372" s="115"/>
      <c r="L372" s="115"/>
      <c r="M372" s="115"/>
      <c r="N372" s="115"/>
      <c r="O372" s="115"/>
      <c r="P372" s="115"/>
    </row>
    <row r="373" spans="10:16" ht="12.5" x14ac:dyDescent="0.25">
      <c r="J373" s="115"/>
      <c r="K373" s="115"/>
      <c r="L373" s="115"/>
      <c r="M373" s="115"/>
      <c r="N373" s="115"/>
      <c r="O373" s="115"/>
      <c r="P373" s="115"/>
    </row>
    <row r="374" spans="10:16" ht="12.5" x14ac:dyDescent="0.25">
      <c r="J374" s="115"/>
      <c r="K374" s="115"/>
      <c r="L374" s="115"/>
      <c r="M374" s="115"/>
      <c r="N374" s="115"/>
      <c r="O374" s="115"/>
      <c r="P374" s="115"/>
    </row>
    <row r="375" spans="10:16" ht="12.5" x14ac:dyDescent="0.25">
      <c r="J375" s="115"/>
      <c r="K375" s="115"/>
      <c r="L375" s="115"/>
      <c r="M375" s="115"/>
      <c r="N375" s="115"/>
      <c r="O375" s="115"/>
      <c r="P375" s="115"/>
    </row>
    <row r="376" spans="10:16" ht="12.5" x14ac:dyDescent="0.25">
      <c r="J376" s="115"/>
      <c r="K376" s="115"/>
      <c r="L376" s="115"/>
      <c r="M376" s="115"/>
      <c r="N376" s="115"/>
      <c r="O376" s="115"/>
      <c r="P376" s="115"/>
    </row>
    <row r="377" spans="10:16" ht="12.5" x14ac:dyDescent="0.25">
      <c r="J377" s="115"/>
      <c r="K377" s="115"/>
      <c r="L377" s="115"/>
      <c r="M377" s="115"/>
      <c r="N377" s="115"/>
      <c r="O377" s="115"/>
      <c r="P377" s="115"/>
    </row>
    <row r="378" spans="10:16" ht="12.5" x14ac:dyDescent="0.25">
      <c r="J378" s="115"/>
      <c r="K378" s="115"/>
      <c r="L378" s="115"/>
      <c r="M378" s="115"/>
      <c r="N378" s="115"/>
      <c r="O378" s="115"/>
      <c r="P378" s="115"/>
    </row>
    <row r="379" spans="10:16" ht="12.5" x14ac:dyDescent="0.25">
      <c r="J379" s="115"/>
      <c r="K379" s="115"/>
      <c r="L379" s="115"/>
      <c r="M379" s="115"/>
      <c r="N379" s="115"/>
      <c r="O379" s="115"/>
      <c r="P379" s="115"/>
    </row>
    <row r="380" spans="10:16" ht="12.5" x14ac:dyDescent="0.25">
      <c r="J380" s="115"/>
      <c r="K380" s="115"/>
      <c r="L380" s="115"/>
      <c r="M380" s="115"/>
      <c r="N380" s="115"/>
      <c r="O380" s="115"/>
      <c r="P380" s="115"/>
    </row>
    <row r="381" spans="10:16" ht="12.5" x14ac:dyDescent="0.25">
      <c r="J381" s="115"/>
      <c r="K381" s="115"/>
      <c r="L381" s="115"/>
      <c r="M381" s="115"/>
      <c r="N381" s="115"/>
      <c r="O381" s="115"/>
      <c r="P381" s="115"/>
    </row>
    <row r="382" spans="10:16" ht="12.5" x14ac:dyDescent="0.25">
      <c r="J382" s="115"/>
      <c r="K382" s="115"/>
      <c r="L382" s="115"/>
      <c r="M382" s="115"/>
      <c r="N382" s="115"/>
      <c r="O382" s="115"/>
      <c r="P382" s="115"/>
    </row>
    <row r="383" spans="10:16" ht="12.5" x14ac:dyDescent="0.25">
      <c r="J383" s="115"/>
      <c r="K383" s="115"/>
      <c r="L383" s="115"/>
      <c r="M383" s="115"/>
      <c r="N383" s="115"/>
      <c r="O383" s="115"/>
      <c r="P383" s="115"/>
    </row>
    <row r="384" spans="10:16" ht="12.5" x14ac:dyDescent="0.25">
      <c r="J384" s="115"/>
      <c r="K384" s="115"/>
      <c r="L384" s="115"/>
      <c r="M384" s="115"/>
      <c r="N384" s="115"/>
      <c r="O384" s="115"/>
      <c r="P384" s="115"/>
    </row>
    <row r="385" spans="10:16" ht="12.5" x14ac:dyDescent="0.25">
      <c r="J385" s="115"/>
      <c r="K385" s="115"/>
      <c r="L385" s="115"/>
      <c r="M385" s="115"/>
      <c r="N385" s="115"/>
      <c r="O385" s="115"/>
      <c r="P385" s="115"/>
    </row>
    <row r="386" spans="10:16" ht="12.5" x14ac:dyDescent="0.25">
      <c r="J386" s="115"/>
      <c r="K386" s="115"/>
      <c r="L386" s="115"/>
      <c r="M386" s="115"/>
      <c r="N386" s="115"/>
      <c r="O386" s="115"/>
      <c r="P386" s="115"/>
    </row>
    <row r="387" spans="10:16" ht="12.5" x14ac:dyDescent="0.25">
      <c r="J387" s="115"/>
      <c r="K387" s="115"/>
      <c r="L387" s="115"/>
      <c r="M387" s="115"/>
      <c r="N387" s="115"/>
      <c r="O387" s="115"/>
      <c r="P387" s="115"/>
    </row>
    <row r="388" spans="10:16" ht="12.5" x14ac:dyDescent="0.25">
      <c r="J388" s="115"/>
      <c r="K388" s="115"/>
      <c r="L388" s="115"/>
      <c r="M388" s="115"/>
      <c r="N388" s="115"/>
      <c r="O388" s="115"/>
      <c r="P388" s="115"/>
    </row>
    <row r="389" spans="10:16" ht="12.5" x14ac:dyDescent="0.25">
      <c r="J389" s="115"/>
      <c r="K389" s="115"/>
      <c r="L389" s="115"/>
      <c r="M389" s="115"/>
      <c r="N389" s="115"/>
      <c r="O389" s="115"/>
      <c r="P389" s="115"/>
    </row>
    <row r="390" spans="10:16" ht="12.5" x14ac:dyDescent="0.25">
      <c r="J390" s="115"/>
      <c r="K390" s="115"/>
      <c r="L390" s="115"/>
      <c r="M390" s="115"/>
      <c r="N390" s="115"/>
      <c r="O390" s="115"/>
      <c r="P390" s="115"/>
    </row>
    <row r="391" spans="10:16" ht="12.5" x14ac:dyDescent="0.25">
      <c r="J391" s="115"/>
      <c r="K391" s="115"/>
      <c r="L391" s="115"/>
      <c r="M391" s="115"/>
      <c r="N391" s="115"/>
      <c r="O391" s="115"/>
      <c r="P391" s="115"/>
    </row>
    <row r="392" spans="10:16" ht="12.5" x14ac:dyDescent="0.25">
      <c r="J392" s="115"/>
      <c r="K392" s="115"/>
      <c r="L392" s="115"/>
      <c r="M392" s="115"/>
      <c r="N392" s="115"/>
      <c r="O392" s="115"/>
      <c r="P392" s="115"/>
    </row>
    <row r="393" spans="10:16" ht="12.5" x14ac:dyDescent="0.25">
      <c r="J393" s="115"/>
      <c r="K393" s="115"/>
      <c r="L393" s="115"/>
      <c r="M393" s="115"/>
      <c r="N393" s="115"/>
      <c r="O393" s="115"/>
      <c r="P393" s="115"/>
    </row>
    <row r="394" spans="10:16" ht="12.5" x14ac:dyDescent="0.25">
      <c r="J394" s="115"/>
      <c r="K394" s="115"/>
      <c r="L394" s="115"/>
      <c r="M394" s="115"/>
      <c r="N394" s="115"/>
      <c r="O394" s="115"/>
      <c r="P394" s="115"/>
    </row>
    <row r="395" spans="10:16" ht="12.5" x14ac:dyDescent="0.25">
      <c r="J395" s="115"/>
      <c r="K395" s="115"/>
      <c r="L395" s="115"/>
      <c r="M395" s="115"/>
      <c r="N395" s="115"/>
      <c r="O395" s="115"/>
      <c r="P395" s="115"/>
    </row>
    <row r="396" spans="10:16" ht="12.5" x14ac:dyDescent="0.25">
      <c r="J396" s="115"/>
      <c r="K396" s="115"/>
      <c r="L396" s="115"/>
      <c r="M396" s="115"/>
      <c r="N396" s="115"/>
      <c r="O396" s="115"/>
      <c r="P396" s="115"/>
    </row>
    <row r="397" spans="10:16" ht="12.5" x14ac:dyDescent="0.25">
      <c r="J397" s="115"/>
      <c r="K397" s="115"/>
      <c r="L397" s="115"/>
      <c r="M397" s="115"/>
      <c r="N397" s="115"/>
      <c r="O397" s="115"/>
      <c r="P397" s="115"/>
    </row>
    <row r="398" spans="10:16" ht="12.5" x14ac:dyDescent="0.25">
      <c r="J398" s="115"/>
      <c r="K398" s="115"/>
      <c r="L398" s="115"/>
      <c r="M398" s="115"/>
      <c r="N398" s="115"/>
      <c r="O398" s="115"/>
      <c r="P398" s="115"/>
    </row>
    <row r="399" spans="10:16" ht="12.5" x14ac:dyDescent="0.25">
      <c r="J399" s="115"/>
      <c r="K399" s="115"/>
      <c r="L399" s="115"/>
      <c r="M399" s="115"/>
      <c r="N399" s="115"/>
      <c r="O399" s="115"/>
      <c r="P399" s="115"/>
    </row>
    <row r="400" spans="10:16" ht="12.5" x14ac:dyDescent="0.25">
      <c r="J400" s="115"/>
      <c r="K400" s="115"/>
      <c r="L400" s="115"/>
      <c r="M400" s="115"/>
      <c r="N400" s="115"/>
      <c r="O400" s="115"/>
      <c r="P400" s="115"/>
    </row>
    <row r="401" spans="10:16" ht="12.5" x14ac:dyDescent="0.25">
      <c r="J401" s="115"/>
      <c r="K401" s="115"/>
      <c r="L401" s="115"/>
      <c r="M401" s="115"/>
      <c r="N401" s="115"/>
      <c r="O401" s="115"/>
      <c r="P401" s="115"/>
    </row>
    <row r="402" spans="10:16" ht="12.5" x14ac:dyDescent="0.25">
      <c r="J402" s="115"/>
      <c r="K402" s="115"/>
      <c r="L402" s="115"/>
      <c r="M402" s="115"/>
      <c r="N402" s="115"/>
      <c r="O402" s="115"/>
      <c r="P402" s="115"/>
    </row>
    <row r="403" spans="10:16" ht="12.5" x14ac:dyDescent="0.25">
      <c r="J403" s="115"/>
      <c r="K403" s="115"/>
      <c r="L403" s="115"/>
      <c r="M403" s="115"/>
      <c r="N403" s="115"/>
      <c r="O403" s="115"/>
      <c r="P403" s="115"/>
    </row>
    <row r="404" spans="10:16" ht="12.5" x14ac:dyDescent="0.25">
      <c r="J404" s="115"/>
      <c r="K404" s="115"/>
      <c r="L404" s="115"/>
      <c r="M404" s="115"/>
      <c r="N404" s="115"/>
      <c r="O404" s="115"/>
      <c r="P404" s="115"/>
    </row>
    <row r="405" spans="10:16" ht="12.5" x14ac:dyDescent="0.25">
      <c r="J405" s="115"/>
      <c r="K405" s="115"/>
      <c r="L405" s="115"/>
      <c r="M405" s="115"/>
      <c r="N405" s="115"/>
      <c r="O405" s="115"/>
      <c r="P405" s="115"/>
    </row>
    <row r="406" spans="10:16" ht="12.5" x14ac:dyDescent="0.25">
      <c r="J406" s="115"/>
      <c r="K406" s="115"/>
      <c r="L406" s="115"/>
      <c r="M406" s="115"/>
      <c r="N406" s="115"/>
      <c r="O406" s="115"/>
      <c r="P406" s="115"/>
    </row>
    <row r="407" spans="10:16" ht="12.5" x14ac:dyDescent="0.25">
      <c r="J407" s="115"/>
      <c r="K407" s="115"/>
      <c r="L407" s="115"/>
      <c r="M407" s="115"/>
      <c r="N407" s="115"/>
      <c r="O407" s="115"/>
      <c r="P407" s="115"/>
    </row>
    <row r="408" spans="10:16" ht="12.5" x14ac:dyDescent="0.25">
      <c r="J408" s="115"/>
      <c r="K408" s="115"/>
      <c r="L408" s="115"/>
      <c r="M408" s="115"/>
      <c r="N408" s="115"/>
      <c r="O408" s="115"/>
      <c r="P408" s="115"/>
    </row>
    <row r="409" spans="10:16" ht="12.5" x14ac:dyDescent="0.25">
      <c r="J409" s="115"/>
      <c r="K409" s="115"/>
      <c r="L409" s="115"/>
      <c r="M409" s="115"/>
      <c r="N409" s="115"/>
      <c r="O409" s="115"/>
      <c r="P409" s="115"/>
    </row>
    <row r="410" spans="10:16" ht="12.5" x14ac:dyDescent="0.25">
      <c r="J410" s="115"/>
      <c r="K410" s="115"/>
      <c r="L410" s="115"/>
      <c r="M410" s="115"/>
      <c r="N410" s="115"/>
      <c r="O410" s="115"/>
      <c r="P410" s="115"/>
    </row>
    <row r="411" spans="10:16" ht="12.5" x14ac:dyDescent="0.25">
      <c r="J411" s="115"/>
      <c r="K411" s="115"/>
      <c r="L411" s="115"/>
      <c r="M411" s="115"/>
      <c r="N411" s="115"/>
      <c r="O411" s="115"/>
      <c r="P411" s="115"/>
    </row>
    <row r="412" spans="10:16" ht="12.5" x14ac:dyDescent="0.25">
      <c r="J412" s="115"/>
      <c r="K412" s="115"/>
      <c r="L412" s="115"/>
      <c r="M412" s="115"/>
      <c r="N412" s="115"/>
      <c r="O412" s="115"/>
      <c r="P412" s="115"/>
    </row>
    <row r="413" spans="10:16" ht="12.5" x14ac:dyDescent="0.25">
      <c r="J413" s="115"/>
      <c r="K413" s="115"/>
      <c r="L413" s="115"/>
      <c r="M413" s="115"/>
      <c r="N413" s="115"/>
      <c r="O413" s="115"/>
      <c r="P413" s="115"/>
    </row>
    <row r="414" spans="10:16" ht="12.5" x14ac:dyDescent="0.25">
      <c r="J414" s="115"/>
      <c r="K414" s="115"/>
      <c r="L414" s="115"/>
      <c r="M414" s="115"/>
      <c r="N414" s="115"/>
      <c r="O414" s="115"/>
      <c r="P414" s="115"/>
    </row>
    <row r="415" spans="10:16" ht="12.5" x14ac:dyDescent="0.25">
      <c r="J415" s="115"/>
      <c r="K415" s="115"/>
      <c r="L415" s="115"/>
      <c r="M415" s="115"/>
      <c r="N415" s="115"/>
      <c r="O415" s="115"/>
      <c r="P415" s="115"/>
    </row>
    <row r="416" spans="10:16" ht="12.5" x14ac:dyDescent="0.25">
      <c r="J416" s="115"/>
      <c r="K416" s="115"/>
      <c r="L416" s="115"/>
      <c r="M416" s="115"/>
      <c r="N416" s="115"/>
      <c r="O416" s="115"/>
      <c r="P416" s="115"/>
    </row>
    <row r="417" spans="10:16" ht="12.5" x14ac:dyDescent="0.25">
      <c r="J417" s="115"/>
      <c r="K417" s="115"/>
      <c r="L417" s="115"/>
      <c r="M417" s="115"/>
      <c r="N417" s="115"/>
      <c r="O417" s="115"/>
      <c r="P417" s="115"/>
    </row>
    <row r="418" spans="10:16" ht="12.5" x14ac:dyDescent="0.25">
      <c r="J418" s="115"/>
      <c r="K418" s="115"/>
      <c r="L418" s="115"/>
      <c r="M418" s="115"/>
      <c r="N418" s="115"/>
      <c r="O418" s="115"/>
      <c r="P418" s="115"/>
    </row>
    <row r="419" spans="10:16" ht="12.5" x14ac:dyDescent="0.25">
      <c r="J419" s="115"/>
      <c r="K419" s="115"/>
      <c r="L419" s="115"/>
      <c r="M419" s="115"/>
      <c r="N419" s="115"/>
      <c r="O419" s="115"/>
      <c r="P419" s="115"/>
    </row>
    <row r="420" spans="10:16" ht="12.5" x14ac:dyDescent="0.25">
      <c r="J420" s="115"/>
      <c r="K420" s="115"/>
      <c r="L420" s="115"/>
      <c r="M420" s="115"/>
      <c r="N420" s="115"/>
      <c r="O420" s="115"/>
      <c r="P420" s="115"/>
    </row>
    <row r="421" spans="10:16" ht="12.5" x14ac:dyDescent="0.25">
      <c r="J421" s="115"/>
      <c r="K421" s="115"/>
      <c r="L421" s="115"/>
      <c r="M421" s="115"/>
      <c r="N421" s="115"/>
      <c r="O421" s="115"/>
      <c r="P421" s="115"/>
    </row>
    <row r="422" spans="10:16" ht="12.5" x14ac:dyDescent="0.25">
      <c r="J422" s="115"/>
      <c r="K422" s="115"/>
      <c r="L422" s="115"/>
      <c r="M422" s="115"/>
      <c r="N422" s="115"/>
      <c r="O422" s="115"/>
      <c r="P422" s="115"/>
    </row>
    <row r="423" spans="10:16" ht="12.5" x14ac:dyDescent="0.25">
      <c r="J423" s="115"/>
      <c r="K423" s="115"/>
      <c r="L423" s="115"/>
      <c r="M423" s="115"/>
      <c r="N423" s="115"/>
      <c r="O423" s="115"/>
      <c r="P423" s="115"/>
    </row>
    <row r="424" spans="10:16" ht="12.5" x14ac:dyDescent="0.25">
      <c r="J424" s="115"/>
      <c r="K424" s="115"/>
      <c r="L424" s="115"/>
      <c r="M424" s="115"/>
      <c r="N424" s="115"/>
      <c r="O424" s="115"/>
      <c r="P424" s="115"/>
    </row>
    <row r="425" spans="10:16" ht="12.5" x14ac:dyDescent="0.25">
      <c r="J425" s="115"/>
      <c r="K425" s="115"/>
      <c r="L425" s="115"/>
      <c r="M425" s="115"/>
      <c r="N425" s="115"/>
      <c r="O425" s="115"/>
      <c r="P425" s="115"/>
    </row>
    <row r="426" spans="10:16" ht="12.5" x14ac:dyDescent="0.25">
      <c r="J426" s="115"/>
      <c r="K426" s="115"/>
      <c r="L426" s="115"/>
      <c r="M426" s="115"/>
      <c r="N426" s="115"/>
      <c r="O426" s="115"/>
      <c r="P426" s="115"/>
    </row>
    <row r="427" spans="10:16" ht="12.5" x14ac:dyDescent="0.25">
      <c r="J427" s="115"/>
      <c r="K427" s="115"/>
      <c r="L427" s="115"/>
      <c r="M427" s="115"/>
      <c r="N427" s="115"/>
      <c r="O427" s="115"/>
      <c r="P427" s="115"/>
    </row>
    <row r="428" spans="10:16" ht="12.5" x14ac:dyDescent="0.25">
      <c r="J428" s="115"/>
      <c r="K428" s="115"/>
      <c r="L428" s="115"/>
      <c r="M428" s="115"/>
      <c r="N428" s="115"/>
      <c r="O428" s="115"/>
      <c r="P428" s="115"/>
    </row>
    <row r="429" spans="10:16" ht="12.5" x14ac:dyDescent="0.25">
      <c r="J429" s="115"/>
      <c r="K429" s="115"/>
      <c r="L429" s="115"/>
      <c r="M429" s="115"/>
      <c r="N429" s="115"/>
      <c r="O429" s="115"/>
      <c r="P429" s="115"/>
    </row>
    <row r="430" spans="10:16" ht="12.5" x14ac:dyDescent="0.25">
      <c r="J430" s="115"/>
      <c r="K430" s="115"/>
      <c r="L430" s="115"/>
      <c r="M430" s="115"/>
      <c r="N430" s="115"/>
      <c r="O430" s="115"/>
      <c r="P430" s="115"/>
    </row>
    <row r="431" spans="10:16" ht="12.5" x14ac:dyDescent="0.25">
      <c r="J431" s="115"/>
      <c r="K431" s="115"/>
      <c r="L431" s="115"/>
      <c r="M431" s="115"/>
      <c r="N431" s="115"/>
      <c r="O431" s="115"/>
      <c r="P431" s="115"/>
    </row>
    <row r="432" spans="10:16" ht="12.5" x14ac:dyDescent="0.25">
      <c r="J432" s="115"/>
      <c r="K432" s="115"/>
      <c r="L432" s="115"/>
      <c r="M432" s="115"/>
      <c r="N432" s="115"/>
      <c r="O432" s="115"/>
      <c r="P432" s="115"/>
    </row>
    <row r="433" spans="10:16" ht="12.5" x14ac:dyDescent="0.25">
      <c r="J433" s="115"/>
      <c r="K433" s="115"/>
      <c r="L433" s="115"/>
      <c r="M433" s="115"/>
      <c r="N433" s="115"/>
      <c r="O433" s="115"/>
      <c r="P433" s="115"/>
    </row>
    <row r="434" spans="10:16" ht="12.5" x14ac:dyDescent="0.25">
      <c r="J434" s="115"/>
      <c r="K434" s="115"/>
      <c r="L434" s="115"/>
      <c r="M434" s="115"/>
      <c r="N434" s="115"/>
      <c r="O434" s="115"/>
      <c r="P434" s="115"/>
    </row>
    <row r="435" spans="10:16" ht="12.5" x14ac:dyDescent="0.25">
      <c r="J435" s="115"/>
      <c r="K435" s="115"/>
      <c r="L435" s="115"/>
      <c r="M435" s="115"/>
      <c r="N435" s="115"/>
      <c r="O435" s="115"/>
      <c r="P435" s="115"/>
    </row>
    <row r="436" spans="10:16" ht="12.5" x14ac:dyDescent="0.25">
      <c r="J436" s="115"/>
      <c r="K436" s="115"/>
      <c r="L436" s="115"/>
      <c r="M436" s="115"/>
      <c r="N436" s="115"/>
      <c r="O436" s="115"/>
      <c r="P436" s="115"/>
    </row>
    <row r="437" spans="10:16" ht="12.5" x14ac:dyDescent="0.25">
      <c r="J437" s="115"/>
      <c r="K437" s="115"/>
      <c r="L437" s="115"/>
      <c r="M437" s="115"/>
      <c r="N437" s="115"/>
      <c r="O437" s="115"/>
      <c r="P437" s="115"/>
    </row>
    <row r="438" spans="10:16" ht="12.5" x14ac:dyDescent="0.25">
      <c r="J438" s="115"/>
      <c r="K438" s="115"/>
      <c r="L438" s="115"/>
      <c r="M438" s="115"/>
      <c r="N438" s="115"/>
      <c r="O438" s="115"/>
      <c r="P438" s="115"/>
    </row>
    <row r="439" spans="10:16" ht="12.5" x14ac:dyDescent="0.25">
      <c r="J439" s="115"/>
      <c r="K439" s="115"/>
      <c r="L439" s="115"/>
      <c r="M439" s="115"/>
      <c r="N439" s="115"/>
      <c r="O439" s="115"/>
      <c r="P439" s="115"/>
    </row>
    <row r="440" spans="10:16" ht="12.5" x14ac:dyDescent="0.25">
      <c r="J440" s="115"/>
      <c r="K440" s="115"/>
      <c r="L440" s="115"/>
      <c r="M440" s="115"/>
      <c r="N440" s="115"/>
      <c r="O440" s="115"/>
      <c r="P440" s="115"/>
    </row>
    <row r="441" spans="10:16" ht="12.5" x14ac:dyDescent="0.25">
      <c r="J441" s="115"/>
      <c r="K441" s="115"/>
      <c r="L441" s="115"/>
      <c r="M441" s="115"/>
      <c r="N441" s="115"/>
      <c r="O441" s="115"/>
      <c r="P441" s="115"/>
    </row>
    <row r="442" spans="10:16" ht="12.5" x14ac:dyDescent="0.25">
      <c r="J442" s="115"/>
      <c r="K442" s="115"/>
      <c r="L442" s="115"/>
      <c r="M442" s="115"/>
      <c r="N442" s="115"/>
      <c r="O442" s="115"/>
      <c r="P442" s="115"/>
    </row>
    <row r="443" spans="10:16" ht="12.5" x14ac:dyDescent="0.25">
      <c r="J443" s="115"/>
      <c r="K443" s="115"/>
      <c r="L443" s="115"/>
      <c r="M443" s="115"/>
      <c r="N443" s="115"/>
      <c r="O443" s="115"/>
      <c r="P443" s="115"/>
    </row>
    <row r="444" spans="10:16" ht="12.5" x14ac:dyDescent="0.25">
      <c r="J444" s="115"/>
      <c r="K444" s="115"/>
      <c r="L444" s="115"/>
      <c r="M444" s="115"/>
      <c r="N444" s="115"/>
      <c r="O444" s="115"/>
      <c r="P444" s="115"/>
    </row>
    <row r="445" spans="10:16" ht="12.5" x14ac:dyDescent="0.25">
      <c r="J445" s="115"/>
      <c r="K445" s="115"/>
      <c r="L445" s="115"/>
      <c r="M445" s="115"/>
      <c r="N445" s="115"/>
      <c r="O445" s="115"/>
      <c r="P445" s="115"/>
    </row>
    <row r="446" spans="10:16" ht="12.5" x14ac:dyDescent="0.25">
      <c r="J446" s="115"/>
      <c r="K446" s="115"/>
      <c r="L446" s="115"/>
      <c r="M446" s="115"/>
      <c r="N446" s="115"/>
      <c r="O446" s="115"/>
      <c r="P446" s="115"/>
    </row>
    <row r="447" spans="10:16" ht="12.5" x14ac:dyDescent="0.25">
      <c r="J447" s="115"/>
      <c r="K447" s="115"/>
      <c r="L447" s="115"/>
      <c r="M447" s="115"/>
      <c r="N447" s="115"/>
      <c r="O447" s="115"/>
      <c r="P447" s="115"/>
    </row>
    <row r="448" spans="10:16" ht="12.5" x14ac:dyDescent="0.25">
      <c r="J448" s="115"/>
      <c r="K448" s="115"/>
      <c r="L448" s="115"/>
      <c r="M448" s="115"/>
      <c r="N448" s="115"/>
      <c r="O448" s="115"/>
      <c r="P448" s="115"/>
    </row>
    <row r="449" spans="10:16" ht="12.5" x14ac:dyDescent="0.25">
      <c r="J449" s="115"/>
      <c r="K449" s="115"/>
      <c r="L449" s="115"/>
      <c r="M449" s="115"/>
      <c r="N449" s="115"/>
      <c r="O449" s="115"/>
      <c r="P449" s="115"/>
    </row>
    <row r="450" spans="10:16" ht="12.5" x14ac:dyDescent="0.25">
      <c r="J450" s="115"/>
      <c r="K450" s="115"/>
      <c r="L450" s="115"/>
      <c r="M450" s="115"/>
      <c r="N450" s="115"/>
      <c r="O450" s="115"/>
      <c r="P450" s="115"/>
    </row>
    <row r="451" spans="10:16" ht="12.5" x14ac:dyDescent="0.25">
      <c r="J451" s="115"/>
      <c r="K451" s="115"/>
      <c r="L451" s="115"/>
      <c r="M451" s="115"/>
      <c r="N451" s="115"/>
      <c r="O451" s="115"/>
      <c r="P451" s="115"/>
    </row>
    <row r="452" spans="10:16" ht="12.5" x14ac:dyDescent="0.25">
      <c r="J452" s="115"/>
      <c r="K452" s="115"/>
      <c r="L452" s="115"/>
      <c r="M452" s="115"/>
      <c r="N452" s="115"/>
      <c r="O452" s="115"/>
      <c r="P452" s="115"/>
    </row>
    <row r="453" spans="10:16" ht="12.5" x14ac:dyDescent="0.25">
      <c r="J453" s="115"/>
      <c r="K453" s="115"/>
      <c r="L453" s="115"/>
      <c r="M453" s="115"/>
      <c r="N453" s="115"/>
      <c r="O453" s="115"/>
      <c r="P453" s="115"/>
    </row>
    <row r="454" spans="10:16" ht="12.5" x14ac:dyDescent="0.25">
      <c r="J454" s="115"/>
      <c r="K454" s="115"/>
      <c r="L454" s="115"/>
      <c r="M454" s="115"/>
      <c r="N454" s="115"/>
      <c r="O454" s="115"/>
      <c r="P454" s="115"/>
    </row>
    <row r="455" spans="10:16" ht="12.5" x14ac:dyDescent="0.25">
      <c r="J455" s="115"/>
      <c r="K455" s="115"/>
      <c r="L455" s="115"/>
      <c r="M455" s="115"/>
      <c r="N455" s="115"/>
      <c r="O455" s="115"/>
      <c r="P455" s="115"/>
    </row>
    <row r="456" spans="10:16" ht="12.5" x14ac:dyDescent="0.25">
      <c r="J456" s="115"/>
      <c r="K456" s="115"/>
      <c r="L456" s="115"/>
      <c r="M456" s="115"/>
      <c r="N456" s="115"/>
      <c r="O456" s="115"/>
      <c r="P456" s="115"/>
    </row>
    <row r="457" spans="10:16" ht="12.5" x14ac:dyDescent="0.25">
      <c r="J457" s="115"/>
      <c r="K457" s="115"/>
      <c r="L457" s="115"/>
      <c r="M457" s="115"/>
      <c r="N457" s="115"/>
      <c r="O457" s="115"/>
      <c r="P457" s="115"/>
    </row>
    <row r="458" spans="10:16" ht="12.5" x14ac:dyDescent="0.25">
      <c r="J458" s="115"/>
      <c r="K458" s="115"/>
      <c r="L458" s="115"/>
      <c r="M458" s="115"/>
      <c r="N458" s="115"/>
      <c r="O458" s="115"/>
      <c r="P458" s="115"/>
    </row>
    <row r="459" spans="10:16" ht="12.5" x14ac:dyDescent="0.25">
      <c r="J459" s="115"/>
      <c r="K459" s="115"/>
      <c r="L459" s="115"/>
      <c r="M459" s="115"/>
      <c r="N459" s="115"/>
      <c r="O459" s="115"/>
      <c r="P459" s="115"/>
    </row>
    <row r="460" spans="10:16" ht="12.5" x14ac:dyDescent="0.25">
      <c r="J460" s="115"/>
      <c r="K460" s="115"/>
      <c r="L460" s="115"/>
      <c r="M460" s="115"/>
      <c r="N460" s="115"/>
      <c r="O460" s="115"/>
      <c r="P460" s="115"/>
    </row>
    <row r="461" spans="10:16" ht="12.5" x14ac:dyDescent="0.25">
      <c r="J461" s="115"/>
      <c r="K461" s="115"/>
      <c r="L461" s="115"/>
      <c r="M461" s="115"/>
      <c r="N461" s="115"/>
      <c r="O461" s="115"/>
      <c r="P461" s="115"/>
    </row>
    <row r="462" spans="10:16" ht="12.5" x14ac:dyDescent="0.25">
      <c r="J462" s="115"/>
      <c r="K462" s="115"/>
      <c r="L462" s="115"/>
      <c r="M462" s="115"/>
      <c r="N462" s="115"/>
      <c r="O462" s="115"/>
      <c r="P462" s="115"/>
    </row>
    <row r="463" spans="10:16" ht="12.5" x14ac:dyDescent="0.25">
      <c r="J463" s="115"/>
      <c r="K463" s="115"/>
      <c r="L463" s="115"/>
      <c r="M463" s="115"/>
      <c r="N463" s="115"/>
      <c r="O463" s="115"/>
      <c r="P463" s="115"/>
    </row>
    <row r="464" spans="10:16" ht="12.5" x14ac:dyDescent="0.25">
      <c r="J464" s="115"/>
      <c r="K464" s="115"/>
      <c r="L464" s="115"/>
      <c r="M464" s="115"/>
      <c r="N464" s="115"/>
      <c r="O464" s="115"/>
      <c r="P464" s="115"/>
    </row>
    <row r="465" spans="10:16" ht="12.5" x14ac:dyDescent="0.25">
      <c r="J465" s="115"/>
      <c r="K465" s="115"/>
      <c r="L465" s="115"/>
      <c r="M465" s="115"/>
      <c r="N465" s="115"/>
      <c r="O465" s="115"/>
      <c r="P465" s="115"/>
    </row>
    <row r="466" spans="10:16" ht="12.5" x14ac:dyDescent="0.25">
      <c r="J466" s="115"/>
      <c r="K466" s="115"/>
      <c r="L466" s="115"/>
      <c r="M466" s="115"/>
      <c r="N466" s="115"/>
      <c r="O466" s="115"/>
      <c r="P466" s="115"/>
    </row>
    <row r="467" spans="10:16" ht="12.5" x14ac:dyDescent="0.25">
      <c r="J467" s="115"/>
      <c r="K467" s="115"/>
      <c r="L467" s="115"/>
      <c r="M467" s="115"/>
      <c r="N467" s="115"/>
      <c r="O467" s="115"/>
      <c r="P467" s="115"/>
    </row>
    <row r="468" spans="10:16" ht="12.5" x14ac:dyDescent="0.25">
      <c r="J468" s="115"/>
      <c r="K468" s="115"/>
      <c r="L468" s="115"/>
      <c r="M468" s="115"/>
      <c r="N468" s="115"/>
      <c r="O468" s="115"/>
      <c r="P468" s="115"/>
    </row>
    <row r="469" spans="10:16" ht="12.5" x14ac:dyDescent="0.25">
      <c r="J469" s="115"/>
      <c r="K469" s="115"/>
      <c r="L469" s="115"/>
      <c r="M469" s="115"/>
      <c r="N469" s="115"/>
      <c r="O469" s="115"/>
      <c r="P469" s="115"/>
    </row>
    <row r="470" spans="10:16" ht="12.5" x14ac:dyDescent="0.25">
      <c r="J470" s="115"/>
      <c r="K470" s="115"/>
      <c r="L470" s="115"/>
      <c r="M470" s="115"/>
      <c r="N470" s="115"/>
      <c r="O470" s="115"/>
      <c r="P470" s="115"/>
    </row>
    <row r="471" spans="10:16" ht="12.5" x14ac:dyDescent="0.25">
      <c r="J471" s="115"/>
      <c r="K471" s="115"/>
      <c r="L471" s="115"/>
      <c r="M471" s="115"/>
      <c r="N471" s="115"/>
      <c r="O471" s="115"/>
      <c r="P471" s="115"/>
    </row>
    <row r="472" spans="10:16" ht="12.5" x14ac:dyDescent="0.25">
      <c r="J472" s="115"/>
      <c r="K472" s="115"/>
      <c r="L472" s="115"/>
      <c r="M472" s="115"/>
      <c r="N472" s="115"/>
      <c r="O472" s="115"/>
      <c r="P472" s="115"/>
    </row>
    <row r="473" spans="10:16" ht="12.5" x14ac:dyDescent="0.25">
      <c r="J473" s="115"/>
      <c r="K473" s="115"/>
      <c r="L473" s="115"/>
      <c r="M473" s="115"/>
      <c r="N473" s="115"/>
      <c r="O473" s="115"/>
      <c r="P473" s="115"/>
    </row>
    <row r="474" spans="10:16" ht="12.5" x14ac:dyDescent="0.25">
      <c r="J474" s="115"/>
      <c r="K474" s="115"/>
      <c r="L474" s="115"/>
      <c r="M474" s="115"/>
      <c r="N474" s="115"/>
      <c r="O474" s="115"/>
      <c r="P474" s="115"/>
    </row>
    <row r="475" spans="10:16" ht="12.5" x14ac:dyDescent="0.25">
      <c r="J475" s="115"/>
      <c r="K475" s="115"/>
      <c r="L475" s="115"/>
      <c r="M475" s="115"/>
      <c r="N475" s="115"/>
      <c r="O475" s="115"/>
      <c r="P475" s="115"/>
    </row>
    <row r="476" spans="10:16" ht="12.5" x14ac:dyDescent="0.25">
      <c r="J476" s="115"/>
      <c r="K476" s="115"/>
      <c r="L476" s="115"/>
      <c r="M476" s="115"/>
      <c r="N476" s="115"/>
      <c r="O476" s="115"/>
      <c r="P476" s="115"/>
    </row>
    <row r="477" spans="10:16" ht="12.5" x14ac:dyDescent="0.25">
      <c r="J477" s="115"/>
      <c r="K477" s="115"/>
      <c r="L477" s="115"/>
      <c r="M477" s="115"/>
      <c r="N477" s="115"/>
      <c r="O477" s="115"/>
      <c r="P477" s="115"/>
    </row>
    <row r="478" spans="10:16" ht="12.5" x14ac:dyDescent="0.25">
      <c r="J478" s="115"/>
      <c r="K478" s="115"/>
      <c r="L478" s="115"/>
      <c r="M478" s="115"/>
      <c r="N478" s="115"/>
      <c r="O478" s="115"/>
      <c r="P478" s="115"/>
    </row>
    <row r="479" spans="10:16" ht="12.5" x14ac:dyDescent="0.25">
      <c r="J479" s="115"/>
      <c r="K479" s="115"/>
      <c r="L479" s="115"/>
      <c r="M479" s="115"/>
      <c r="N479" s="115"/>
      <c r="O479" s="115"/>
      <c r="P479" s="115"/>
    </row>
    <row r="480" spans="10:16" ht="12.5" x14ac:dyDescent="0.25">
      <c r="J480" s="115"/>
      <c r="K480" s="115"/>
      <c r="L480" s="115"/>
      <c r="M480" s="115"/>
      <c r="N480" s="115"/>
      <c r="O480" s="115"/>
      <c r="P480" s="115"/>
    </row>
    <row r="481" spans="10:16" ht="12.5" x14ac:dyDescent="0.25">
      <c r="J481" s="115"/>
      <c r="K481" s="115"/>
      <c r="L481" s="115"/>
      <c r="M481" s="115"/>
      <c r="N481" s="115"/>
      <c r="O481" s="115"/>
      <c r="P481" s="115"/>
    </row>
    <row r="482" spans="10:16" ht="12.5" x14ac:dyDescent="0.25">
      <c r="J482" s="115"/>
      <c r="K482" s="115"/>
      <c r="L482" s="115"/>
      <c r="M482" s="115"/>
      <c r="N482" s="115"/>
      <c r="O482" s="115"/>
      <c r="P482" s="115"/>
    </row>
    <row r="483" spans="10:16" ht="12.5" x14ac:dyDescent="0.25">
      <c r="J483" s="115"/>
      <c r="K483" s="115"/>
      <c r="L483" s="115"/>
      <c r="M483" s="115"/>
      <c r="N483" s="115"/>
      <c r="O483" s="115"/>
      <c r="P483" s="115"/>
    </row>
    <row r="484" spans="10:16" ht="12.5" x14ac:dyDescent="0.25">
      <c r="J484" s="115"/>
      <c r="K484" s="115"/>
      <c r="L484" s="115"/>
      <c r="M484" s="115"/>
      <c r="N484" s="115"/>
      <c r="O484" s="115"/>
      <c r="P484" s="115"/>
    </row>
    <row r="485" spans="10:16" ht="12.5" x14ac:dyDescent="0.25">
      <c r="J485" s="115"/>
      <c r="K485" s="115"/>
      <c r="L485" s="115"/>
      <c r="M485" s="115"/>
      <c r="N485" s="115"/>
      <c r="O485" s="115"/>
      <c r="P485" s="115"/>
    </row>
    <row r="486" spans="10:16" ht="12.5" x14ac:dyDescent="0.25">
      <c r="J486" s="115"/>
      <c r="K486" s="115"/>
      <c r="L486" s="115"/>
      <c r="M486" s="115"/>
      <c r="N486" s="115"/>
      <c r="O486" s="115"/>
      <c r="P486" s="115"/>
    </row>
    <row r="487" spans="10:16" ht="12.5" x14ac:dyDescent="0.25">
      <c r="J487" s="115"/>
      <c r="K487" s="115"/>
      <c r="L487" s="115"/>
      <c r="M487" s="115"/>
      <c r="N487" s="115"/>
      <c r="O487" s="115"/>
      <c r="P487" s="115"/>
    </row>
    <row r="488" spans="10:16" ht="12.5" x14ac:dyDescent="0.25">
      <c r="J488" s="115"/>
      <c r="K488" s="115"/>
      <c r="L488" s="115"/>
      <c r="M488" s="115"/>
      <c r="N488" s="115"/>
      <c r="O488" s="115"/>
      <c r="P488" s="115"/>
    </row>
    <row r="489" spans="10:16" ht="12.5" x14ac:dyDescent="0.25">
      <c r="J489" s="115"/>
      <c r="K489" s="115"/>
      <c r="L489" s="115"/>
      <c r="M489" s="115"/>
      <c r="N489" s="115"/>
      <c r="O489" s="115"/>
      <c r="P489" s="115"/>
    </row>
    <row r="490" spans="10:16" ht="12.5" x14ac:dyDescent="0.25">
      <c r="J490" s="115"/>
      <c r="K490" s="115"/>
      <c r="L490" s="115"/>
      <c r="M490" s="115"/>
      <c r="N490" s="115"/>
      <c r="O490" s="115"/>
      <c r="P490" s="115"/>
    </row>
    <row r="491" spans="10:16" ht="12.5" x14ac:dyDescent="0.25">
      <c r="J491" s="115"/>
      <c r="K491" s="115"/>
      <c r="L491" s="115"/>
      <c r="M491" s="115"/>
      <c r="N491" s="115"/>
      <c r="O491" s="115"/>
      <c r="P491" s="115"/>
    </row>
    <row r="492" spans="10:16" ht="12.5" x14ac:dyDescent="0.25">
      <c r="J492" s="115"/>
      <c r="K492" s="115"/>
      <c r="L492" s="115"/>
      <c r="M492" s="115"/>
      <c r="N492" s="115"/>
      <c r="O492" s="115"/>
      <c r="P492" s="115"/>
    </row>
    <row r="493" spans="10:16" ht="12.5" x14ac:dyDescent="0.25">
      <c r="J493" s="115"/>
      <c r="K493" s="115"/>
      <c r="L493" s="115"/>
      <c r="M493" s="115"/>
      <c r="N493" s="115"/>
      <c r="O493" s="115"/>
      <c r="P493" s="115"/>
    </row>
    <row r="494" spans="10:16" ht="12.5" x14ac:dyDescent="0.25">
      <c r="J494" s="115"/>
      <c r="K494" s="115"/>
      <c r="L494" s="115"/>
      <c r="M494" s="115"/>
      <c r="N494" s="115"/>
      <c r="O494" s="115"/>
      <c r="P494" s="115"/>
    </row>
    <row r="495" spans="10:16" ht="12.5" x14ac:dyDescent="0.25">
      <c r="J495" s="115"/>
      <c r="K495" s="115"/>
      <c r="L495" s="115"/>
      <c r="M495" s="115"/>
      <c r="N495" s="115"/>
      <c r="O495" s="115"/>
      <c r="P495" s="115"/>
    </row>
    <row r="496" spans="10:16" ht="12.5" x14ac:dyDescent="0.25">
      <c r="J496" s="115"/>
      <c r="K496" s="115"/>
      <c r="L496" s="115"/>
      <c r="M496" s="115"/>
      <c r="N496" s="115"/>
      <c r="O496" s="115"/>
      <c r="P496" s="115"/>
    </row>
    <row r="497" spans="10:16" ht="12.5" x14ac:dyDescent="0.25">
      <c r="J497" s="115"/>
      <c r="K497" s="115"/>
      <c r="L497" s="115"/>
      <c r="M497" s="115"/>
      <c r="N497" s="115"/>
      <c r="O497" s="115"/>
      <c r="P497" s="115"/>
    </row>
    <row r="498" spans="10:16" ht="12.5" x14ac:dyDescent="0.25">
      <c r="J498" s="115"/>
      <c r="K498" s="115"/>
      <c r="L498" s="115"/>
      <c r="M498" s="115"/>
      <c r="N498" s="115"/>
      <c r="O498" s="115"/>
      <c r="P498" s="115"/>
    </row>
    <row r="499" spans="10:16" ht="12.5" x14ac:dyDescent="0.25">
      <c r="J499" s="115"/>
      <c r="K499" s="115"/>
      <c r="L499" s="115"/>
      <c r="M499" s="115"/>
      <c r="N499" s="115"/>
      <c r="O499" s="115"/>
      <c r="P499" s="115"/>
    </row>
    <row r="500" spans="10:16" ht="12.5" x14ac:dyDescent="0.25">
      <c r="J500" s="115"/>
      <c r="K500" s="115"/>
      <c r="L500" s="115"/>
      <c r="M500" s="115"/>
      <c r="N500" s="115"/>
      <c r="O500" s="115"/>
      <c r="P500" s="115"/>
    </row>
    <row r="501" spans="10:16" ht="12.5" x14ac:dyDescent="0.25">
      <c r="J501" s="115"/>
      <c r="K501" s="115"/>
      <c r="L501" s="115"/>
      <c r="M501" s="115"/>
      <c r="N501" s="115"/>
      <c r="O501" s="115"/>
      <c r="P501" s="115"/>
    </row>
    <row r="502" spans="10:16" ht="12.5" x14ac:dyDescent="0.25">
      <c r="J502" s="115"/>
      <c r="K502" s="115"/>
      <c r="L502" s="115"/>
      <c r="M502" s="115"/>
      <c r="N502" s="115"/>
      <c r="O502" s="115"/>
      <c r="P502" s="115"/>
    </row>
    <row r="503" spans="10:16" ht="12.5" x14ac:dyDescent="0.25">
      <c r="J503" s="115"/>
      <c r="K503" s="115"/>
      <c r="L503" s="115"/>
      <c r="M503" s="115"/>
      <c r="N503" s="115"/>
      <c r="O503" s="115"/>
      <c r="P503" s="115"/>
    </row>
    <row r="504" spans="10:16" ht="12.5" x14ac:dyDescent="0.25">
      <c r="J504" s="115"/>
      <c r="K504" s="115"/>
      <c r="L504" s="115"/>
      <c r="M504" s="115"/>
      <c r="N504" s="115"/>
      <c r="O504" s="115"/>
      <c r="P504" s="115"/>
    </row>
    <row r="505" spans="10:16" ht="12.5" x14ac:dyDescent="0.25">
      <c r="J505" s="115"/>
      <c r="K505" s="115"/>
      <c r="L505" s="115"/>
      <c r="M505" s="115"/>
      <c r="N505" s="115"/>
      <c r="O505" s="115"/>
      <c r="P505" s="115"/>
    </row>
    <row r="506" spans="10:16" ht="12.5" x14ac:dyDescent="0.25">
      <c r="J506" s="115"/>
      <c r="K506" s="115"/>
      <c r="L506" s="115"/>
      <c r="M506" s="115"/>
      <c r="N506" s="115"/>
      <c r="O506" s="115"/>
      <c r="P506" s="115"/>
    </row>
    <row r="507" spans="10:16" ht="12.5" x14ac:dyDescent="0.25">
      <c r="J507" s="115"/>
      <c r="K507" s="115"/>
      <c r="L507" s="115"/>
      <c r="M507" s="115"/>
      <c r="N507" s="115"/>
      <c r="O507" s="115"/>
      <c r="P507" s="115"/>
    </row>
    <row r="508" spans="10:16" ht="12.5" x14ac:dyDescent="0.25">
      <c r="J508" s="115"/>
      <c r="K508" s="115"/>
      <c r="L508" s="115"/>
      <c r="M508" s="115"/>
      <c r="N508" s="115"/>
      <c r="O508" s="115"/>
      <c r="P508" s="115"/>
    </row>
    <row r="509" spans="10:16" ht="12.5" x14ac:dyDescent="0.25">
      <c r="J509" s="115"/>
      <c r="K509" s="115"/>
      <c r="L509" s="115"/>
      <c r="M509" s="115"/>
      <c r="N509" s="115"/>
      <c r="O509" s="115"/>
      <c r="P509" s="115"/>
    </row>
    <row r="510" spans="10:16" ht="12.5" x14ac:dyDescent="0.25">
      <c r="J510" s="115"/>
      <c r="K510" s="115"/>
      <c r="L510" s="115"/>
      <c r="M510" s="115"/>
      <c r="N510" s="115"/>
      <c r="O510" s="115"/>
      <c r="P510" s="115"/>
    </row>
    <row r="511" spans="10:16" ht="12.5" x14ac:dyDescent="0.25">
      <c r="J511" s="115"/>
      <c r="K511" s="115"/>
      <c r="L511" s="115"/>
      <c r="M511" s="115"/>
      <c r="N511" s="115"/>
      <c r="O511" s="115"/>
      <c r="P511" s="115"/>
    </row>
    <row r="512" spans="10:16" ht="12.5" x14ac:dyDescent="0.25">
      <c r="J512" s="115"/>
      <c r="K512" s="115"/>
      <c r="L512" s="115"/>
      <c r="M512" s="115"/>
      <c r="N512" s="115"/>
      <c r="O512" s="115"/>
      <c r="P512" s="115"/>
    </row>
    <row r="513" spans="10:16" ht="12.5" x14ac:dyDescent="0.25">
      <c r="J513" s="115"/>
      <c r="K513" s="115"/>
      <c r="L513" s="115"/>
      <c r="M513" s="115"/>
      <c r="N513" s="115"/>
      <c r="O513" s="115"/>
      <c r="P513" s="115"/>
    </row>
    <row r="514" spans="10:16" ht="12.5" x14ac:dyDescent="0.25">
      <c r="J514" s="115"/>
      <c r="K514" s="115"/>
      <c r="L514" s="115"/>
      <c r="M514" s="115"/>
      <c r="N514" s="115"/>
      <c r="O514" s="115"/>
      <c r="P514" s="115"/>
    </row>
    <row r="515" spans="10:16" ht="12.5" x14ac:dyDescent="0.25">
      <c r="J515" s="115"/>
      <c r="K515" s="115"/>
      <c r="L515" s="115"/>
      <c r="M515" s="115"/>
      <c r="N515" s="115"/>
      <c r="O515" s="115"/>
      <c r="P515" s="115"/>
    </row>
    <row r="516" spans="10:16" ht="12.5" x14ac:dyDescent="0.25">
      <c r="J516" s="115"/>
      <c r="K516" s="115"/>
      <c r="L516" s="115"/>
      <c r="M516" s="115"/>
      <c r="N516" s="115"/>
      <c r="O516" s="115"/>
      <c r="P516" s="115"/>
    </row>
    <row r="517" spans="10:16" ht="12.5" x14ac:dyDescent="0.25">
      <c r="J517" s="115"/>
      <c r="K517" s="115"/>
      <c r="L517" s="115"/>
      <c r="M517" s="115"/>
      <c r="N517" s="115"/>
      <c r="O517" s="115"/>
      <c r="P517" s="115"/>
    </row>
    <row r="518" spans="10:16" ht="12.5" x14ac:dyDescent="0.25">
      <c r="J518" s="115"/>
      <c r="K518" s="115"/>
      <c r="L518" s="115"/>
      <c r="M518" s="115"/>
      <c r="N518" s="115"/>
      <c r="O518" s="115"/>
      <c r="P518" s="115"/>
    </row>
    <row r="519" spans="10:16" ht="12.5" x14ac:dyDescent="0.25">
      <c r="J519" s="115"/>
      <c r="K519" s="115"/>
      <c r="L519" s="115"/>
      <c r="M519" s="115"/>
      <c r="N519" s="115"/>
      <c r="O519" s="115"/>
      <c r="P519" s="115"/>
    </row>
    <row r="520" spans="10:16" ht="12.5" x14ac:dyDescent="0.25">
      <c r="J520" s="115"/>
      <c r="K520" s="115"/>
      <c r="L520" s="115"/>
      <c r="M520" s="115"/>
      <c r="N520" s="115"/>
      <c r="O520" s="115"/>
      <c r="P520" s="115"/>
    </row>
    <row r="521" spans="10:16" ht="12.5" x14ac:dyDescent="0.25">
      <c r="J521" s="115"/>
      <c r="K521" s="115"/>
      <c r="L521" s="115"/>
      <c r="M521" s="115"/>
      <c r="N521" s="115"/>
      <c r="O521" s="115"/>
      <c r="P521" s="115"/>
    </row>
    <row r="522" spans="10:16" ht="12.5" x14ac:dyDescent="0.25">
      <c r="J522" s="115"/>
      <c r="K522" s="115"/>
      <c r="L522" s="115"/>
      <c r="M522" s="115"/>
      <c r="N522" s="115"/>
      <c r="O522" s="115"/>
      <c r="P522" s="115"/>
    </row>
    <row r="523" spans="10:16" ht="12.5" x14ac:dyDescent="0.25">
      <c r="J523" s="115"/>
      <c r="K523" s="115"/>
      <c r="L523" s="115"/>
      <c r="M523" s="115"/>
      <c r="N523" s="115"/>
      <c r="O523" s="115"/>
      <c r="P523" s="115"/>
    </row>
    <row r="524" spans="10:16" ht="12.5" x14ac:dyDescent="0.25">
      <c r="J524" s="115"/>
      <c r="K524" s="115"/>
      <c r="L524" s="115"/>
      <c r="M524" s="115"/>
      <c r="N524" s="115"/>
      <c r="O524" s="115"/>
      <c r="P524" s="115"/>
    </row>
    <row r="525" spans="10:16" ht="12.5" x14ac:dyDescent="0.25">
      <c r="J525" s="115"/>
      <c r="K525" s="115"/>
      <c r="L525" s="115"/>
      <c r="M525" s="115"/>
      <c r="N525" s="115"/>
      <c r="O525" s="115"/>
      <c r="P525" s="115"/>
    </row>
    <row r="526" spans="10:16" ht="12.5" x14ac:dyDescent="0.25">
      <c r="J526" s="115"/>
      <c r="K526" s="115"/>
      <c r="L526" s="115"/>
      <c r="M526" s="115"/>
      <c r="N526" s="115"/>
      <c r="O526" s="115"/>
      <c r="P526" s="115"/>
    </row>
    <row r="527" spans="10:16" ht="12.5" x14ac:dyDescent="0.25">
      <c r="J527" s="115"/>
      <c r="K527" s="115"/>
      <c r="L527" s="115"/>
      <c r="M527" s="115"/>
      <c r="N527" s="115"/>
      <c r="O527" s="115"/>
      <c r="P527" s="115"/>
    </row>
    <row r="528" spans="10:16" ht="12.5" x14ac:dyDescent="0.25">
      <c r="J528" s="115"/>
      <c r="K528" s="115"/>
      <c r="L528" s="115"/>
      <c r="M528" s="115"/>
      <c r="N528" s="115"/>
      <c r="O528" s="115"/>
      <c r="P528" s="115"/>
    </row>
    <row r="529" spans="10:16" ht="12.5" x14ac:dyDescent="0.25">
      <c r="J529" s="115"/>
      <c r="K529" s="115"/>
      <c r="L529" s="115"/>
      <c r="M529" s="115"/>
      <c r="N529" s="115"/>
      <c r="O529" s="115"/>
      <c r="P529" s="115"/>
    </row>
    <row r="530" spans="10:16" ht="12.5" x14ac:dyDescent="0.25">
      <c r="J530" s="115"/>
      <c r="K530" s="115"/>
      <c r="L530" s="115"/>
      <c r="M530" s="115"/>
      <c r="N530" s="115"/>
      <c r="O530" s="115"/>
      <c r="P530" s="115"/>
    </row>
    <row r="531" spans="10:16" ht="12.5" x14ac:dyDescent="0.25">
      <c r="J531" s="115"/>
      <c r="K531" s="115"/>
      <c r="L531" s="115"/>
      <c r="M531" s="115"/>
      <c r="N531" s="115"/>
      <c r="O531" s="115"/>
      <c r="P531" s="115"/>
    </row>
    <row r="532" spans="10:16" ht="12.5" x14ac:dyDescent="0.25">
      <c r="J532" s="115"/>
      <c r="K532" s="115"/>
      <c r="L532" s="115"/>
      <c r="M532" s="115"/>
      <c r="N532" s="115"/>
      <c r="O532" s="115"/>
      <c r="P532" s="115"/>
    </row>
    <row r="533" spans="10:16" ht="12.5" x14ac:dyDescent="0.25">
      <c r="J533" s="115"/>
      <c r="K533" s="115"/>
      <c r="L533" s="115"/>
      <c r="M533" s="115"/>
      <c r="N533" s="115"/>
      <c r="O533" s="115"/>
      <c r="P533" s="115"/>
    </row>
    <row r="534" spans="10:16" ht="12.5" x14ac:dyDescent="0.25">
      <c r="J534" s="115"/>
      <c r="K534" s="115"/>
      <c r="L534" s="115"/>
      <c r="M534" s="115"/>
      <c r="N534" s="115"/>
      <c r="O534" s="115"/>
      <c r="P534" s="115"/>
    </row>
    <row r="535" spans="10:16" ht="12.5" x14ac:dyDescent="0.25">
      <c r="J535" s="115"/>
      <c r="K535" s="115"/>
      <c r="L535" s="115"/>
      <c r="M535" s="115"/>
      <c r="N535" s="115"/>
      <c r="O535" s="115"/>
      <c r="P535" s="115"/>
    </row>
    <row r="536" spans="10:16" ht="12.5" x14ac:dyDescent="0.25">
      <c r="J536" s="115"/>
      <c r="K536" s="115"/>
      <c r="L536" s="115"/>
      <c r="M536" s="115"/>
      <c r="N536" s="115"/>
      <c r="O536" s="115"/>
      <c r="P536" s="115"/>
    </row>
    <row r="537" spans="10:16" ht="12.5" x14ac:dyDescent="0.25">
      <c r="J537" s="115"/>
      <c r="K537" s="115"/>
      <c r="L537" s="115"/>
      <c r="M537" s="115"/>
      <c r="N537" s="115"/>
      <c r="O537" s="115"/>
      <c r="P537" s="115"/>
    </row>
    <row r="538" spans="10:16" ht="12.5" x14ac:dyDescent="0.25">
      <c r="J538" s="115"/>
      <c r="K538" s="115"/>
      <c r="L538" s="115"/>
      <c r="M538" s="115"/>
      <c r="N538" s="115"/>
      <c r="O538" s="115"/>
      <c r="P538" s="115"/>
    </row>
    <row r="539" spans="10:16" ht="12.5" x14ac:dyDescent="0.25">
      <c r="J539" s="115"/>
      <c r="K539" s="115"/>
      <c r="L539" s="115"/>
      <c r="M539" s="115"/>
      <c r="N539" s="115"/>
      <c r="O539" s="115"/>
      <c r="P539" s="115"/>
    </row>
    <row r="540" spans="10:16" ht="12.5" x14ac:dyDescent="0.25">
      <c r="J540" s="115"/>
      <c r="K540" s="115"/>
      <c r="L540" s="115"/>
      <c r="M540" s="115"/>
      <c r="N540" s="115"/>
      <c r="O540" s="115"/>
      <c r="P540" s="115"/>
    </row>
    <row r="541" spans="10:16" ht="12.5" x14ac:dyDescent="0.25">
      <c r="J541" s="115"/>
      <c r="K541" s="115"/>
      <c r="L541" s="115"/>
      <c r="M541" s="115"/>
      <c r="N541" s="115"/>
      <c r="O541" s="115"/>
      <c r="P541" s="115"/>
    </row>
    <row r="542" spans="10:16" ht="12.5" x14ac:dyDescent="0.25">
      <c r="J542" s="115"/>
      <c r="K542" s="115"/>
      <c r="L542" s="115"/>
      <c r="M542" s="115"/>
      <c r="N542" s="115"/>
      <c r="O542" s="115"/>
      <c r="P542" s="115"/>
    </row>
    <row r="543" spans="10:16" ht="12.5" x14ac:dyDescent="0.25">
      <c r="J543" s="115"/>
      <c r="K543" s="115"/>
      <c r="L543" s="115"/>
      <c r="M543" s="115"/>
      <c r="N543" s="115"/>
      <c r="O543" s="115"/>
      <c r="P543" s="115"/>
    </row>
    <row r="544" spans="10:16" ht="12.5" x14ac:dyDescent="0.25">
      <c r="J544" s="115"/>
      <c r="K544" s="115"/>
      <c r="L544" s="115"/>
      <c r="M544" s="115"/>
      <c r="N544" s="115"/>
      <c r="O544" s="115"/>
      <c r="P544" s="115"/>
    </row>
    <row r="545" spans="10:16" ht="12.5" x14ac:dyDescent="0.25">
      <c r="J545" s="115"/>
      <c r="K545" s="115"/>
      <c r="L545" s="115"/>
      <c r="M545" s="115"/>
      <c r="N545" s="115"/>
      <c r="O545" s="115"/>
      <c r="P545" s="115"/>
    </row>
    <row r="546" spans="10:16" ht="12.5" x14ac:dyDescent="0.25">
      <c r="J546" s="115"/>
      <c r="K546" s="115"/>
      <c r="L546" s="115"/>
      <c r="M546" s="115"/>
      <c r="N546" s="115"/>
      <c r="O546" s="115"/>
      <c r="P546" s="115"/>
    </row>
    <row r="547" spans="10:16" ht="12.5" x14ac:dyDescent="0.25">
      <c r="J547" s="115"/>
      <c r="K547" s="115"/>
      <c r="L547" s="115"/>
      <c r="M547" s="115"/>
      <c r="N547" s="115"/>
      <c r="O547" s="115"/>
      <c r="P547" s="115"/>
    </row>
    <row r="548" spans="10:16" ht="12.5" x14ac:dyDescent="0.25">
      <c r="J548" s="115"/>
      <c r="K548" s="115"/>
      <c r="L548" s="115"/>
      <c r="M548" s="115"/>
      <c r="N548" s="115"/>
      <c r="O548" s="115"/>
      <c r="P548" s="115"/>
    </row>
    <row r="549" spans="10:16" ht="12.5" x14ac:dyDescent="0.25">
      <c r="J549" s="115"/>
      <c r="K549" s="115"/>
      <c r="L549" s="115"/>
      <c r="M549" s="115"/>
      <c r="N549" s="115"/>
      <c r="O549" s="115"/>
      <c r="P549" s="115"/>
    </row>
    <row r="550" spans="10:16" ht="12.5" x14ac:dyDescent="0.25">
      <c r="J550" s="115"/>
      <c r="K550" s="115"/>
      <c r="L550" s="115"/>
      <c r="M550" s="115"/>
      <c r="N550" s="115"/>
      <c r="O550" s="115"/>
      <c r="P550" s="115"/>
    </row>
    <row r="551" spans="10:16" ht="12.5" x14ac:dyDescent="0.25">
      <c r="J551" s="115"/>
      <c r="K551" s="115"/>
      <c r="L551" s="115"/>
      <c r="M551" s="115"/>
      <c r="N551" s="115"/>
      <c r="O551" s="115"/>
      <c r="P551" s="115"/>
    </row>
    <row r="552" spans="10:16" ht="12.5" x14ac:dyDescent="0.25">
      <c r="J552" s="115"/>
      <c r="K552" s="115"/>
      <c r="L552" s="115"/>
      <c r="M552" s="115"/>
      <c r="N552" s="115"/>
      <c r="O552" s="115"/>
      <c r="P552" s="115"/>
    </row>
    <row r="553" spans="10:16" ht="12.5" x14ac:dyDescent="0.25">
      <c r="J553" s="115"/>
      <c r="K553" s="115"/>
      <c r="L553" s="115"/>
      <c r="M553" s="115"/>
      <c r="N553" s="115"/>
      <c r="O553" s="115"/>
      <c r="P553" s="115"/>
    </row>
    <row r="554" spans="10:16" ht="12.5" x14ac:dyDescent="0.25">
      <c r="J554" s="115"/>
      <c r="K554" s="115"/>
      <c r="L554" s="115"/>
      <c r="M554" s="115"/>
      <c r="N554" s="115"/>
      <c r="O554" s="115"/>
      <c r="P554" s="115"/>
    </row>
    <row r="555" spans="10:16" ht="12.5" x14ac:dyDescent="0.25">
      <c r="J555" s="115"/>
      <c r="K555" s="115"/>
      <c r="L555" s="115"/>
      <c r="M555" s="115"/>
      <c r="N555" s="115"/>
      <c r="O555" s="115"/>
      <c r="P555" s="115"/>
    </row>
    <row r="556" spans="10:16" ht="12.5" x14ac:dyDescent="0.25">
      <c r="J556" s="115"/>
      <c r="K556" s="115"/>
      <c r="L556" s="115"/>
      <c r="M556" s="115"/>
      <c r="N556" s="115"/>
      <c r="O556" s="115"/>
      <c r="P556" s="115"/>
    </row>
    <row r="557" spans="10:16" ht="12.5" x14ac:dyDescent="0.25">
      <c r="J557" s="115"/>
      <c r="K557" s="115"/>
      <c r="L557" s="115"/>
      <c r="M557" s="115"/>
      <c r="N557" s="115"/>
      <c r="O557" s="115"/>
      <c r="P557" s="115"/>
    </row>
    <row r="558" spans="10:16" ht="12.5" x14ac:dyDescent="0.25">
      <c r="J558" s="115"/>
      <c r="K558" s="115"/>
      <c r="L558" s="115"/>
      <c r="M558" s="115"/>
      <c r="N558" s="115"/>
      <c r="O558" s="115"/>
      <c r="P558" s="115"/>
    </row>
    <row r="559" spans="10:16" ht="12.5" x14ac:dyDescent="0.25">
      <c r="J559" s="115"/>
      <c r="K559" s="115"/>
      <c r="L559" s="115"/>
      <c r="M559" s="115"/>
      <c r="N559" s="115"/>
      <c r="O559" s="115"/>
      <c r="P559" s="115"/>
    </row>
    <row r="560" spans="10:16" ht="12.5" x14ac:dyDescent="0.25">
      <c r="J560" s="115"/>
      <c r="K560" s="115"/>
      <c r="L560" s="115"/>
      <c r="M560" s="115"/>
      <c r="N560" s="115"/>
      <c r="O560" s="115"/>
      <c r="P560" s="115"/>
    </row>
    <row r="561" spans="10:16" ht="12.5" x14ac:dyDescent="0.25">
      <c r="J561" s="115"/>
      <c r="K561" s="115"/>
      <c r="L561" s="115"/>
      <c r="M561" s="115"/>
      <c r="N561" s="115"/>
      <c r="O561" s="115"/>
      <c r="P561" s="115"/>
    </row>
    <row r="562" spans="10:16" ht="12.5" x14ac:dyDescent="0.25">
      <c r="J562" s="115"/>
      <c r="K562" s="115"/>
      <c r="L562" s="115"/>
      <c r="M562" s="115"/>
      <c r="N562" s="115"/>
      <c r="O562" s="115"/>
      <c r="P562" s="115"/>
    </row>
    <row r="563" spans="10:16" ht="12.5" x14ac:dyDescent="0.25">
      <c r="J563" s="115"/>
      <c r="K563" s="115"/>
      <c r="L563" s="115"/>
      <c r="M563" s="115"/>
      <c r="N563" s="115"/>
      <c r="O563" s="115"/>
      <c r="P563" s="115"/>
    </row>
    <row r="564" spans="10:16" ht="12.5" x14ac:dyDescent="0.25">
      <c r="J564" s="115"/>
      <c r="K564" s="115"/>
      <c r="L564" s="115"/>
      <c r="M564" s="115"/>
      <c r="N564" s="115"/>
      <c r="O564" s="115"/>
      <c r="P564" s="115"/>
    </row>
    <row r="565" spans="10:16" ht="12.5" x14ac:dyDescent="0.25">
      <c r="J565" s="115"/>
      <c r="K565" s="115"/>
      <c r="L565" s="115"/>
      <c r="M565" s="115"/>
      <c r="N565" s="115"/>
      <c r="O565" s="115"/>
      <c r="P565" s="115"/>
    </row>
    <row r="566" spans="10:16" ht="12.5" x14ac:dyDescent="0.25">
      <c r="J566" s="115"/>
      <c r="K566" s="115"/>
      <c r="L566" s="115"/>
      <c r="M566" s="115"/>
      <c r="N566" s="115"/>
      <c r="O566" s="115"/>
      <c r="P566" s="115"/>
    </row>
    <row r="567" spans="10:16" ht="12.5" x14ac:dyDescent="0.25">
      <c r="J567" s="115"/>
      <c r="K567" s="115"/>
      <c r="L567" s="115"/>
      <c r="M567" s="115"/>
      <c r="N567" s="115"/>
      <c r="O567" s="115"/>
      <c r="P567" s="115"/>
    </row>
    <row r="568" spans="10:16" ht="12.5" x14ac:dyDescent="0.25">
      <c r="J568" s="115"/>
      <c r="K568" s="115"/>
      <c r="L568" s="115"/>
      <c r="M568" s="115"/>
      <c r="N568" s="115"/>
      <c r="O568" s="115"/>
      <c r="P568" s="115"/>
    </row>
    <row r="569" spans="10:16" ht="12.5" x14ac:dyDescent="0.25">
      <c r="J569" s="115"/>
      <c r="K569" s="115"/>
      <c r="L569" s="115"/>
      <c r="M569" s="115"/>
      <c r="N569" s="115"/>
      <c r="O569" s="115"/>
      <c r="P569" s="115"/>
    </row>
    <row r="570" spans="10:16" ht="12.5" x14ac:dyDescent="0.25">
      <c r="J570" s="115"/>
      <c r="K570" s="115"/>
      <c r="L570" s="115"/>
      <c r="M570" s="115"/>
      <c r="N570" s="115"/>
      <c r="O570" s="115"/>
      <c r="P570" s="115"/>
    </row>
    <row r="571" spans="10:16" ht="12.5" x14ac:dyDescent="0.25">
      <c r="J571" s="115"/>
      <c r="K571" s="115"/>
      <c r="L571" s="115"/>
      <c r="M571" s="115"/>
      <c r="N571" s="115"/>
      <c r="O571" s="115"/>
      <c r="P571" s="115"/>
    </row>
    <row r="572" spans="10:16" ht="12.5" x14ac:dyDescent="0.25">
      <c r="J572" s="115"/>
      <c r="K572" s="115"/>
      <c r="L572" s="115"/>
      <c r="M572" s="115"/>
      <c r="N572" s="115"/>
      <c r="O572" s="115"/>
      <c r="P572" s="115"/>
    </row>
    <row r="573" spans="10:16" ht="12.5" x14ac:dyDescent="0.25">
      <c r="J573" s="115"/>
      <c r="K573" s="115"/>
      <c r="L573" s="115"/>
      <c r="M573" s="115"/>
      <c r="N573" s="115"/>
      <c r="O573" s="115"/>
      <c r="P573" s="115"/>
    </row>
    <row r="574" spans="10:16" ht="12.5" x14ac:dyDescent="0.25">
      <c r="J574" s="115"/>
      <c r="K574" s="115"/>
      <c r="L574" s="115"/>
      <c r="M574" s="115"/>
      <c r="N574" s="115"/>
      <c r="O574" s="115"/>
      <c r="P574" s="115"/>
    </row>
    <row r="575" spans="10:16" ht="12.5" x14ac:dyDescent="0.25">
      <c r="J575" s="115"/>
      <c r="K575" s="115"/>
      <c r="L575" s="115"/>
      <c r="M575" s="115"/>
      <c r="N575" s="115"/>
      <c r="O575" s="115"/>
      <c r="P575" s="115"/>
    </row>
    <row r="576" spans="10:16" ht="12.5" x14ac:dyDescent="0.25">
      <c r="J576" s="115"/>
      <c r="K576" s="115"/>
      <c r="L576" s="115"/>
      <c r="M576" s="115"/>
      <c r="N576" s="115"/>
      <c r="O576" s="115"/>
      <c r="P576" s="115"/>
    </row>
    <row r="577" spans="10:16" ht="12.5" x14ac:dyDescent="0.25">
      <c r="J577" s="115"/>
      <c r="K577" s="115"/>
      <c r="L577" s="115"/>
      <c r="M577" s="115"/>
      <c r="N577" s="115"/>
      <c r="O577" s="115"/>
      <c r="P577" s="115"/>
    </row>
    <row r="578" spans="10:16" ht="12.5" x14ac:dyDescent="0.25">
      <c r="J578" s="115"/>
      <c r="K578" s="115"/>
      <c r="L578" s="115"/>
      <c r="M578" s="115"/>
      <c r="N578" s="115"/>
      <c r="O578" s="115"/>
      <c r="P578" s="115"/>
    </row>
    <row r="579" spans="10:16" ht="12.5" x14ac:dyDescent="0.25">
      <c r="J579" s="115"/>
      <c r="K579" s="115"/>
      <c r="L579" s="115"/>
      <c r="M579" s="115"/>
      <c r="N579" s="115"/>
      <c r="O579" s="115"/>
      <c r="P579" s="115"/>
    </row>
    <row r="580" spans="10:16" ht="12.5" x14ac:dyDescent="0.25">
      <c r="J580" s="115"/>
      <c r="K580" s="115"/>
      <c r="L580" s="115"/>
      <c r="M580" s="115"/>
      <c r="N580" s="115"/>
      <c r="O580" s="115"/>
      <c r="P580" s="115"/>
    </row>
    <row r="581" spans="10:16" ht="12.5" x14ac:dyDescent="0.25">
      <c r="J581" s="115"/>
      <c r="K581" s="115"/>
      <c r="L581" s="115"/>
      <c r="M581" s="115"/>
      <c r="N581" s="115"/>
      <c r="O581" s="115"/>
      <c r="P581" s="115"/>
    </row>
    <row r="582" spans="10:16" ht="12.5" x14ac:dyDescent="0.25">
      <c r="J582" s="115"/>
      <c r="K582" s="115"/>
      <c r="L582" s="115"/>
      <c r="M582" s="115"/>
      <c r="N582" s="115"/>
      <c r="O582" s="115"/>
      <c r="P582" s="115"/>
    </row>
    <row r="583" spans="10:16" ht="12.5" x14ac:dyDescent="0.25">
      <c r="J583" s="115"/>
      <c r="K583" s="115"/>
      <c r="L583" s="115"/>
      <c r="M583" s="115"/>
      <c r="N583" s="115"/>
      <c r="O583" s="115"/>
      <c r="P583" s="115"/>
    </row>
    <row r="584" spans="10:16" ht="12.5" x14ac:dyDescent="0.25">
      <c r="J584" s="115"/>
      <c r="K584" s="115"/>
      <c r="L584" s="115"/>
      <c r="M584" s="115"/>
      <c r="N584" s="115"/>
      <c r="O584" s="115"/>
      <c r="P584" s="115"/>
    </row>
    <row r="585" spans="10:16" ht="12.5" x14ac:dyDescent="0.25">
      <c r="J585" s="115"/>
      <c r="K585" s="115"/>
      <c r="L585" s="115"/>
      <c r="M585" s="115"/>
      <c r="N585" s="115"/>
      <c r="O585" s="115"/>
      <c r="P585" s="115"/>
    </row>
    <row r="586" spans="10:16" ht="12.5" x14ac:dyDescent="0.25">
      <c r="J586" s="115"/>
      <c r="K586" s="115"/>
      <c r="L586" s="115"/>
      <c r="M586" s="115"/>
      <c r="N586" s="115"/>
      <c r="O586" s="115"/>
      <c r="P586" s="115"/>
    </row>
    <row r="587" spans="10:16" ht="12.5" x14ac:dyDescent="0.25">
      <c r="J587" s="115"/>
      <c r="K587" s="115"/>
      <c r="L587" s="115"/>
      <c r="M587" s="115"/>
      <c r="N587" s="115"/>
      <c r="O587" s="115"/>
      <c r="P587" s="115"/>
    </row>
    <row r="588" spans="10:16" ht="12.5" x14ac:dyDescent="0.25">
      <c r="J588" s="115"/>
      <c r="K588" s="115"/>
      <c r="L588" s="115"/>
      <c r="M588" s="115"/>
      <c r="N588" s="115"/>
      <c r="O588" s="115"/>
      <c r="P588" s="115"/>
    </row>
    <row r="589" spans="10:16" ht="12.5" x14ac:dyDescent="0.25">
      <c r="J589" s="115"/>
      <c r="K589" s="115"/>
      <c r="L589" s="115"/>
      <c r="M589" s="115"/>
      <c r="N589" s="115"/>
      <c r="O589" s="115"/>
      <c r="P589" s="115"/>
    </row>
    <row r="590" spans="10:16" ht="12.5" x14ac:dyDescent="0.25">
      <c r="J590" s="115"/>
      <c r="K590" s="115"/>
      <c r="L590" s="115"/>
      <c r="M590" s="115"/>
      <c r="N590" s="115"/>
      <c r="O590" s="115"/>
      <c r="P590" s="115"/>
    </row>
    <row r="591" spans="10:16" ht="12.5" x14ac:dyDescent="0.25">
      <c r="J591" s="115"/>
      <c r="K591" s="115"/>
      <c r="L591" s="115"/>
      <c r="M591" s="115"/>
      <c r="N591" s="115"/>
      <c r="O591" s="115"/>
      <c r="P591" s="115"/>
    </row>
    <row r="592" spans="10:16" ht="12.5" x14ac:dyDescent="0.25">
      <c r="J592" s="115"/>
      <c r="K592" s="115"/>
      <c r="L592" s="115"/>
      <c r="M592" s="115"/>
      <c r="N592" s="115"/>
      <c r="O592" s="115"/>
      <c r="P592" s="115"/>
    </row>
    <row r="593" spans="10:16" ht="12.5" x14ac:dyDescent="0.25">
      <c r="J593" s="115"/>
      <c r="K593" s="115"/>
      <c r="L593" s="115"/>
      <c r="M593" s="115"/>
      <c r="N593" s="115"/>
      <c r="O593" s="115"/>
      <c r="P593" s="115"/>
    </row>
    <row r="594" spans="10:16" ht="12.5" x14ac:dyDescent="0.25">
      <c r="J594" s="115"/>
      <c r="K594" s="115"/>
      <c r="L594" s="115"/>
      <c r="M594" s="115"/>
      <c r="N594" s="115"/>
      <c r="O594" s="115"/>
      <c r="P594" s="115"/>
    </row>
    <row r="595" spans="10:16" ht="12.5" x14ac:dyDescent="0.25">
      <c r="J595" s="115"/>
      <c r="K595" s="115"/>
      <c r="L595" s="115"/>
      <c r="M595" s="115"/>
      <c r="N595" s="115"/>
      <c r="O595" s="115"/>
      <c r="P595" s="115"/>
    </row>
    <row r="596" spans="10:16" ht="12.5" x14ac:dyDescent="0.25">
      <c r="J596" s="115"/>
      <c r="K596" s="115"/>
      <c r="L596" s="115"/>
      <c r="M596" s="115"/>
      <c r="N596" s="115"/>
      <c r="O596" s="115"/>
      <c r="P596" s="115"/>
    </row>
    <row r="597" spans="10:16" ht="12.5" x14ac:dyDescent="0.25">
      <c r="J597" s="115"/>
      <c r="K597" s="115"/>
      <c r="L597" s="115"/>
      <c r="M597" s="115"/>
      <c r="N597" s="115"/>
      <c r="O597" s="115"/>
      <c r="P597" s="115"/>
    </row>
    <row r="598" spans="10:16" ht="12.5" x14ac:dyDescent="0.25">
      <c r="J598" s="115"/>
      <c r="K598" s="115"/>
      <c r="L598" s="115"/>
      <c r="M598" s="115"/>
      <c r="N598" s="115"/>
      <c r="O598" s="115"/>
      <c r="P598" s="115"/>
    </row>
    <row r="599" spans="10:16" ht="12.5" x14ac:dyDescent="0.25">
      <c r="J599" s="115"/>
      <c r="K599" s="115"/>
      <c r="L599" s="115"/>
      <c r="M599" s="115"/>
      <c r="N599" s="115"/>
      <c r="O599" s="115"/>
      <c r="P599" s="115"/>
    </row>
    <row r="600" spans="10:16" ht="12.5" x14ac:dyDescent="0.25">
      <c r="J600" s="115"/>
      <c r="K600" s="115"/>
      <c r="L600" s="115"/>
      <c r="M600" s="115"/>
      <c r="N600" s="115"/>
      <c r="O600" s="115"/>
      <c r="P600" s="115"/>
    </row>
    <row r="601" spans="10:16" ht="12.5" x14ac:dyDescent="0.25">
      <c r="J601" s="115"/>
      <c r="K601" s="115"/>
      <c r="L601" s="115"/>
      <c r="M601" s="115"/>
      <c r="N601" s="115"/>
      <c r="O601" s="115"/>
      <c r="P601" s="115"/>
    </row>
    <row r="602" spans="10:16" ht="12.5" x14ac:dyDescent="0.25">
      <c r="J602" s="115"/>
      <c r="K602" s="115"/>
      <c r="L602" s="115"/>
      <c r="M602" s="115"/>
      <c r="N602" s="115"/>
      <c r="O602" s="115"/>
      <c r="P602" s="115"/>
    </row>
    <row r="603" spans="10:16" ht="12.5" x14ac:dyDescent="0.25">
      <c r="J603" s="115"/>
      <c r="K603" s="115"/>
      <c r="L603" s="115"/>
      <c r="M603" s="115"/>
      <c r="N603" s="115"/>
      <c r="O603" s="115"/>
      <c r="P603" s="115"/>
    </row>
    <row r="604" spans="10:16" ht="12.5" x14ac:dyDescent="0.25">
      <c r="J604" s="115"/>
      <c r="K604" s="115"/>
      <c r="L604" s="115"/>
      <c r="M604" s="115"/>
      <c r="N604" s="115"/>
      <c r="O604" s="115"/>
      <c r="P604" s="115"/>
    </row>
    <row r="605" spans="10:16" ht="12.5" x14ac:dyDescent="0.25">
      <c r="J605" s="115"/>
      <c r="K605" s="115"/>
      <c r="L605" s="115"/>
      <c r="M605" s="115"/>
      <c r="N605" s="115"/>
      <c r="O605" s="115"/>
      <c r="P605" s="115"/>
    </row>
    <row r="606" spans="10:16" ht="12.5" x14ac:dyDescent="0.25">
      <c r="J606" s="115"/>
      <c r="K606" s="115"/>
      <c r="L606" s="115"/>
      <c r="M606" s="115"/>
      <c r="N606" s="115"/>
      <c r="O606" s="115"/>
      <c r="P606" s="115"/>
    </row>
    <row r="607" spans="10:16" ht="12.5" x14ac:dyDescent="0.25">
      <c r="J607" s="115"/>
      <c r="K607" s="115"/>
      <c r="L607" s="115"/>
      <c r="M607" s="115"/>
      <c r="N607" s="115"/>
      <c r="O607" s="115"/>
      <c r="P607" s="115"/>
    </row>
    <row r="608" spans="10:16" ht="12.5" x14ac:dyDescent="0.25">
      <c r="J608" s="115"/>
      <c r="K608" s="115"/>
      <c r="L608" s="115"/>
      <c r="M608" s="115"/>
      <c r="N608" s="115"/>
      <c r="O608" s="115"/>
      <c r="P608" s="115"/>
    </row>
    <row r="609" spans="10:16" ht="12.5" x14ac:dyDescent="0.25">
      <c r="J609" s="115"/>
      <c r="K609" s="115"/>
      <c r="L609" s="115"/>
      <c r="M609" s="115"/>
      <c r="N609" s="115"/>
      <c r="O609" s="115"/>
      <c r="P609" s="115"/>
    </row>
    <row r="610" spans="10:16" ht="12.5" x14ac:dyDescent="0.25">
      <c r="J610" s="115"/>
      <c r="K610" s="115"/>
      <c r="L610" s="115"/>
      <c r="M610" s="115"/>
      <c r="N610" s="115"/>
      <c r="O610" s="115"/>
      <c r="P610" s="115"/>
    </row>
    <row r="611" spans="10:16" ht="12.5" x14ac:dyDescent="0.25">
      <c r="J611" s="115"/>
      <c r="K611" s="115"/>
      <c r="L611" s="115"/>
      <c r="M611" s="115"/>
      <c r="N611" s="115"/>
      <c r="O611" s="115"/>
      <c r="P611" s="115"/>
    </row>
    <row r="612" spans="10:16" ht="12.5" x14ac:dyDescent="0.25">
      <c r="J612" s="115"/>
      <c r="K612" s="115"/>
      <c r="L612" s="115"/>
      <c r="M612" s="115"/>
      <c r="N612" s="115"/>
      <c r="O612" s="115"/>
      <c r="P612" s="115"/>
    </row>
    <row r="613" spans="10:16" ht="12.5" x14ac:dyDescent="0.25">
      <c r="J613" s="115"/>
      <c r="K613" s="115"/>
      <c r="L613" s="115"/>
      <c r="M613" s="115"/>
      <c r="N613" s="115"/>
      <c r="O613" s="115"/>
      <c r="P613" s="115"/>
    </row>
    <row r="614" spans="10:16" ht="12.5" x14ac:dyDescent="0.25">
      <c r="J614" s="115"/>
      <c r="K614" s="115"/>
      <c r="L614" s="115"/>
      <c r="M614" s="115"/>
      <c r="N614" s="115"/>
      <c r="O614" s="115"/>
      <c r="P614" s="115"/>
    </row>
    <row r="615" spans="10:16" ht="12.5" x14ac:dyDescent="0.25">
      <c r="J615" s="115"/>
      <c r="K615" s="115"/>
      <c r="L615" s="115"/>
      <c r="M615" s="115"/>
      <c r="N615" s="115"/>
      <c r="O615" s="115"/>
      <c r="P615" s="115"/>
    </row>
    <row r="616" spans="10:16" ht="12.5" x14ac:dyDescent="0.25">
      <c r="J616" s="115"/>
      <c r="K616" s="115"/>
      <c r="L616" s="115"/>
      <c r="M616" s="115"/>
      <c r="N616" s="115"/>
      <c r="O616" s="115"/>
      <c r="P616" s="115"/>
    </row>
    <row r="617" spans="10:16" ht="12.5" x14ac:dyDescent="0.25">
      <c r="J617" s="115"/>
      <c r="K617" s="115"/>
      <c r="L617" s="115"/>
      <c r="M617" s="115"/>
      <c r="N617" s="115"/>
      <c r="O617" s="115"/>
      <c r="P617" s="115"/>
    </row>
    <row r="618" spans="10:16" ht="12.5" x14ac:dyDescent="0.25">
      <c r="J618" s="115"/>
      <c r="K618" s="115"/>
      <c r="L618" s="115"/>
      <c r="M618" s="115"/>
      <c r="N618" s="115"/>
      <c r="O618" s="115"/>
      <c r="P618" s="115"/>
    </row>
    <row r="619" spans="10:16" ht="12.5" x14ac:dyDescent="0.25">
      <c r="J619" s="115"/>
      <c r="K619" s="115"/>
      <c r="L619" s="115"/>
      <c r="M619" s="115"/>
      <c r="N619" s="115"/>
      <c r="O619" s="115"/>
      <c r="P619" s="115"/>
    </row>
    <row r="620" spans="10:16" ht="12.5" x14ac:dyDescent="0.25">
      <c r="J620" s="115"/>
      <c r="K620" s="115"/>
      <c r="L620" s="115"/>
      <c r="M620" s="115"/>
      <c r="N620" s="115"/>
      <c r="O620" s="115"/>
      <c r="P620" s="115"/>
    </row>
    <row r="621" spans="10:16" ht="12.5" x14ac:dyDescent="0.25">
      <c r="J621" s="115"/>
      <c r="K621" s="115"/>
      <c r="L621" s="115"/>
      <c r="M621" s="115"/>
      <c r="N621" s="115"/>
      <c r="O621" s="115"/>
      <c r="P621" s="115"/>
    </row>
    <row r="622" spans="10:16" ht="12.5" x14ac:dyDescent="0.25">
      <c r="J622" s="115"/>
      <c r="K622" s="115"/>
      <c r="L622" s="115"/>
      <c r="M622" s="115"/>
      <c r="N622" s="115"/>
      <c r="O622" s="115"/>
      <c r="P622" s="115"/>
    </row>
    <row r="623" spans="10:16" ht="12.5" x14ac:dyDescent="0.25">
      <c r="J623" s="115"/>
      <c r="K623" s="115"/>
      <c r="L623" s="115"/>
      <c r="M623" s="115"/>
      <c r="N623" s="115"/>
      <c r="O623" s="115"/>
      <c r="P623" s="115"/>
    </row>
    <row r="624" spans="10:16" ht="12.5" x14ac:dyDescent="0.25">
      <c r="J624" s="115"/>
      <c r="K624" s="115"/>
      <c r="L624" s="115"/>
      <c r="M624" s="115"/>
      <c r="N624" s="115"/>
      <c r="O624" s="115"/>
      <c r="P624" s="115"/>
    </row>
    <row r="625" spans="10:16" ht="12.5" x14ac:dyDescent="0.25">
      <c r="J625" s="115"/>
      <c r="K625" s="115"/>
      <c r="L625" s="115"/>
      <c r="M625" s="115"/>
      <c r="N625" s="115"/>
      <c r="O625" s="115"/>
      <c r="P625" s="115"/>
    </row>
    <row r="626" spans="10:16" ht="12.5" x14ac:dyDescent="0.25">
      <c r="J626" s="115"/>
      <c r="K626" s="115"/>
      <c r="L626" s="115"/>
      <c r="M626" s="115"/>
      <c r="N626" s="115"/>
      <c r="O626" s="115"/>
      <c r="P626" s="115"/>
    </row>
    <row r="627" spans="10:16" ht="12.5" x14ac:dyDescent="0.25">
      <c r="J627" s="115"/>
      <c r="K627" s="115"/>
      <c r="L627" s="115"/>
      <c r="M627" s="115"/>
      <c r="N627" s="115"/>
      <c r="O627" s="115"/>
      <c r="P627" s="115"/>
    </row>
    <row r="628" spans="10:16" ht="12.5" x14ac:dyDescent="0.25">
      <c r="J628" s="115"/>
      <c r="K628" s="115"/>
      <c r="L628" s="115"/>
      <c r="M628" s="115"/>
      <c r="N628" s="115"/>
      <c r="O628" s="115"/>
      <c r="P628" s="115"/>
    </row>
    <row r="629" spans="10:16" ht="12.5" x14ac:dyDescent="0.25">
      <c r="J629" s="115"/>
      <c r="K629" s="115"/>
      <c r="L629" s="115"/>
      <c r="M629" s="115"/>
      <c r="N629" s="115"/>
      <c r="O629" s="115"/>
      <c r="P629" s="115"/>
    </row>
    <row r="630" spans="10:16" ht="12.5" x14ac:dyDescent="0.25">
      <c r="J630" s="115"/>
      <c r="K630" s="115"/>
      <c r="L630" s="115"/>
      <c r="M630" s="115"/>
      <c r="N630" s="115"/>
      <c r="O630" s="115"/>
      <c r="P630" s="115"/>
    </row>
    <row r="631" spans="10:16" ht="12.5" x14ac:dyDescent="0.25">
      <c r="J631" s="115"/>
      <c r="K631" s="115"/>
      <c r="L631" s="115"/>
      <c r="M631" s="115"/>
      <c r="N631" s="115"/>
      <c r="O631" s="115"/>
      <c r="P631" s="115"/>
    </row>
    <row r="632" spans="10:16" ht="12.5" x14ac:dyDescent="0.25">
      <c r="J632" s="115"/>
      <c r="K632" s="115"/>
      <c r="L632" s="115"/>
      <c r="M632" s="115"/>
      <c r="N632" s="115"/>
      <c r="O632" s="115"/>
      <c r="P632" s="115"/>
    </row>
    <row r="633" spans="10:16" ht="12.5" x14ac:dyDescent="0.25">
      <c r="J633" s="115"/>
      <c r="K633" s="115"/>
      <c r="L633" s="115"/>
      <c r="M633" s="115"/>
      <c r="N633" s="115"/>
      <c r="O633" s="115"/>
      <c r="P633" s="115"/>
    </row>
    <row r="634" spans="10:16" ht="12.5" x14ac:dyDescent="0.25">
      <c r="J634" s="115"/>
      <c r="K634" s="115"/>
      <c r="L634" s="115"/>
      <c r="M634" s="115"/>
      <c r="N634" s="115"/>
      <c r="O634" s="115"/>
      <c r="P634" s="115"/>
    </row>
    <row r="635" spans="10:16" ht="12.5" x14ac:dyDescent="0.25">
      <c r="J635" s="115"/>
      <c r="K635" s="115"/>
      <c r="L635" s="115"/>
      <c r="M635" s="115"/>
      <c r="N635" s="115"/>
      <c r="O635" s="115"/>
      <c r="P635" s="115"/>
    </row>
    <row r="636" spans="10:16" ht="12.5" x14ac:dyDescent="0.25">
      <c r="J636" s="115"/>
      <c r="K636" s="115"/>
      <c r="L636" s="115"/>
      <c r="M636" s="115"/>
      <c r="N636" s="115"/>
      <c r="O636" s="115"/>
      <c r="P636" s="115"/>
    </row>
    <row r="637" spans="10:16" ht="12.5" x14ac:dyDescent="0.25">
      <c r="J637" s="115"/>
      <c r="K637" s="115"/>
      <c r="L637" s="115"/>
      <c r="M637" s="115"/>
      <c r="N637" s="115"/>
      <c r="O637" s="115"/>
      <c r="P637" s="115"/>
    </row>
    <row r="638" spans="10:16" ht="12.5" x14ac:dyDescent="0.25">
      <c r="J638" s="115"/>
      <c r="K638" s="115"/>
      <c r="L638" s="115"/>
      <c r="M638" s="115"/>
      <c r="N638" s="115"/>
      <c r="O638" s="115"/>
      <c r="P638" s="115"/>
    </row>
    <row r="639" spans="10:16" ht="12.5" x14ac:dyDescent="0.25">
      <c r="J639" s="115"/>
      <c r="K639" s="115"/>
      <c r="L639" s="115"/>
      <c r="M639" s="115"/>
      <c r="N639" s="115"/>
      <c r="O639" s="115"/>
      <c r="P639" s="115"/>
    </row>
    <row r="640" spans="10:16" ht="12.5" x14ac:dyDescent="0.25">
      <c r="J640" s="115"/>
      <c r="K640" s="115"/>
      <c r="L640" s="115"/>
      <c r="M640" s="115"/>
      <c r="N640" s="115"/>
      <c r="O640" s="115"/>
      <c r="P640" s="115"/>
    </row>
    <row r="641" spans="10:16" ht="12.5" x14ac:dyDescent="0.25">
      <c r="J641" s="115"/>
      <c r="K641" s="115"/>
      <c r="L641" s="115"/>
      <c r="M641" s="115"/>
      <c r="N641" s="115"/>
      <c r="O641" s="115"/>
      <c r="P641" s="115"/>
    </row>
    <row r="642" spans="10:16" ht="12.5" x14ac:dyDescent="0.25">
      <c r="J642" s="115"/>
      <c r="K642" s="115"/>
      <c r="L642" s="115"/>
      <c r="M642" s="115"/>
      <c r="N642" s="115"/>
      <c r="O642" s="115"/>
      <c r="P642" s="115"/>
    </row>
    <row r="643" spans="10:16" ht="12.5" x14ac:dyDescent="0.25">
      <c r="J643" s="115"/>
      <c r="K643" s="115"/>
      <c r="L643" s="115"/>
      <c r="M643" s="115"/>
      <c r="N643" s="115"/>
      <c r="O643" s="115"/>
      <c r="P643" s="115"/>
    </row>
    <row r="644" spans="10:16" ht="12.5" x14ac:dyDescent="0.25">
      <c r="J644" s="115"/>
      <c r="K644" s="115"/>
      <c r="L644" s="115"/>
      <c r="M644" s="115"/>
      <c r="N644" s="115"/>
      <c r="O644" s="115"/>
      <c r="P644" s="115"/>
    </row>
    <row r="645" spans="10:16" ht="12.5" x14ac:dyDescent="0.25">
      <c r="J645" s="115"/>
      <c r="K645" s="115"/>
      <c r="L645" s="115"/>
      <c r="M645" s="115"/>
      <c r="N645" s="115"/>
      <c r="O645" s="115"/>
      <c r="P645" s="115"/>
    </row>
    <row r="646" spans="10:16" ht="12.5" x14ac:dyDescent="0.25">
      <c r="J646" s="115"/>
      <c r="K646" s="115"/>
      <c r="L646" s="115"/>
      <c r="M646" s="115"/>
      <c r="N646" s="115"/>
      <c r="O646" s="115"/>
      <c r="P646" s="115"/>
    </row>
    <row r="647" spans="10:16" ht="12.5" x14ac:dyDescent="0.25">
      <c r="J647" s="115"/>
      <c r="K647" s="115"/>
      <c r="L647" s="115"/>
      <c r="M647" s="115"/>
      <c r="N647" s="115"/>
      <c r="O647" s="115"/>
      <c r="P647" s="115"/>
    </row>
    <row r="648" spans="10:16" ht="12.5" x14ac:dyDescent="0.25">
      <c r="J648" s="115"/>
      <c r="K648" s="115"/>
      <c r="L648" s="115"/>
      <c r="M648" s="115"/>
      <c r="N648" s="115"/>
      <c r="O648" s="115"/>
      <c r="P648" s="115"/>
    </row>
    <row r="649" spans="10:16" ht="12.5" x14ac:dyDescent="0.25">
      <c r="J649" s="115"/>
      <c r="K649" s="115"/>
      <c r="L649" s="115"/>
      <c r="M649" s="115"/>
      <c r="N649" s="115"/>
      <c r="O649" s="115"/>
      <c r="P649" s="115"/>
    </row>
    <row r="650" spans="10:16" ht="12.5" x14ac:dyDescent="0.25">
      <c r="J650" s="115"/>
      <c r="K650" s="115"/>
      <c r="L650" s="115"/>
      <c r="M650" s="115"/>
      <c r="N650" s="115"/>
      <c r="O650" s="115"/>
      <c r="P650" s="115"/>
    </row>
    <row r="651" spans="10:16" ht="12.5" x14ac:dyDescent="0.25">
      <c r="J651" s="115"/>
      <c r="K651" s="115"/>
      <c r="L651" s="115"/>
      <c r="M651" s="115"/>
      <c r="N651" s="115"/>
      <c r="O651" s="115"/>
      <c r="P651" s="115"/>
    </row>
    <row r="652" spans="10:16" ht="12.5" x14ac:dyDescent="0.25">
      <c r="J652" s="115"/>
      <c r="K652" s="115"/>
      <c r="L652" s="115"/>
      <c r="M652" s="115"/>
      <c r="N652" s="115"/>
      <c r="O652" s="115"/>
      <c r="P652" s="115"/>
    </row>
    <row r="653" spans="10:16" ht="12.5" x14ac:dyDescent="0.25">
      <c r="J653" s="115"/>
      <c r="K653" s="115"/>
      <c r="L653" s="115"/>
      <c r="M653" s="115"/>
      <c r="N653" s="115"/>
      <c r="O653" s="115"/>
      <c r="P653" s="115"/>
    </row>
    <row r="654" spans="10:16" ht="12.5" x14ac:dyDescent="0.25">
      <c r="J654" s="115"/>
      <c r="K654" s="115"/>
      <c r="L654" s="115"/>
      <c r="M654" s="115"/>
      <c r="N654" s="115"/>
      <c r="O654" s="115"/>
      <c r="P654" s="115"/>
    </row>
    <row r="655" spans="10:16" ht="12.5" x14ac:dyDescent="0.25">
      <c r="J655" s="115"/>
      <c r="K655" s="115"/>
      <c r="L655" s="115"/>
      <c r="M655" s="115"/>
      <c r="N655" s="115"/>
      <c r="O655" s="115"/>
      <c r="P655" s="115"/>
    </row>
    <row r="656" spans="10:16" ht="12.5" x14ac:dyDescent="0.25">
      <c r="J656" s="115"/>
      <c r="K656" s="115"/>
      <c r="L656" s="115"/>
      <c r="M656" s="115"/>
      <c r="N656" s="115"/>
      <c r="O656" s="115"/>
      <c r="P656" s="115"/>
    </row>
    <row r="657" spans="10:16" ht="12.5" x14ac:dyDescent="0.25">
      <c r="J657" s="115"/>
      <c r="K657" s="115"/>
      <c r="L657" s="115"/>
      <c r="M657" s="115"/>
      <c r="N657" s="115"/>
      <c r="O657" s="115"/>
      <c r="P657" s="115"/>
    </row>
    <row r="658" spans="10:16" ht="12.5" x14ac:dyDescent="0.25">
      <c r="J658" s="115"/>
      <c r="K658" s="115"/>
      <c r="L658" s="115"/>
      <c r="M658" s="115"/>
      <c r="N658" s="115"/>
      <c r="O658" s="115"/>
      <c r="P658" s="115"/>
    </row>
    <row r="659" spans="10:16" ht="12.5" x14ac:dyDescent="0.25">
      <c r="J659" s="115"/>
      <c r="K659" s="115"/>
      <c r="L659" s="115"/>
      <c r="M659" s="115"/>
      <c r="N659" s="115"/>
      <c r="O659" s="115"/>
      <c r="P659" s="115"/>
    </row>
    <row r="660" spans="10:16" ht="12.5" x14ac:dyDescent="0.25">
      <c r="J660" s="115"/>
      <c r="K660" s="115"/>
      <c r="L660" s="115"/>
      <c r="M660" s="115"/>
      <c r="N660" s="115"/>
      <c r="O660" s="115"/>
      <c r="P660" s="115"/>
    </row>
    <row r="661" spans="10:16" ht="12.5" x14ac:dyDescent="0.25">
      <c r="J661" s="115"/>
      <c r="K661" s="115"/>
      <c r="L661" s="115"/>
      <c r="M661" s="115"/>
      <c r="N661" s="115"/>
      <c r="O661" s="115"/>
      <c r="P661" s="115"/>
    </row>
    <row r="662" spans="10:16" ht="12.5" x14ac:dyDescent="0.25">
      <c r="J662" s="115"/>
      <c r="K662" s="115"/>
      <c r="L662" s="115"/>
      <c r="M662" s="115"/>
      <c r="N662" s="115"/>
      <c r="O662" s="115"/>
      <c r="P662" s="115"/>
    </row>
    <row r="663" spans="10:16" ht="12.5" x14ac:dyDescent="0.25">
      <c r="J663" s="115"/>
      <c r="K663" s="115"/>
      <c r="L663" s="115"/>
      <c r="M663" s="115"/>
      <c r="N663" s="115"/>
      <c r="O663" s="115"/>
      <c r="P663" s="115"/>
    </row>
    <row r="664" spans="10:16" ht="12.5" x14ac:dyDescent="0.25">
      <c r="J664" s="115"/>
      <c r="K664" s="115"/>
      <c r="L664" s="115"/>
      <c r="M664" s="115"/>
      <c r="N664" s="115"/>
      <c r="O664" s="115"/>
      <c r="P664" s="115"/>
    </row>
    <row r="665" spans="10:16" ht="12.5" x14ac:dyDescent="0.25">
      <c r="J665" s="115"/>
      <c r="K665" s="115"/>
      <c r="L665" s="115"/>
      <c r="M665" s="115"/>
      <c r="N665" s="115"/>
      <c r="O665" s="115"/>
      <c r="P665" s="115"/>
    </row>
    <row r="666" spans="10:16" ht="12.5" x14ac:dyDescent="0.25">
      <c r="J666" s="115"/>
      <c r="K666" s="115"/>
      <c r="L666" s="115"/>
      <c r="M666" s="115"/>
      <c r="N666" s="115"/>
      <c r="O666" s="115"/>
      <c r="P666" s="115"/>
    </row>
    <row r="667" spans="10:16" ht="12.5" x14ac:dyDescent="0.25">
      <c r="J667" s="115"/>
      <c r="K667" s="115"/>
      <c r="L667" s="115"/>
      <c r="M667" s="115"/>
      <c r="N667" s="115"/>
      <c r="O667" s="115"/>
      <c r="P667" s="115"/>
    </row>
    <row r="668" spans="10:16" ht="12.5" x14ac:dyDescent="0.25">
      <c r="J668" s="115"/>
      <c r="K668" s="115"/>
      <c r="L668" s="115"/>
      <c r="M668" s="115"/>
      <c r="N668" s="115"/>
      <c r="O668" s="115"/>
      <c r="P668" s="115"/>
    </row>
    <row r="669" spans="10:16" ht="12.5" x14ac:dyDescent="0.25">
      <c r="J669" s="115"/>
      <c r="K669" s="115"/>
      <c r="L669" s="115"/>
      <c r="M669" s="115"/>
      <c r="N669" s="115"/>
      <c r="O669" s="115"/>
      <c r="P669" s="115"/>
    </row>
    <row r="670" spans="10:16" ht="12.5" x14ac:dyDescent="0.25">
      <c r="J670" s="115"/>
      <c r="K670" s="115"/>
      <c r="L670" s="115"/>
      <c r="M670" s="115"/>
      <c r="N670" s="115"/>
      <c r="O670" s="115"/>
      <c r="P670" s="115"/>
    </row>
    <row r="671" spans="10:16" ht="12.5" x14ac:dyDescent="0.25">
      <c r="J671" s="115"/>
      <c r="K671" s="115"/>
      <c r="L671" s="115"/>
      <c r="M671" s="115"/>
      <c r="N671" s="115"/>
      <c r="O671" s="115"/>
      <c r="P671" s="115"/>
    </row>
    <row r="672" spans="10:16" ht="12.5" x14ac:dyDescent="0.25">
      <c r="J672" s="115"/>
      <c r="K672" s="115"/>
      <c r="L672" s="115"/>
      <c r="M672" s="115"/>
      <c r="N672" s="115"/>
      <c r="O672" s="115"/>
      <c r="P672" s="115"/>
    </row>
    <row r="673" spans="10:16" ht="12.5" x14ac:dyDescent="0.25">
      <c r="J673" s="115"/>
      <c r="K673" s="115"/>
      <c r="L673" s="115"/>
      <c r="M673" s="115"/>
      <c r="N673" s="115"/>
      <c r="O673" s="115"/>
      <c r="P673" s="115"/>
    </row>
    <row r="674" spans="10:16" ht="12.5" x14ac:dyDescent="0.25">
      <c r="J674" s="115"/>
      <c r="K674" s="115"/>
      <c r="L674" s="115"/>
      <c r="M674" s="115"/>
      <c r="N674" s="115"/>
      <c r="O674" s="115"/>
      <c r="P674" s="115"/>
    </row>
    <row r="675" spans="10:16" ht="12.5" x14ac:dyDescent="0.25">
      <c r="J675" s="115"/>
      <c r="K675" s="115"/>
      <c r="L675" s="115"/>
      <c r="M675" s="115"/>
      <c r="N675" s="115"/>
      <c r="O675" s="115"/>
      <c r="P675" s="115"/>
    </row>
    <row r="676" spans="10:16" ht="12.5" x14ac:dyDescent="0.25">
      <c r="J676" s="115"/>
      <c r="K676" s="115"/>
      <c r="L676" s="115"/>
      <c r="M676" s="115"/>
      <c r="N676" s="115"/>
      <c r="O676" s="115"/>
      <c r="P676" s="115"/>
    </row>
    <row r="677" spans="10:16" ht="12.5" x14ac:dyDescent="0.25">
      <c r="J677" s="115"/>
      <c r="K677" s="115"/>
      <c r="L677" s="115"/>
      <c r="M677" s="115"/>
      <c r="N677" s="115"/>
      <c r="O677" s="115"/>
      <c r="P677" s="115"/>
    </row>
    <row r="678" spans="10:16" ht="12.5" x14ac:dyDescent="0.25">
      <c r="J678" s="115"/>
      <c r="K678" s="115"/>
      <c r="L678" s="115"/>
      <c r="M678" s="115"/>
      <c r="N678" s="115"/>
      <c r="O678" s="115"/>
      <c r="P678" s="115"/>
    </row>
    <row r="679" spans="10:16" ht="12.5" x14ac:dyDescent="0.25">
      <c r="J679" s="115"/>
      <c r="K679" s="115"/>
      <c r="L679" s="115"/>
      <c r="M679" s="115"/>
      <c r="N679" s="115"/>
      <c r="O679" s="115"/>
      <c r="P679" s="115"/>
    </row>
    <row r="680" spans="10:16" ht="12.5" x14ac:dyDescent="0.25">
      <c r="J680" s="115"/>
      <c r="K680" s="115"/>
      <c r="L680" s="115"/>
      <c r="M680" s="115"/>
      <c r="N680" s="115"/>
      <c r="O680" s="115"/>
      <c r="P680" s="115"/>
    </row>
    <row r="681" spans="10:16" ht="12.5" x14ac:dyDescent="0.25">
      <c r="J681" s="115"/>
      <c r="K681" s="115"/>
      <c r="L681" s="115"/>
      <c r="M681" s="115"/>
      <c r="N681" s="115"/>
      <c r="O681" s="115"/>
      <c r="P681" s="115"/>
    </row>
    <row r="682" spans="10:16" ht="12.5" x14ac:dyDescent="0.25">
      <c r="J682" s="115"/>
      <c r="K682" s="115"/>
      <c r="L682" s="115"/>
      <c r="M682" s="115"/>
      <c r="N682" s="115"/>
      <c r="O682" s="115"/>
      <c r="P682" s="115"/>
    </row>
    <row r="683" spans="10:16" ht="12.5" x14ac:dyDescent="0.25">
      <c r="J683" s="115"/>
      <c r="K683" s="115"/>
      <c r="L683" s="115"/>
      <c r="M683" s="115"/>
      <c r="N683" s="115"/>
      <c r="O683" s="115"/>
      <c r="P683" s="115"/>
    </row>
    <row r="684" spans="10:16" ht="12.5" x14ac:dyDescent="0.25">
      <c r="J684" s="115"/>
      <c r="K684" s="115"/>
      <c r="L684" s="115"/>
      <c r="M684" s="115"/>
      <c r="N684" s="115"/>
      <c r="O684" s="115"/>
      <c r="P684" s="115"/>
    </row>
    <row r="685" spans="10:16" ht="12.5" x14ac:dyDescent="0.25">
      <c r="J685" s="115"/>
      <c r="K685" s="115"/>
      <c r="L685" s="115"/>
      <c r="M685" s="115"/>
      <c r="N685" s="115"/>
      <c r="O685" s="115"/>
      <c r="P685" s="115"/>
    </row>
    <row r="686" spans="10:16" ht="12.5" x14ac:dyDescent="0.25">
      <c r="J686" s="115"/>
      <c r="K686" s="115"/>
      <c r="L686" s="115"/>
      <c r="M686" s="115"/>
      <c r="N686" s="115"/>
      <c r="O686" s="115"/>
      <c r="P686" s="115"/>
    </row>
    <row r="687" spans="10:16" ht="12.5" x14ac:dyDescent="0.25">
      <c r="J687" s="115"/>
      <c r="K687" s="115"/>
      <c r="L687" s="115"/>
      <c r="M687" s="115"/>
      <c r="N687" s="115"/>
      <c r="O687" s="115"/>
      <c r="P687" s="115"/>
    </row>
    <row r="688" spans="10:16" ht="12.5" x14ac:dyDescent="0.25">
      <c r="J688" s="115"/>
      <c r="K688" s="115"/>
      <c r="L688" s="115"/>
      <c r="M688" s="115"/>
      <c r="N688" s="115"/>
      <c r="O688" s="115"/>
      <c r="P688" s="115"/>
    </row>
    <row r="689" spans="10:16" ht="12.5" x14ac:dyDescent="0.25">
      <c r="J689" s="115"/>
      <c r="K689" s="115"/>
      <c r="L689" s="115"/>
      <c r="M689" s="115"/>
      <c r="N689" s="115"/>
      <c r="O689" s="115"/>
      <c r="P689" s="115"/>
    </row>
    <row r="690" spans="10:16" ht="12.5" x14ac:dyDescent="0.25">
      <c r="J690" s="115"/>
      <c r="K690" s="115"/>
      <c r="L690" s="115"/>
      <c r="M690" s="115"/>
      <c r="N690" s="115"/>
      <c r="O690" s="115"/>
      <c r="P690" s="115"/>
    </row>
    <row r="691" spans="10:16" ht="12.5" x14ac:dyDescent="0.25">
      <c r="J691" s="115"/>
      <c r="K691" s="115"/>
      <c r="L691" s="115"/>
      <c r="M691" s="115"/>
      <c r="N691" s="115"/>
      <c r="O691" s="115"/>
      <c r="P691" s="115"/>
    </row>
    <row r="692" spans="10:16" ht="12.5" x14ac:dyDescent="0.25">
      <c r="J692" s="115"/>
      <c r="K692" s="115"/>
      <c r="L692" s="115"/>
      <c r="M692" s="115"/>
      <c r="N692" s="115"/>
      <c r="O692" s="115"/>
      <c r="P692" s="115"/>
    </row>
    <row r="693" spans="10:16" ht="12.5" x14ac:dyDescent="0.25">
      <c r="J693" s="115"/>
      <c r="K693" s="115"/>
      <c r="L693" s="115"/>
      <c r="M693" s="115"/>
      <c r="N693" s="115"/>
      <c r="O693" s="115"/>
      <c r="P693" s="115"/>
    </row>
    <row r="694" spans="10:16" ht="12.5" x14ac:dyDescent="0.25">
      <c r="J694" s="115"/>
      <c r="K694" s="115"/>
      <c r="L694" s="115"/>
      <c r="M694" s="115"/>
      <c r="N694" s="115"/>
      <c r="O694" s="115"/>
      <c r="P694" s="115"/>
    </row>
    <row r="695" spans="10:16" ht="12.5" x14ac:dyDescent="0.25">
      <c r="J695" s="115"/>
      <c r="K695" s="115"/>
      <c r="L695" s="115"/>
      <c r="M695" s="115"/>
      <c r="N695" s="115"/>
      <c r="O695" s="115"/>
      <c r="P695" s="115"/>
    </row>
    <row r="696" spans="10:16" ht="12.5" x14ac:dyDescent="0.25">
      <c r="J696" s="115"/>
      <c r="K696" s="115"/>
      <c r="L696" s="115"/>
      <c r="M696" s="115"/>
      <c r="N696" s="115"/>
      <c r="O696" s="115"/>
      <c r="P696" s="115"/>
    </row>
    <row r="697" spans="10:16" ht="12.5" x14ac:dyDescent="0.25">
      <c r="J697" s="115"/>
      <c r="K697" s="115"/>
      <c r="L697" s="115"/>
      <c r="M697" s="115"/>
      <c r="N697" s="115"/>
      <c r="O697" s="115"/>
      <c r="P697" s="115"/>
    </row>
    <row r="698" spans="10:16" ht="12.5" x14ac:dyDescent="0.25">
      <c r="J698" s="115"/>
      <c r="K698" s="115"/>
      <c r="L698" s="115"/>
      <c r="M698" s="115"/>
      <c r="N698" s="115"/>
      <c r="O698" s="115"/>
      <c r="P698" s="115"/>
    </row>
    <row r="699" spans="10:16" ht="12.5" x14ac:dyDescent="0.25">
      <c r="J699" s="115"/>
      <c r="K699" s="115"/>
      <c r="L699" s="115"/>
      <c r="M699" s="115"/>
      <c r="N699" s="115"/>
      <c r="O699" s="115"/>
      <c r="P699" s="115"/>
    </row>
    <row r="700" spans="10:16" ht="12.5" x14ac:dyDescent="0.25">
      <c r="J700" s="115"/>
      <c r="K700" s="115"/>
      <c r="L700" s="115"/>
      <c r="M700" s="115"/>
      <c r="N700" s="115"/>
      <c r="O700" s="115"/>
      <c r="P700" s="115"/>
    </row>
    <row r="701" spans="10:16" ht="12.5" x14ac:dyDescent="0.25">
      <c r="J701" s="115"/>
      <c r="K701" s="115"/>
      <c r="L701" s="115"/>
      <c r="M701" s="115"/>
      <c r="N701" s="115"/>
      <c r="O701" s="115"/>
      <c r="P701" s="115"/>
    </row>
    <row r="702" spans="10:16" ht="12.5" x14ac:dyDescent="0.25">
      <c r="J702" s="115"/>
      <c r="K702" s="115"/>
      <c r="L702" s="115"/>
      <c r="M702" s="115"/>
      <c r="N702" s="115"/>
      <c r="O702" s="115"/>
      <c r="P702" s="115"/>
    </row>
    <row r="703" spans="10:16" ht="12.5" x14ac:dyDescent="0.25">
      <c r="J703" s="115"/>
      <c r="K703" s="115"/>
      <c r="L703" s="115"/>
      <c r="M703" s="115"/>
      <c r="N703" s="115"/>
      <c r="O703" s="115"/>
      <c r="P703" s="115"/>
    </row>
    <row r="704" spans="10:16" ht="12.5" x14ac:dyDescent="0.25">
      <c r="J704" s="115"/>
      <c r="K704" s="115"/>
      <c r="L704" s="115"/>
      <c r="M704" s="115"/>
      <c r="N704" s="115"/>
      <c r="O704" s="115"/>
      <c r="P704" s="115"/>
    </row>
    <row r="705" spans="10:16" ht="12.5" x14ac:dyDescent="0.25">
      <c r="J705" s="115"/>
      <c r="K705" s="115"/>
      <c r="L705" s="115"/>
      <c r="M705" s="115"/>
      <c r="N705" s="115"/>
      <c r="O705" s="115"/>
      <c r="P705" s="115"/>
    </row>
    <row r="706" spans="10:16" ht="12.5" x14ac:dyDescent="0.25">
      <c r="J706" s="115"/>
      <c r="K706" s="115"/>
      <c r="L706" s="115"/>
      <c r="M706" s="115"/>
      <c r="N706" s="115"/>
      <c r="O706" s="115"/>
      <c r="P706" s="115"/>
    </row>
    <row r="707" spans="10:16" ht="12.5" x14ac:dyDescent="0.25">
      <c r="J707" s="115"/>
      <c r="K707" s="115"/>
      <c r="L707" s="115"/>
      <c r="M707" s="115"/>
      <c r="N707" s="115"/>
      <c r="O707" s="115"/>
      <c r="P707" s="115"/>
    </row>
    <row r="708" spans="10:16" ht="12.5" x14ac:dyDescent="0.25">
      <c r="J708" s="115"/>
      <c r="K708" s="115"/>
      <c r="L708" s="115"/>
      <c r="M708" s="115"/>
      <c r="N708" s="115"/>
      <c r="O708" s="115"/>
      <c r="P708" s="115"/>
    </row>
    <row r="709" spans="10:16" ht="12.5" x14ac:dyDescent="0.25">
      <c r="J709" s="115"/>
      <c r="K709" s="115"/>
      <c r="L709" s="115"/>
      <c r="M709" s="115"/>
      <c r="N709" s="115"/>
      <c r="O709" s="115"/>
      <c r="P709" s="115"/>
    </row>
    <row r="710" spans="10:16" ht="12.5" x14ac:dyDescent="0.25">
      <c r="J710" s="115"/>
      <c r="K710" s="115"/>
      <c r="L710" s="115"/>
      <c r="M710" s="115"/>
      <c r="N710" s="115"/>
      <c r="O710" s="115"/>
      <c r="P710" s="115"/>
    </row>
    <row r="711" spans="10:16" ht="12.5" x14ac:dyDescent="0.25">
      <c r="J711" s="115"/>
      <c r="K711" s="115"/>
      <c r="L711" s="115"/>
      <c r="M711" s="115"/>
      <c r="N711" s="115"/>
      <c r="O711" s="115"/>
      <c r="P711" s="115"/>
    </row>
    <row r="712" spans="10:16" ht="12.5" x14ac:dyDescent="0.25">
      <c r="J712" s="115"/>
      <c r="K712" s="115"/>
      <c r="L712" s="115"/>
      <c r="M712" s="115"/>
      <c r="N712" s="115"/>
      <c r="O712" s="115"/>
      <c r="P712" s="115"/>
    </row>
    <row r="713" spans="10:16" ht="12.5" x14ac:dyDescent="0.25">
      <c r="J713" s="115"/>
      <c r="K713" s="115"/>
      <c r="L713" s="115"/>
      <c r="M713" s="115"/>
      <c r="N713" s="115"/>
      <c r="O713" s="115"/>
      <c r="P713" s="115"/>
    </row>
    <row r="714" spans="10:16" ht="12.5" x14ac:dyDescent="0.25">
      <c r="J714" s="115"/>
      <c r="K714" s="115"/>
      <c r="L714" s="115"/>
      <c r="M714" s="115"/>
      <c r="N714" s="115"/>
      <c r="O714" s="115"/>
      <c r="P714" s="115"/>
    </row>
    <row r="715" spans="10:16" ht="12.5" x14ac:dyDescent="0.25">
      <c r="J715" s="115"/>
      <c r="K715" s="115"/>
      <c r="L715" s="115"/>
      <c r="M715" s="115"/>
      <c r="N715" s="115"/>
      <c r="O715" s="115"/>
      <c r="P715" s="115"/>
    </row>
    <row r="716" spans="10:16" ht="12.5" x14ac:dyDescent="0.25">
      <c r="J716" s="115"/>
      <c r="K716" s="115"/>
      <c r="L716" s="115"/>
      <c r="M716" s="115"/>
      <c r="N716" s="115"/>
      <c r="O716" s="115"/>
      <c r="P716" s="115"/>
    </row>
    <row r="717" spans="10:16" ht="12.5" x14ac:dyDescent="0.25">
      <c r="J717" s="115"/>
      <c r="K717" s="115"/>
      <c r="L717" s="115"/>
      <c r="M717" s="115"/>
      <c r="N717" s="115"/>
      <c r="O717" s="115"/>
      <c r="P717" s="115"/>
    </row>
    <row r="718" spans="10:16" ht="12.5" x14ac:dyDescent="0.25">
      <c r="J718" s="115"/>
      <c r="K718" s="115"/>
      <c r="L718" s="115"/>
      <c r="M718" s="115"/>
      <c r="N718" s="115"/>
      <c r="O718" s="115"/>
      <c r="P718" s="115"/>
    </row>
    <row r="719" spans="10:16" ht="12.5" x14ac:dyDescent="0.25">
      <c r="J719" s="115"/>
      <c r="K719" s="115"/>
      <c r="L719" s="115"/>
      <c r="M719" s="115"/>
      <c r="N719" s="115"/>
      <c r="O719" s="115"/>
      <c r="P719" s="115"/>
    </row>
    <row r="720" spans="10:16" ht="12.5" x14ac:dyDescent="0.25">
      <c r="J720" s="115"/>
      <c r="K720" s="115"/>
      <c r="L720" s="115"/>
      <c r="M720" s="115"/>
      <c r="N720" s="115"/>
      <c r="O720" s="115"/>
      <c r="P720" s="115"/>
    </row>
    <row r="721" spans="10:16" ht="12.5" x14ac:dyDescent="0.25">
      <c r="J721" s="115"/>
      <c r="K721" s="115"/>
      <c r="L721" s="115"/>
      <c r="M721" s="115"/>
      <c r="N721" s="115"/>
      <c r="O721" s="115"/>
      <c r="P721" s="115"/>
    </row>
    <row r="722" spans="10:16" ht="12.5" x14ac:dyDescent="0.25">
      <c r="J722" s="115"/>
      <c r="K722" s="115"/>
      <c r="L722" s="115"/>
      <c r="M722" s="115"/>
      <c r="N722" s="115"/>
      <c r="O722" s="115"/>
      <c r="P722" s="115"/>
    </row>
    <row r="723" spans="10:16" ht="12.5" x14ac:dyDescent="0.25">
      <c r="J723" s="115"/>
      <c r="K723" s="115"/>
      <c r="L723" s="115"/>
      <c r="M723" s="115"/>
      <c r="N723" s="115"/>
      <c r="O723" s="115"/>
      <c r="P723" s="115"/>
    </row>
    <row r="724" spans="10:16" ht="12.5" x14ac:dyDescent="0.25">
      <c r="J724" s="115"/>
      <c r="K724" s="115"/>
      <c r="L724" s="115"/>
      <c r="M724" s="115"/>
      <c r="N724" s="115"/>
      <c r="O724" s="115"/>
      <c r="P724" s="115"/>
    </row>
    <row r="725" spans="10:16" ht="12.5" x14ac:dyDescent="0.25">
      <c r="J725" s="115"/>
      <c r="K725" s="115"/>
      <c r="L725" s="115"/>
      <c r="M725" s="115"/>
      <c r="N725" s="115"/>
      <c r="O725" s="115"/>
      <c r="P725" s="115"/>
    </row>
    <row r="726" spans="10:16" ht="12.5" x14ac:dyDescent="0.25">
      <c r="J726" s="115"/>
      <c r="K726" s="115"/>
      <c r="L726" s="115"/>
      <c r="M726" s="115"/>
      <c r="N726" s="115"/>
      <c r="O726" s="115"/>
      <c r="P726" s="115"/>
    </row>
    <row r="727" spans="10:16" ht="12.5" x14ac:dyDescent="0.25">
      <c r="J727" s="115"/>
      <c r="K727" s="115"/>
      <c r="L727" s="115"/>
      <c r="M727" s="115"/>
      <c r="N727" s="115"/>
      <c r="O727" s="115"/>
      <c r="P727" s="115"/>
    </row>
    <row r="728" spans="10:16" ht="12.5" x14ac:dyDescent="0.25">
      <c r="J728" s="115"/>
      <c r="K728" s="115"/>
      <c r="L728" s="115"/>
      <c r="M728" s="115"/>
      <c r="N728" s="115"/>
      <c r="O728" s="115"/>
      <c r="P728" s="115"/>
    </row>
    <row r="729" spans="10:16" ht="12.5" x14ac:dyDescent="0.25">
      <c r="J729" s="115"/>
      <c r="K729" s="115"/>
      <c r="L729" s="115"/>
      <c r="M729" s="115"/>
      <c r="N729" s="115"/>
      <c r="O729" s="115"/>
      <c r="P729" s="115"/>
    </row>
    <row r="730" spans="10:16" ht="12.5" x14ac:dyDescent="0.25">
      <c r="J730" s="115"/>
      <c r="K730" s="115"/>
      <c r="L730" s="115"/>
      <c r="M730" s="115"/>
      <c r="N730" s="115"/>
      <c r="O730" s="115"/>
      <c r="P730" s="115"/>
    </row>
    <row r="731" spans="10:16" ht="12.5" x14ac:dyDescent="0.25">
      <c r="J731" s="115"/>
      <c r="K731" s="115"/>
      <c r="L731" s="115"/>
      <c r="M731" s="115"/>
      <c r="N731" s="115"/>
      <c r="O731" s="115"/>
      <c r="P731" s="115"/>
    </row>
    <row r="732" spans="10:16" ht="12.5" x14ac:dyDescent="0.25">
      <c r="J732" s="115"/>
      <c r="K732" s="115"/>
      <c r="L732" s="115"/>
      <c r="M732" s="115"/>
      <c r="N732" s="115"/>
      <c r="O732" s="115"/>
      <c r="P732" s="115"/>
    </row>
    <row r="733" spans="10:16" ht="12.5" x14ac:dyDescent="0.25">
      <c r="J733" s="115"/>
      <c r="K733" s="115"/>
      <c r="L733" s="115"/>
      <c r="M733" s="115"/>
      <c r="N733" s="115"/>
      <c r="O733" s="115"/>
      <c r="P733" s="115"/>
    </row>
    <row r="734" spans="10:16" ht="12.5" x14ac:dyDescent="0.25">
      <c r="J734" s="115"/>
      <c r="K734" s="115"/>
      <c r="L734" s="115"/>
      <c r="M734" s="115"/>
      <c r="N734" s="115"/>
      <c r="O734" s="115"/>
      <c r="P734" s="115"/>
    </row>
    <row r="735" spans="10:16" ht="12.5" x14ac:dyDescent="0.25">
      <c r="J735" s="115"/>
      <c r="K735" s="115"/>
      <c r="L735" s="115"/>
      <c r="M735" s="115"/>
      <c r="N735" s="115"/>
      <c r="O735" s="115"/>
      <c r="P735" s="115"/>
    </row>
    <row r="736" spans="10:16" ht="12.5" x14ac:dyDescent="0.25">
      <c r="J736" s="115"/>
      <c r="K736" s="115"/>
      <c r="L736" s="115"/>
      <c r="M736" s="115"/>
      <c r="N736" s="115"/>
      <c r="O736" s="115"/>
      <c r="P736" s="115"/>
    </row>
    <row r="737" spans="10:16" ht="12.5" x14ac:dyDescent="0.25">
      <c r="J737" s="115"/>
      <c r="K737" s="115"/>
      <c r="L737" s="115"/>
      <c r="M737" s="115"/>
      <c r="N737" s="115"/>
      <c r="O737" s="115"/>
      <c r="P737" s="115"/>
    </row>
    <row r="738" spans="10:16" ht="12.5" x14ac:dyDescent="0.25">
      <c r="J738" s="115"/>
      <c r="K738" s="115"/>
      <c r="L738" s="115"/>
      <c r="M738" s="115"/>
      <c r="N738" s="115"/>
      <c r="O738" s="115"/>
      <c r="P738" s="115"/>
    </row>
    <row r="739" spans="10:16" ht="12.5" x14ac:dyDescent="0.25">
      <c r="J739" s="115"/>
      <c r="K739" s="115"/>
      <c r="L739" s="115"/>
      <c r="M739" s="115"/>
      <c r="N739" s="115"/>
      <c r="O739" s="115"/>
      <c r="P739" s="115"/>
    </row>
    <row r="740" spans="10:16" ht="12.5" x14ac:dyDescent="0.25">
      <c r="J740" s="115"/>
      <c r="K740" s="115"/>
      <c r="L740" s="115"/>
      <c r="M740" s="115"/>
      <c r="N740" s="115"/>
      <c r="O740" s="115"/>
      <c r="P740" s="115"/>
    </row>
    <row r="741" spans="10:16" ht="12.5" x14ac:dyDescent="0.25">
      <c r="J741" s="115"/>
      <c r="K741" s="115"/>
      <c r="L741" s="115"/>
      <c r="M741" s="115"/>
      <c r="N741" s="115"/>
      <c r="O741" s="115"/>
      <c r="P741" s="115"/>
    </row>
    <row r="742" spans="10:16" ht="12.5" x14ac:dyDescent="0.25">
      <c r="J742" s="115"/>
      <c r="K742" s="115"/>
      <c r="L742" s="115"/>
      <c r="M742" s="115"/>
      <c r="N742" s="115"/>
      <c r="O742" s="115"/>
      <c r="P742" s="115"/>
    </row>
    <row r="743" spans="10:16" ht="12.5" x14ac:dyDescent="0.25">
      <c r="J743" s="115"/>
      <c r="K743" s="115"/>
      <c r="L743" s="115"/>
      <c r="M743" s="115"/>
      <c r="N743" s="115"/>
      <c r="O743" s="115"/>
      <c r="P743" s="115"/>
    </row>
    <row r="744" spans="10:16" ht="12.5" x14ac:dyDescent="0.25">
      <c r="J744" s="115"/>
      <c r="K744" s="115"/>
      <c r="L744" s="115"/>
      <c r="M744" s="115"/>
      <c r="N744" s="115"/>
      <c r="O744" s="115"/>
      <c r="P744" s="115"/>
    </row>
    <row r="745" spans="10:16" ht="12.5" x14ac:dyDescent="0.25">
      <c r="J745" s="115"/>
      <c r="K745" s="115"/>
      <c r="L745" s="115"/>
      <c r="M745" s="115"/>
      <c r="N745" s="115"/>
      <c r="O745" s="115"/>
      <c r="P745" s="115"/>
    </row>
    <row r="746" spans="10:16" ht="12.5" x14ac:dyDescent="0.25">
      <c r="J746" s="115"/>
      <c r="K746" s="115"/>
      <c r="L746" s="115"/>
      <c r="M746" s="115"/>
      <c r="N746" s="115"/>
      <c r="O746" s="115"/>
      <c r="P746" s="115"/>
    </row>
    <row r="747" spans="10:16" ht="12.5" x14ac:dyDescent="0.25">
      <c r="J747" s="115"/>
      <c r="K747" s="115"/>
      <c r="L747" s="115"/>
      <c r="M747" s="115"/>
      <c r="N747" s="115"/>
      <c r="O747" s="115"/>
      <c r="P747" s="115"/>
    </row>
    <row r="748" spans="10:16" ht="12.5" x14ac:dyDescent="0.25">
      <c r="J748" s="115"/>
      <c r="K748" s="115"/>
      <c r="L748" s="115"/>
      <c r="M748" s="115"/>
      <c r="N748" s="115"/>
      <c r="O748" s="115"/>
      <c r="P748" s="115"/>
    </row>
    <row r="749" spans="10:16" ht="12.5" x14ac:dyDescent="0.25">
      <c r="J749" s="115"/>
      <c r="K749" s="115"/>
      <c r="L749" s="115"/>
      <c r="M749" s="115"/>
      <c r="N749" s="115"/>
      <c r="O749" s="115"/>
      <c r="P749" s="115"/>
    </row>
    <row r="750" spans="10:16" ht="12.5" x14ac:dyDescent="0.25">
      <c r="J750" s="115"/>
      <c r="K750" s="115"/>
      <c r="L750" s="115"/>
      <c r="M750" s="115"/>
      <c r="N750" s="115"/>
      <c r="O750" s="115"/>
      <c r="P750" s="115"/>
    </row>
    <row r="751" spans="10:16" ht="12.5" x14ac:dyDescent="0.25">
      <c r="J751" s="115"/>
      <c r="K751" s="115"/>
      <c r="L751" s="115"/>
      <c r="M751" s="115"/>
      <c r="N751" s="115"/>
      <c r="O751" s="115"/>
      <c r="P751" s="115"/>
    </row>
    <row r="752" spans="10:16" ht="12.5" x14ac:dyDescent="0.25">
      <c r="J752" s="115"/>
      <c r="K752" s="115"/>
      <c r="L752" s="115"/>
      <c r="M752" s="115"/>
      <c r="N752" s="115"/>
      <c r="O752" s="115"/>
      <c r="P752" s="115"/>
    </row>
    <row r="753" spans="10:16" ht="12.5" x14ac:dyDescent="0.25">
      <c r="J753" s="115"/>
      <c r="K753" s="115"/>
      <c r="L753" s="115"/>
      <c r="M753" s="115"/>
      <c r="N753" s="115"/>
      <c r="O753" s="115"/>
      <c r="P753" s="115"/>
    </row>
    <row r="754" spans="10:16" ht="12.5" x14ac:dyDescent="0.25">
      <c r="J754" s="115"/>
      <c r="K754" s="115"/>
      <c r="L754" s="115"/>
      <c r="M754" s="115"/>
      <c r="N754" s="115"/>
      <c r="O754" s="115"/>
      <c r="P754" s="115"/>
    </row>
    <row r="755" spans="10:16" ht="12.5" x14ac:dyDescent="0.25">
      <c r="J755" s="115"/>
      <c r="K755" s="115"/>
      <c r="L755" s="115"/>
      <c r="M755" s="115"/>
      <c r="N755" s="115"/>
      <c r="O755" s="115"/>
      <c r="P755" s="115"/>
    </row>
    <row r="756" spans="10:16" ht="12.5" x14ac:dyDescent="0.25">
      <c r="J756" s="115"/>
      <c r="K756" s="115"/>
      <c r="L756" s="115"/>
      <c r="M756" s="115"/>
      <c r="N756" s="115"/>
      <c r="O756" s="115"/>
      <c r="P756" s="115"/>
    </row>
    <row r="757" spans="10:16" ht="12.5" x14ac:dyDescent="0.25">
      <c r="J757" s="115"/>
      <c r="K757" s="115"/>
      <c r="L757" s="115"/>
      <c r="M757" s="115"/>
      <c r="N757" s="115"/>
      <c r="O757" s="115"/>
      <c r="P757" s="115"/>
    </row>
    <row r="758" spans="10:16" ht="12.5" x14ac:dyDescent="0.25">
      <c r="J758" s="115"/>
      <c r="K758" s="115"/>
      <c r="L758" s="115"/>
      <c r="M758" s="115"/>
      <c r="N758" s="115"/>
      <c r="O758" s="115"/>
      <c r="P758" s="115"/>
    </row>
    <row r="759" spans="10:16" ht="12.5" x14ac:dyDescent="0.25">
      <c r="J759" s="115"/>
      <c r="K759" s="115"/>
      <c r="L759" s="115"/>
      <c r="M759" s="115"/>
      <c r="N759" s="115"/>
      <c r="O759" s="115"/>
      <c r="P759" s="115"/>
    </row>
    <row r="760" spans="10:16" ht="12.5" x14ac:dyDescent="0.25">
      <c r="J760" s="115"/>
      <c r="K760" s="115"/>
      <c r="L760" s="115"/>
      <c r="M760" s="115"/>
      <c r="N760" s="115"/>
      <c r="O760" s="115"/>
      <c r="P760" s="115"/>
    </row>
    <row r="761" spans="10:16" ht="12.5" x14ac:dyDescent="0.25">
      <c r="J761" s="115"/>
      <c r="K761" s="115"/>
      <c r="L761" s="115"/>
      <c r="M761" s="115"/>
      <c r="N761" s="115"/>
      <c r="O761" s="115"/>
      <c r="P761" s="115"/>
    </row>
    <row r="762" spans="10:16" ht="12.5" x14ac:dyDescent="0.25">
      <c r="J762" s="115"/>
      <c r="K762" s="115"/>
      <c r="L762" s="115"/>
      <c r="M762" s="115"/>
      <c r="N762" s="115"/>
      <c r="O762" s="115"/>
      <c r="P762" s="115"/>
    </row>
    <row r="763" spans="10:16" ht="12.5" x14ac:dyDescent="0.25">
      <c r="J763" s="115"/>
      <c r="K763" s="115"/>
      <c r="L763" s="115"/>
      <c r="M763" s="115"/>
      <c r="N763" s="115"/>
      <c r="O763" s="115"/>
      <c r="P763" s="115"/>
    </row>
    <row r="764" spans="10:16" ht="12.5" x14ac:dyDescent="0.25">
      <c r="J764" s="115"/>
      <c r="K764" s="115"/>
      <c r="L764" s="115"/>
      <c r="M764" s="115"/>
      <c r="N764" s="115"/>
      <c r="O764" s="115"/>
      <c r="P764" s="115"/>
    </row>
    <row r="765" spans="10:16" ht="12.5" x14ac:dyDescent="0.25">
      <c r="J765" s="115"/>
      <c r="K765" s="115"/>
      <c r="L765" s="115"/>
      <c r="M765" s="115"/>
      <c r="N765" s="115"/>
      <c r="O765" s="115"/>
      <c r="P765" s="115"/>
    </row>
    <row r="766" spans="10:16" ht="12.5" x14ac:dyDescent="0.25">
      <c r="J766" s="115"/>
      <c r="K766" s="115"/>
      <c r="L766" s="115"/>
      <c r="M766" s="115"/>
      <c r="N766" s="115"/>
      <c r="O766" s="115"/>
      <c r="P766" s="115"/>
    </row>
    <row r="767" spans="10:16" ht="12.5" x14ac:dyDescent="0.25">
      <c r="J767" s="115"/>
      <c r="K767" s="115"/>
      <c r="L767" s="115"/>
      <c r="M767" s="115"/>
      <c r="N767" s="115"/>
      <c r="O767" s="115"/>
      <c r="P767" s="115"/>
    </row>
    <row r="768" spans="10:16" ht="12.5" x14ac:dyDescent="0.25">
      <c r="J768" s="115"/>
      <c r="K768" s="115"/>
      <c r="L768" s="115"/>
      <c r="M768" s="115"/>
      <c r="N768" s="115"/>
      <c r="O768" s="115"/>
      <c r="P768" s="115"/>
    </row>
    <row r="769" spans="10:16" ht="12.5" x14ac:dyDescent="0.25">
      <c r="J769" s="115"/>
      <c r="K769" s="115"/>
      <c r="L769" s="115"/>
      <c r="M769" s="115"/>
      <c r="N769" s="115"/>
      <c r="O769" s="115"/>
      <c r="P769" s="115"/>
    </row>
    <row r="770" spans="10:16" ht="12.5" x14ac:dyDescent="0.25">
      <c r="J770" s="115"/>
      <c r="K770" s="115"/>
      <c r="L770" s="115"/>
      <c r="M770" s="115"/>
      <c r="N770" s="115"/>
      <c r="O770" s="115"/>
      <c r="P770" s="115"/>
    </row>
    <row r="771" spans="10:16" ht="12.5" x14ac:dyDescent="0.25">
      <c r="J771" s="115"/>
      <c r="K771" s="115"/>
      <c r="L771" s="115"/>
      <c r="M771" s="115"/>
      <c r="N771" s="115"/>
      <c r="O771" s="115"/>
      <c r="P771" s="115"/>
    </row>
    <row r="772" spans="10:16" ht="12.5" x14ac:dyDescent="0.25">
      <c r="J772" s="115"/>
      <c r="K772" s="115"/>
      <c r="L772" s="115"/>
      <c r="M772" s="115"/>
      <c r="N772" s="115"/>
      <c r="O772" s="115"/>
      <c r="P772" s="115"/>
    </row>
    <row r="773" spans="10:16" ht="12.5" x14ac:dyDescent="0.25">
      <c r="J773" s="115"/>
      <c r="K773" s="115"/>
      <c r="L773" s="115"/>
      <c r="M773" s="115"/>
      <c r="N773" s="115"/>
      <c r="O773" s="115"/>
      <c r="P773" s="115"/>
    </row>
    <row r="774" spans="10:16" ht="12.5" x14ac:dyDescent="0.25">
      <c r="J774" s="115"/>
      <c r="K774" s="115"/>
      <c r="L774" s="115"/>
      <c r="M774" s="115"/>
      <c r="N774" s="115"/>
      <c r="O774" s="115"/>
      <c r="P774" s="115"/>
    </row>
    <row r="775" spans="10:16" ht="12.5" x14ac:dyDescent="0.25">
      <c r="J775" s="115"/>
      <c r="K775" s="115"/>
      <c r="L775" s="115"/>
      <c r="M775" s="115"/>
      <c r="N775" s="115"/>
      <c r="O775" s="115"/>
      <c r="P775" s="115"/>
    </row>
    <row r="776" spans="10:16" ht="12.5" x14ac:dyDescent="0.25">
      <c r="J776" s="115"/>
      <c r="K776" s="115"/>
      <c r="L776" s="115"/>
      <c r="M776" s="115"/>
      <c r="N776" s="115"/>
      <c r="O776" s="115"/>
      <c r="P776" s="115"/>
    </row>
    <row r="777" spans="10:16" ht="12.5" x14ac:dyDescent="0.25">
      <c r="J777" s="115"/>
      <c r="K777" s="115"/>
      <c r="L777" s="115"/>
      <c r="M777" s="115"/>
      <c r="N777" s="115"/>
      <c r="O777" s="115"/>
      <c r="P777" s="115"/>
    </row>
    <row r="778" spans="10:16" ht="12.5" x14ac:dyDescent="0.25">
      <c r="J778" s="115"/>
      <c r="K778" s="115"/>
      <c r="L778" s="115"/>
      <c r="M778" s="115"/>
      <c r="N778" s="115"/>
      <c r="O778" s="115"/>
      <c r="P778" s="115"/>
    </row>
    <row r="779" spans="10:16" ht="12.5" x14ac:dyDescent="0.25">
      <c r="J779" s="115"/>
      <c r="K779" s="115"/>
      <c r="L779" s="115"/>
      <c r="M779" s="115"/>
      <c r="N779" s="115"/>
      <c r="O779" s="115"/>
      <c r="P779" s="115"/>
    </row>
    <row r="780" spans="10:16" ht="12.5" x14ac:dyDescent="0.25">
      <c r="J780" s="115"/>
      <c r="K780" s="115"/>
      <c r="L780" s="115"/>
      <c r="M780" s="115"/>
      <c r="N780" s="115"/>
      <c r="O780" s="115"/>
      <c r="P780" s="115"/>
    </row>
    <row r="781" spans="10:16" ht="12.5" x14ac:dyDescent="0.25">
      <c r="J781" s="115"/>
      <c r="K781" s="115"/>
      <c r="L781" s="115"/>
      <c r="M781" s="115"/>
      <c r="N781" s="115"/>
      <c r="O781" s="115"/>
      <c r="P781" s="115"/>
    </row>
    <row r="782" spans="10:16" ht="12.5" x14ac:dyDescent="0.25">
      <c r="J782" s="115"/>
      <c r="K782" s="115"/>
      <c r="L782" s="115"/>
      <c r="M782" s="115"/>
      <c r="N782" s="115"/>
      <c r="O782" s="115"/>
      <c r="P782" s="115"/>
    </row>
    <row r="783" spans="10:16" ht="12.5" x14ac:dyDescent="0.25">
      <c r="J783" s="115"/>
      <c r="K783" s="115"/>
      <c r="L783" s="115"/>
      <c r="M783" s="115"/>
      <c r="N783" s="115"/>
      <c r="O783" s="115"/>
      <c r="P783" s="115"/>
    </row>
    <row r="784" spans="10:16" ht="12.5" x14ac:dyDescent="0.25">
      <c r="J784" s="115"/>
      <c r="K784" s="115"/>
      <c r="L784" s="115"/>
      <c r="M784" s="115"/>
      <c r="N784" s="115"/>
      <c r="O784" s="115"/>
      <c r="P784" s="115"/>
    </row>
    <row r="785" spans="10:16" ht="12.5" x14ac:dyDescent="0.25">
      <c r="J785" s="115"/>
      <c r="K785" s="115"/>
      <c r="L785" s="115"/>
      <c r="M785" s="115"/>
      <c r="N785" s="115"/>
      <c r="O785" s="115"/>
      <c r="P785" s="115"/>
    </row>
    <row r="786" spans="10:16" ht="12.5" x14ac:dyDescent="0.25">
      <c r="J786" s="115"/>
      <c r="K786" s="115"/>
      <c r="L786" s="115"/>
      <c r="M786" s="115"/>
      <c r="N786" s="115"/>
      <c r="O786" s="115"/>
      <c r="P786" s="115"/>
    </row>
    <row r="787" spans="10:16" ht="12.5" x14ac:dyDescent="0.25">
      <c r="J787" s="115"/>
      <c r="K787" s="115"/>
      <c r="L787" s="115"/>
      <c r="M787" s="115"/>
      <c r="N787" s="115"/>
      <c r="O787" s="115"/>
      <c r="P787" s="115"/>
    </row>
    <row r="788" spans="10:16" ht="12.5" x14ac:dyDescent="0.25">
      <c r="J788" s="115"/>
      <c r="K788" s="115"/>
      <c r="L788" s="115"/>
      <c r="M788" s="115"/>
      <c r="N788" s="115"/>
      <c r="O788" s="115"/>
      <c r="P788" s="115"/>
    </row>
    <row r="789" spans="10:16" ht="12.5" x14ac:dyDescent="0.25">
      <c r="J789" s="115"/>
      <c r="K789" s="115"/>
      <c r="L789" s="115"/>
      <c r="M789" s="115"/>
      <c r="N789" s="115"/>
      <c r="O789" s="115"/>
      <c r="P789" s="115"/>
    </row>
    <row r="790" spans="10:16" ht="12.5" x14ac:dyDescent="0.25">
      <c r="J790" s="115"/>
      <c r="K790" s="115"/>
      <c r="L790" s="115"/>
      <c r="M790" s="115"/>
      <c r="N790" s="115"/>
      <c r="O790" s="115"/>
      <c r="P790" s="115"/>
    </row>
    <row r="791" spans="10:16" ht="12.5" x14ac:dyDescent="0.25">
      <c r="J791" s="115"/>
      <c r="K791" s="115"/>
      <c r="L791" s="115"/>
      <c r="M791" s="115"/>
      <c r="N791" s="115"/>
      <c r="O791" s="115"/>
      <c r="P791" s="115"/>
    </row>
    <row r="792" spans="10:16" ht="12.5" x14ac:dyDescent="0.25">
      <c r="J792" s="115"/>
      <c r="K792" s="115"/>
      <c r="L792" s="115"/>
      <c r="M792" s="115"/>
      <c r="N792" s="115"/>
      <c r="O792" s="115"/>
      <c r="P792" s="115"/>
    </row>
    <row r="793" spans="10:16" ht="12.5" x14ac:dyDescent="0.25">
      <c r="J793" s="115"/>
      <c r="K793" s="115"/>
      <c r="L793" s="115"/>
      <c r="M793" s="115"/>
      <c r="N793" s="115"/>
      <c r="O793" s="115"/>
      <c r="P793" s="115"/>
    </row>
    <row r="794" spans="10:16" ht="12.5" x14ac:dyDescent="0.25">
      <c r="J794" s="115"/>
      <c r="K794" s="115"/>
      <c r="L794" s="115"/>
      <c r="M794" s="115"/>
      <c r="N794" s="115"/>
      <c r="O794" s="115"/>
      <c r="P794" s="115"/>
    </row>
    <row r="795" spans="10:16" ht="12.5" x14ac:dyDescent="0.25">
      <c r="J795" s="115"/>
      <c r="K795" s="115"/>
      <c r="L795" s="115"/>
      <c r="M795" s="115"/>
      <c r="N795" s="115"/>
      <c r="O795" s="115"/>
      <c r="P795" s="115"/>
    </row>
    <row r="796" spans="10:16" ht="12.5" x14ac:dyDescent="0.25">
      <c r="J796" s="115"/>
      <c r="K796" s="115"/>
      <c r="L796" s="115"/>
      <c r="M796" s="115"/>
      <c r="N796" s="115"/>
      <c r="O796" s="115"/>
      <c r="P796" s="115"/>
    </row>
    <row r="797" spans="10:16" ht="12.5" x14ac:dyDescent="0.25">
      <c r="J797" s="115"/>
      <c r="K797" s="115"/>
      <c r="L797" s="115"/>
      <c r="M797" s="115"/>
      <c r="N797" s="115"/>
      <c r="O797" s="115"/>
      <c r="P797" s="115"/>
    </row>
    <row r="798" spans="10:16" ht="12.5" x14ac:dyDescent="0.25">
      <c r="J798" s="115"/>
      <c r="K798" s="115"/>
      <c r="L798" s="115"/>
      <c r="M798" s="115"/>
      <c r="N798" s="115"/>
      <c r="O798" s="115"/>
      <c r="P798" s="115"/>
    </row>
    <row r="799" spans="10:16" ht="12.5" x14ac:dyDescent="0.25">
      <c r="J799" s="115"/>
      <c r="K799" s="115"/>
      <c r="L799" s="115"/>
      <c r="M799" s="115"/>
      <c r="N799" s="115"/>
      <c r="O799" s="115"/>
      <c r="P799" s="115"/>
    </row>
    <row r="800" spans="10:16" ht="12.5" x14ac:dyDescent="0.25">
      <c r="J800" s="115"/>
      <c r="K800" s="115"/>
      <c r="L800" s="115"/>
      <c r="M800" s="115"/>
      <c r="N800" s="115"/>
      <c r="O800" s="115"/>
      <c r="P800" s="115"/>
    </row>
    <row r="801" spans="10:16" ht="12.5" x14ac:dyDescent="0.25">
      <c r="J801" s="115"/>
      <c r="K801" s="115"/>
      <c r="L801" s="115"/>
      <c r="M801" s="115"/>
      <c r="N801" s="115"/>
      <c r="O801" s="115"/>
      <c r="P801" s="115"/>
    </row>
    <row r="802" spans="10:16" ht="12.5" x14ac:dyDescent="0.25">
      <c r="J802" s="115"/>
      <c r="K802" s="115"/>
      <c r="L802" s="115"/>
      <c r="M802" s="115"/>
      <c r="N802" s="115"/>
      <c r="O802" s="115"/>
      <c r="P802" s="115"/>
    </row>
    <row r="803" spans="10:16" ht="12.5" x14ac:dyDescent="0.25">
      <c r="J803" s="115"/>
      <c r="K803" s="115"/>
      <c r="L803" s="115"/>
      <c r="M803" s="115"/>
      <c r="N803" s="115"/>
      <c r="O803" s="115"/>
      <c r="P803" s="115"/>
    </row>
    <row r="804" spans="10:16" ht="12.5" x14ac:dyDescent="0.25">
      <c r="J804" s="115"/>
      <c r="K804" s="115"/>
      <c r="L804" s="115"/>
      <c r="M804" s="115"/>
      <c r="N804" s="115"/>
      <c r="O804" s="115"/>
      <c r="P804" s="115"/>
    </row>
    <row r="805" spans="10:16" ht="12.5" x14ac:dyDescent="0.25">
      <c r="J805" s="115"/>
      <c r="K805" s="115"/>
      <c r="L805" s="115"/>
      <c r="M805" s="115"/>
      <c r="N805" s="115"/>
      <c r="O805" s="115"/>
      <c r="P805" s="115"/>
    </row>
    <row r="806" spans="10:16" ht="12.5" x14ac:dyDescent="0.25">
      <c r="J806" s="115"/>
      <c r="K806" s="115"/>
      <c r="L806" s="115"/>
      <c r="M806" s="115"/>
      <c r="N806" s="115"/>
      <c r="O806" s="115"/>
      <c r="P806" s="115"/>
    </row>
    <row r="807" spans="10:16" ht="12.5" x14ac:dyDescent="0.25">
      <c r="J807" s="115"/>
      <c r="K807" s="115"/>
      <c r="L807" s="115"/>
      <c r="M807" s="115"/>
      <c r="N807" s="115"/>
      <c r="O807" s="115"/>
      <c r="P807" s="115"/>
    </row>
    <row r="808" spans="10:16" ht="12.5" x14ac:dyDescent="0.25">
      <c r="J808" s="115"/>
      <c r="K808" s="115"/>
      <c r="L808" s="115"/>
      <c r="M808" s="115"/>
      <c r="N808" s="115"/>
      <c r="O808" s="115"/>
      <c r="P808" s="115"/>
    </row>
    <row r="809" spans="10:16" ht="12.5" x14ac:dyDescent="0.25">
      <c r="J809" s="115"/>
      <c r="K809" s="115"/>
      <c r="L809" s="115"/>
      <c r="M809" s="115"/>
      <c r="N809" s="115"/>
      <c r="O809" s="115"/>
      <c r="P809" s="115"/>
    </row>
    <row r="810" spans="10:16" ht="12.5" x14ac:dyDescent="0.25">
      <c r="J810" s="115"/>
      <c r="K810" s="115"/>
      <c r="L810" s="115"/>
      <c r="M810" s="115"/>
      <c r="N810" s="115"/>
      <c r="O810" s="115"/>
      <c r="P810" s="115"/>
    </row>
    <row r="811" spans="10:16" ht="12.5" x14ac:dyDescent="0.25">
      <c r="J811" s="115"/>
      <c r="K811" s="115"/>
      <c r="L811" s="115"/>
      <c r="M811" s="115"/>
      <c r="N811" s="115"/>
      <c r="O811" s="115"/>
      <c r="P811" s="115"/>
    </row>
    <row r="812" spans="10:16" ht="12.5" x14ac:dyDescent="0.25">
      <c r="J812" s="115"/>
      <c r="K812" s="115"/>
      <c r="L812" s="115"/>
      <c r="M812" s="115"/>
      <c r="N812" s="115"/>
      <c r="O812" s="115"/>
      <c r="P812" s="115"/>
    </row>
    <row r="813" spans="10:16" ht="12.5" x14ac:dyDescent="0.25">
      <c r="J813" s="115"/>
      <c r="K813" s="115"/>
      <c r="L813" s="115"/>
      <c r="M813" s="115"/>
      <c r="N813" s="115"/>
      <c r="O813" s="115"/>
      <c r="P813" s="115"/>
    </row>
    <row r="814" spans="10:16" ht="12.5" x14ac:dyDescent="0.25">
      <c r="J814" s="115"/>
      <c r="K814" s="115"/>
      <c r="L814" s="115"/>
      <c r="M814" s="115"/>
      <c r="N814" s="115"/>
      <c r="O814" s="115"/>
      <c r="P814" s="115"/>
    </row>
    <row r="815" spans="10:16" ht="12.5" x14ac:dyDescent="0.25">
      <c r="J815" s="115"/>
      <c r="K815" s="115"/>
      <c r="L815" s="115"/>
      <c r="M815" s="115"/>
      <c r="N815" s="115"/>
      <c r="O815" s="115"/>
      <c r="P815" s="115"/>
    </row>
    <row r="816" spans="10:16" ht="12.5" x14ac:dyDescent="0.25">
      <c r="J816" s="115"/>
      <c r="K816" s="115"/>
      <c r="L816" s="115"/>
      <c r="M816" s="115"/>
      <c r="N816" s="115"/>
      <c r="O816" s="115"/>
      <c r="P816" s="115"/>
    </row>
    <row r="817" spans="10:16" ht="12.5" x14ac:dyDescent="0.25">
      <c r="J817" s="115"/>
      <c r="K817" s="115"/>
      <c r="L817" s="115"/>
      <c r="M817" s="115"/>
      <c r="N817" s="115"/>
      <c r="O817" s="115"/>
      <c r="P817" s="115"/>
    </row>
    <row r="818" spans="10:16" ht="12.5" x14ac:dyDescent="0.25">
      <c r="J818" s="115"/>
      <c r="K818" s="115"/>
      <c r="L818" s="115"/>
      <c r="M818" s="115"/>
      <c r="N818" s="115"/>
      <c r="O818" s="115"/>
      <c r="P818" s="115"/>
    </row>
    <row r="819" spans="10:16" ht="12.5" x14ac:dyDescent="0.25">
      <c r="J819" s="115"/>
      <c r="K819" s="115"/>
      <c r="L819" s="115"/>
      <c r="M819" s="115"/>
      <c r="N819" s="115"/>
      <c r="O819" s="115"/>
      <c r="P819" s="115"/>
    </row>
    <row r="820" spans="10:16" ht="12.5" x14ac:dyDescent="0.25">
      <c r="J820" s="115"/>
      <c r="K820" s="115"/>
      <c r="L820" s="115"/>
      <c r="M820" s="115"/>
      <c r="N820" s="115"/>
      <c r="O820" s="115"/>
      <c r="P820" s="115"/>
    </row>
    <row r="821" spans="10:16" ht="12.5" x14ac:dyDescent="0.25">
      <c r="J821" s="115"/>
      <c r="K821" s="115"/>
      <c r="L821" s="115"/>
      <c r="M821" s="115"/>
      <c r="N821" s="115"/>
      <c r="O821" s="115"/>
      <c r="P821" s="115"/>
    </row>
    <row r="822" spans="10:16" ht="12.5" x14ac:dyDescent="0.25">
      <c r="J822" s="115"/>
      <c r="K822" s="115"/>
      <c r="L822" s="115"/>
      <c r="M822" s="115"/>
      <c r="N822" s="115"/>
      <c r="O822" s="115"/>
      <c r="P822" s="115"/>
    </row>
    <row r="823" spans="10:16" ht="12.5" x14ac:dyDescent="0.25">
      <c r="J823" s="115"/>
      <c r="K823" s="115"/>
      <c r="L823" s="115"/>
      <c r="M823" s="115"/>
      <c r="N823" s="115"/>
      <c r="O823" s="115"/>
      <c r="P823" s="115"/>
    </row>
    <row r="824" spans="10:16" ht="12.5" x14ac:dyDescent="0.25">
      <c r="J824" s="115"/>
      <c r="K824" s="115"/>
      <c r="L824" s="115"/>
      <c r="M824" s="115"/>
      <c r="N824" s="115"/>
      <c r="O824" s="115"/>
      <c r="P824" s="115"/>
    </row>
    <row r="825" spans="10:16" ht="12.5" x14ac:dyDescent="0.25">
      <c r="J825" s="115"/>
      <c r="K825" s="115"/>
      <c r="L825" s="115"/>
      <c r="M825" s="115"/>
      <c r="N825" s="115"/>
      <c r="O825" s="115"/>
      <c r="P825" s="115"/>
    </row>
    <row r="826" spans="10:16" ht="12.5" x14ac:dyDescent="0.25">
      <c r="J826" s="115"/>
      <c r="K826" s="115"/>
      <c r="L826" s="115"/>
      <c r="M826" s="115"/>
      <c r="N826" s="115"/>
      <c r="O826" s="115"/>
      <c r="P826" s="115"/>
    </row>
    <row r="827" spans="10:16" ht="12.5" x14ac:dyDescent="0.25">
      <c r="J827" s="115"/>
      <c r="K827" s="115"/>
      <c r="L827" s="115"/>
      <c r="M827" s="115"/>
      <c r="N827" s="115"/>
      <c r="O827" s="115"/>
      <c r="P827" s="115"/>
    </row>
    <row r="828" spans="10:16" ht="12.5" x14ac:dyDescent="0.25">
      <c r="J828" s="115"/>
      <c r="K828" s="115"/>
      <c r="L828" s="115"/>
      <c r="M828" s="115"/>
      <c r="N828" s="115"/>
      <c r="O828" s="115"/>
      <c r="P828" s="115"/>
    </row>
    <row r="829" spans="10:16" ht="12.5" x14ac:dyDescent="0.25">
      <c r="J829" s="115"/>
      <c r="K829" s="115"/>
      <c r="L829" s="115"/>
      <c r="M829" s="115"/>
      <c r="N829" s="115"/>
      <c r="O829" s="115"/>
      <c r="P829" s="115"/>
    </row>
    <row r="830" spans="10:16" ht="12.5" x14ac:dyDescent="0.25">
      <c r="J830" s="115"/>
      <c r="K830" s="115"/>
      <c r="L830" s="115"/>
      <c r="M830" s="115"/>
      <c r="N830" s="115"/>
      <c r="O830" s="115"/>
      <c r="P830" s="115"/>
    </row>
    <row r="831" spans="10:16" ht="12.5" x14ac:dyDescent="0.25">
      <c r="J831" s="115"/>
      <c r="K831" s="115"/>
      <c r="L831" s="115"/>
      <c r="M831" s="115"/>
      <c r="N831" s="115"/>
      <c r="O831" s="115"/>
      <c r="P831" s="115"/>
    </row>
    <row r="832" spans="10:16" ht="12.5" x14ac:dyDescent="0.25">
      <c r="J832" s="115"/>
      <c r="K832" s="115"/>
      <c r="L832" s="115"/>
      <c r="M832" s="115"/>
      <c r="N832" s="115"/>
      <c r="O832" s="115"/>
      <c r="P832" s="115"/>
    </row>
    <row r="833" spans="10:16" ht="12.5" x14ac:dyDescent="0.25">
      <c r="J833" s="115"/>
      <c r="K833" s="115"/>
      <c r="L833" s="115"/>
      <c r="M833" s="115"/>
      <c r="N833" s="115"/>
      <c r="O833" s="115"/>
      <c r="P833" s="115"/>
    </row>
    <row r="834" spans="10:16" ht="12.5" x14ac:dyDescent="0.25">
      <c r="J834" s="115"/>
      <c r="K834" s="115"/>
      <c r="L834" s="115"/>
      <c r="M834" s="115"/>
      <c r="N834" s="115"/>
      <c r="O834" s="115"/>
      <c r="P834" s="115"/>
    </row>
    <row r="835" spans="10:16" ht="12.5" x14ac:dyDescent="0.25">
      <c r="J835" s="115"/>
      <c r="K835" s="115"/>
      <c r="L835" s="115"/>
      <c r="M835" s="115"/>
      <c r="N835" s="115"/>
      <c r="O835" s="115"/>
      <c r="P835" s="115"/>
    </row>
    <row r="836" spans="10:16" ht="12.5" x14ac:dyDescent="0.25">
      <c r="J836" s="115"/>
      <c r="K836" s="115"/>
      <c r="L836" s="115"/>
      <c r="M836" s="115"/>
      <c r="N836" s="115"/>
      <c r="O836" s="115"/>
      <c r="P836" s="115"/>
    </row>
    <row r="837" spans="10:16" ht="12.5" x14ac:dyDescent="0.25">
      <c r="J837" s="115"/>
      <c r="K837" s="115"/>
      <c r="L837" s="115"/>
      <c r="M837" s="115"/>
      <c r="N837" s="115"/>
      <c r="O837" s="115"/>
      <c r="P837" s="115"/>
    </row>
    <row r="838" spans="10:16" ht="12.5" x14ac:dyDescent="0.25">
      <c r="J838" s="115"/>
      <c r="K838" s="115"/>
      <c r="L838" s="115"/>
      <c r="M838" s="115"/>
      <c r="N838" s="115"/>
      <c r="O838" s="115"/>
      <c r="P838" s="115"/>
    </row>
    <row r="839" spans="10:16" ht="12.5" x14ac:dyDescent="0.25">
      <c r="J839" s="115"/>
      <c r="K839" s="115"/>
      <c r="L839" s="115"/>
      <c r="M839" s="115"/>
      <c r="N839" s="115"/>
      <c r="O839" s="115"/>
      <c r="P839" s="115"/>
    </row>
    <row r="840" spans="10:16" ht="12.5" x14ac:dyDescent="0.25">
      <c r="J840" s="115"/>
      <c r="K840" s="115"/>
      <c r="L840" s="115"/>
      <c r="M840" s="115"/>
      <c r="N840" s="115"/>
      <c r="O840" s="115"/>
      <c r="P840" s="115"/>
    </row>
    <row r="841" spans="10:16" ht="12.5" x14ac:dyDescent="0.25">
      <c r="J841" s="115"/>
      <c r="K841" s="115"/>
      <c r="L841" s="115"/>
      <c r="M841" s="115"/>
      <c r="N841" s="115"/>
      <c r="O841" s="115"/>
      <c r="P841" s="115"/>
    </row>
    <row r="842" spans="10:16" ht="12.5" x14ac:dyDescent="0.25">
      <c r="J842" s="115"/>
      <c r="K842" s="115"/>
      <c r="L842" s="115"/>
      <c r="M842" s="115"/>
      <c r="N842" s="115"/>
      <c r="O842" s="115"/>
      <c r="P842" s="115"/>
    </row>
    <row r="843" spans="10:16" ht="12.5" x14ac:dyDescent="0.25">
      <c r="J843" s="115"/>
      <c r="K843" s="115"/>
      <c r="L843" s="115"/>
      <c r="M843" s="115"/>
      <c r="N843" s="115"/>
      <c r="O843" s="115"/>
      <c r="P843" s="115"/>
    </row>
    <row r="844" spans="10:16" ht="12.5" x14ac:dyDescent="0.25">
      <c r="J844" s="115"/>
      <c r="K844" s="115"/>
      <c r="L844" s="115"/>
      <c r="M844" s="115"/>
      <c r="N844" s="115"/>
      <c r="O844" s="115"/>
      <c r="P844" s="115"/>
    </row>
    <row r="845" spans="10:16" ht="12.5" x14ac:dyDescent="0.25">
      <c r="J845" s="115"/>
      <c r="K845" s="115"/>
      <c r="L845" s="115"/>
      <c r="M845" s="115"/>
      <c r="N845" s="115"/>
      <c r="O845" s="115"/>
      <c r="P845" s="115"/>
    </row>
    <row r="846" spans="10:16" ht="12.5" x14ac:dyDescent="0.25">
      <c r="J846" s="115"/>
      <c r="K846" s="115"/>
      <c r="L846" s="115"/>
      <c r="M846" s="115"/>
      <c r="N846" s="115"/>
      <c r="O846" s="115"/>
      <c r="P846" s="115"/>
    </row>
    <row r="847" spans="10:16" ht="12.5" x14ac:dyDescent="0.25">
      <c r="J847" s="115"/>
      <c r="K847" s="115"/>
      <c r="L847" s="115"/>
      <c r="M847" s="115"/>
      <c r="N847" s="115"/>
      <c r="O847" s="115"/>
      <c r="P847" s="115"/>
    </row>
    <row r="848" spans="10:16" ht="12.5" x14ac:dyDescent="0.25">
      <c r="J848" s="115"/>
      <c r="K848" s="115"/>
      <c r="L848" s="115"/>
      <c r="M848" s="115"/>
      <c r="N848" s="115"/>
      <c r="O848" s="115"/>
      <c r="P848" s="115"/>
    </row>
    <row r="849" spans="10:16" ht="12.5" x14ac:dyDescent="0.25">
      <c r="J849" s="115"/>
      <c r="K849" s="115"/>
      <c r="L849" s="115"/>
      <c r="M849" s="115"/>
      <c r="N849" s="115"/>
      <c r="O849" s="115"/>
      <c r="P849" s="115"/>
    </row>
    <row r="850" spans="10:16" ht="12.5" x14ac:dyDescent="0.25">
      <c r="J850" s="115"/>
      <c r="K850" s="115"/>
      <c r="L850" s="115"/>
      <c r="M850" s="115"/>
      <c r="N850" s="115"/>
      <c r="O850" s="115"/>
      <c r="P850" s="115"/>
    </row>
    <row r="851" spans="10:16" ht="12.5" x14ac:dyDescent="0.25">
      <c r="J851" s="115"/>
      <c r="K851" s="115"/>
      <c r="L851" s="115"/>
      <c r="M851" s="115"/>
      <c r="N851" s="115"/>
      <c r="O851" s="115"/>
      <c r="P851" s="115"/>
    </row>
    <row r="852" spans="10:16" ht="12.5" x14ac:dyDescent="0.25">
      <c r="J852" s="115"/>
      <c r="K852" s="115"/>
      <c r="L852" s="115"/>
      <c r="M852" s="115"/>
      <c r="N852" s="115"/>
      <c r="O852" s="115"/>
      <c r="P852" s="115"/>
    </row>
    <row r="853" spans="10:16" ht="12.5" x14ac:dyDescent="0.25">
      <c r="J853" s="115"/>
      <c r="K853" s="115"/>
      <c r="L853" s="115"/>
      <c r="M853" s="115"/>
      <c r="N853" s="115"/>
      <c r="O853" s="115"/>
      <c r="P853" s="115"/>
    </row>
    <row r="854" spans="10:16" ht="12.5" x14ac:dyDescent="0.25">
      <c r="J854" s="115"/>
      <c r="K854" s="115"/>
      <c r="L854" s="115"/>
      <c r="M854" s="115"/>
      <c r="N854" s="115"/>
      <c r="O854" s="115"/>
      <c r="P854" s="115"/>
    </row>
    <row r="855" spans="10:16" ht="12.5" x14ac:dyDescent="0.25">
      <c r="J855" s="115"/>
      <c r="K855" s="115"/>
      <c r="L855" s="115"/>
      <c r="M855" s="115"/>
      <c r="N855" s="115"/>
      <c r="O855" s="115"/>
      <c r="P855" s="115"/>
    </row>
    <row r="856" spans="10:16" ht="12.5" x14ac:dyDescent="0.25">
      <c r="J856" s="115"/>
      <c r="K856" s="115"/>
      <c r="L856" s="115"/>
      <c r="M856" s="115"/>
      <c r="N856" s="115"/>
      <c r="O856" s="115"/>
      <c r="P856" s="115"/>
    </row>
    <row r="857" spans="10:16" ht="12.5" x14ac:dyDescent="0.25">
      <c r="J857" s="115"/>
      <c r="K857" s="115"/>
      <c r="L857" s="115"/>
      <c r="M857" s="115"/>
      <c r="N857" s="115"/>
      <c r="O857" s="115"/>
      <c r="P857" s="115"/>
    </row>
    <row r="858" spans="10:16" ht="12.5" x14ac:dyDescent="0.25">
      <c r="J858" s="115"/>
      <c r="K858" s="115"/>
      <c r="L858" s="115"/>
      <c r="M858" s="115"/>
      <c r="N858" s="115"/>
      <c r="O858" s="115"/>
      <c r="P858" s="115"/>
    </row>
    <row r="859" spans="10:16" ht="12.5" x14ac:dyDescent="0.25">
      <c r="J859" s="115"/>
      <c r="K859" s="115"/>
      <c r="L859" s="115"/>
      <c r="M859" s="115"/>
      <c r="N859" s="115"/>
      <c r="O859" s="115"/>
      <c r="P859" s="115"/>
    </row>
    <row r="860" spans="10:16" ht="12.5" x14ac:dyDescent="0.25">
      <c r="J860" s="115"/>
      <c r="K860" s="115"/>
      <c r="L860" s="115"/>
      <c r="M860" s="115"/>
      <c r="N860" s="115"/>
      <c r="O860" s="115"/>
      <c r="P860" s="115"/>
    </row>
    <row r="861" spans="10:16" ht="12.5" x14ac:dyDescent="0.25">
      <c r="J861" s="115"/>
      <c r="K861" s="115"/>
      <c r="L861" s="115"/>
      <c r="M861" s="115"/>
      <c r="N861" s="115"/>
      <c r="O861" s="115"/>
      <c r="P861" s="115"/>
    </row>
    <row r="862" spans="10:16" ht="12.5" x14ac:dyDescent="0.25">
      <c r="J862" s="115"/>
      <c r="K862" s="115"/>
      <c r="L862" s="115"/>
      <c r="M862" s="115"/>
      <c r="N862" s="115"/>
      <c r="O862" s="115"/>
      <c r="P862" s="115"/>
    </row>
    <row r="863" spans="10:16" ht="12.5" x14ac:dyDescent="0.25">
      <c r="J863" s="115"/>
      <c r="K863" s="115"/>
      <c r="L863" s="115"/>
      <c r="M863" s="115"/>
      <c r="N863" s="115"/>
      <c r="O863" s="115"/>
      <c r="P863" s="115"/>
    </row>
    <row r="864" spans="10:16" ht="12.5" x14ac:dyDescent="0.25">
      <c r="J864" s="115"/>
      <c r="K864" s="115"/>
      <c r="L864" s="115"/>
      <c r="M864" s="115"/>
      <c r="N864" s="115"/>
      <c r="O864" s="115"/>
      <c r="P864" s="115"/>
    </row>
    <row r="865" spans="10:16" ht="12.5" x14ac:dyDescent="0.25">
      <c r="J865" s="115"/>
      <c r="K865" s="115"/>
      <c r="L865" s="115"/>
      <c r="M865" s="115"/>
      <c r="N865" s="115"/>
      <c r="O865" s="115"/>
      <c r="P865" s="115"/>
    </row>
    <row r="866" spans="10:16" ht="12.5" x14ac:dyDescent="0.25">
      <c r="J866" s="115"/>
      <c r="K866" s="115"/>
      <c r="L866" s="115"/>
      <c r="M866" s="115"/>
      <c r="N866" s="115"/>
      <c r="O866" s="115"/>
      <c r="P866" s="115"/>
    </row>
    <row r="867" spans="10:16" ht="12.5" x14ac:dyDescent="0.25">
      <c r="J867" s="115"/>
      <c r="K867" s="115"/>
      <c r="L867" s="115"/>
      <c r="M867" s="115"/>
      <c r="N867" s="115"/>
      <c r="O867" s="115"/>
      <c r="P867" s="115"/>
    </row>
    <row r="868" spans="10:16" ht="12.5" x14ac:dyDescent="0.25">
      <c r="J868" s="115"/>
      <c r="K868" s="115"/>
      <c r="L868" s="115"/>
      <c r="M868" s="115"/>
      <c r="N868" s="115"/>
      <c r="O868" s="115"/>
      <c r="P868" s="115"/>
    </row>
    <row r="869" spans="10:16" ht="12.5" x14ac:dyDescent="0.25">
      <c r="J869" s="115"/>
      <c r="K869" s="115"/>
      <c r="L869" s="115"/>
      <c r="M869" s="115"/>
      <c r="N869" s="115"/>
      <c r="O869" s="115"/>
      <c r="P869" s="115"/>
    </row>
    <row r="870" spans="10:16" ht="12.5" x14ac:dyDescent="0.25">
      <c r="J870" s="115"/>
      <c r="K870" s="115"/>
      <c r="L870" s="115"/>
      <c r="M870" s="115"/>
      <c r="N870" s="115"/>
      <c r="O870" s="115"/>
      <c r="P870" s="115"/>
    </row>
    <row r="871" spans="10:16" ht="12.5" x14ac:dyDescent="0.25">
      <c r="J871" s="115"/>
      <c r="K871" s="115"/>
      <c r="L871" s="115"/>
      <c r="M871" s="115"/>
      <c r="N871" s="115"/>
      <c r="O871" s="115"/>
      <c r="P871" s="115"/>
    </row>
    <row r="872" spans="10:16" ht="12.5" x14ac:dyDescent="0.25">
      <c r="J872" s="115"/>
      <c r="K872" s="115"/>
      <c r="L872" s="115"/>
      <c r="M872" s="115"/>
      <c r="N872" s="115"/>
      <c r="O872" s="115"/>
      <c r="P872" s="115"/>
    </row>
    <row r="873" spans="10:16" ht="12.5" x14ac:dyDescent="0.25">
      <c r="J873" s="115"/>
      <c r="K873" s="115"/>
      <c r="L873" s="115"/>
      <c r="M873" s="115"/>
      <c r="N873" s="115"/>
      <c r="O873" s="115"/>
      <c r="P873" s="115"/>
    </row>
    <row r="874" spans="10:16" ht="12.5" x14ac:dyDescent="0.25">
      <c r="J874" s="115"/>
      <c r="K874" s="115"/>
      <c r="L874" s="115"/>
      <c r="M874" s="115"/>
      <c r="N874" s="115"/>
      <c r="O874" s="115"/>
      <c r="P874" s="115"/>
    </row>
    <row r="875" spans="10:16" ht="12.5" x14ac:dyDescent="0.25">
      <c r="J875" s="115"/>
      <c r="K875" s="115"/>
      <c r="L875" s="115"/>
      <c r="M875" s="115"/>
      <c r="N875" s="115"/>
      <c r="O875" s="115"/>
      <c r="P875" s="115"/>
    </row>
    <row r="876" spans="10:16" ht="12.5" x14ac:dyDescent="0.25">
      <c r="J876" s="115"/>
      <c r="K876" s="115"/>
      <c r="L876" s="115"/>
      <c r="M876" s="115"/>
      <c r="N876" s="115"/>
      <c r="O876" s="115"/>
      <c r="P876" s="115"/>
    </row>
    <row r="877" spans="10:16" ht="12.5" x14ac:dyDescent="0.25">
      <c r="J877" s="115"/>
      <c r="K877" s="115"/>
      <c r="L877" s="115"/>
      <c r="M877" s="115"/>
      <c r="N877" s="115"/>
      <c r="O877" s="115"/>
      <c r="P877" s="115"/>
    </row>
    <row r="878" spans="10:16" ht="12.5" x14ac:dyDescent="0.25">
      <c r="J878" s="115"/>
      <c r="K878" s="115"/>
      <c r="L878" s="115"/>
      <c r="M878" s="115"/>
      <c r="N878" s="115"/>
      <c r="O878" s="115"/>
      <c r="P878" s="115"/>
    </row>
    <row r="879" spans="10:16" ht="12.5" x14ac:dyDescent="0.25">
      <c r="J879" s="115"/>
      <c r="K879" s="115"/>
      <c r="L879" s="115"/>
      <c r="M879" s="115"/>
      <c r="N879" s="115"/>
      <c r="O879" s="115"/>
      <c r="P879" s="115"/>
    </row>
    <row r="880" spans="10:16" ht="12.5" x14ac:dyDescent="0.25">
      <c r="J880" s="115"/>
      <c r="K880" s="115"/>
      <c r="L880" s="115"/>
      <c r="M880" s="115"/>
      <c r="N880" s="115"/>
      <c r="O880" s="115"/>
      <c r="P880" s="115"/>
    </row>
    <row r="881" spans="10:16" ht="12.5" x14ac:dyDescent="0.25">
      <c r="J881" s="115"/>
      <c r="K881" s="115"/>
      <c r="L881" s="115"/>
      <c r="M881" s="115"/>
      <c r="N881" s="115"/>
      <c r="O881" s="115"/>
      <c r="P881" s="115"/>
    </row>
    <row r="882" spans="10:16" ht="12.5" x14ac:dyDescent="0.25">
      <c r="J882" s="115"/>
      <c r="K882" s="115"/>
      <c r="L882" s="115"/>
      <c r="M882" s="115"/>
      <c r="N882" s="115"/>
      <c r="O882" s="115"/>
      <c r="P882" s="115"/>
    </row>
    <row r="883" spans="10:16" ht="12.5" x14ac:dyDescent="0.25">
      <c r="J883" s="115"/>
      <c r="K883" s="115"/>
      <c r="L883" s="115"/>
      <c r="M883" s="115"/>
      <c r="N883" s="115"/>
      <c r="O883" s="115"/>
      <c r="P883" s="115"/>
    </row>
    <row r="884" spans="10:16" ht="12.5" x14ac:dyDescent="0.25">
      <c r="J884" s="115"/>
      <c r="K884" s="115"/>
      <c r="L884" s="115"/>
      <c r="M884" s="115"/>
      <c r="N884" s="115"/>
      <c r="O884" s="115"/>
      <c r="P884" s="115"/>
    </row>
    <row r="885" spans="10:16" ht="12.5" x14ac:dyDescent="0.25">
      <c r="J885" s="115"/>
      <c r="K885" s="115"/>
      <c r="L885" s="115"/>
      <c r="M885" s="115"/>
      <c r="N885" s="115"/>
      <c r="O885" s="115"/>
      <c r="P885" s="115"/>
    </row>
    <row r="886" spans="10:16" ht="12.5" x14ac:dyDescent="0.25">
      <c r="J886" s="115"/>
      <c r="K886" s="115"/>
      <c r="L886" s="115"/>
      <c r="M886" s="115"/>
      <c r="N886" s="115"/>
      <c r="O886" s="115"/>
      <c r="P886" s="115"/>
    </row>
    <row r="887" spans="10:16" ht="12.5" x14ac:dyDescent="0.25">
      <c r="J887" s="115"/>
      <c r="K887" s="115"/>
      <c r="L887" s="115"/>
      <c r="M887" s="115"/>
      <c r="N887" s="115"/>
      <c r="O887" s="115"/>
      <c r="P887" s="115"/>
    </row>
    <row r="888" spans="10:16" ht="12.5" x14ac:dyDescent="0.25">
      <c r="J888" s="115"/>
      <c r="K888" s="115"/>
      <c r="L888" s="115"/>
      <c r="M888" s="115"/>
      <c r="N888" s="115"/>
      <c r="O888" s="115"/>
      <c r="P888" s="115"/>
    </row>
    <row r="889" spans="10:16" ht="12.5" x14ac:dyDescent="0.25">
      <c r="J889" s="115"/>
      <c r="K889" s="115"/>
      <c r="L889" s="115"/>
      <c r="M889" s="115"/>
      <c r="N889" s="115"/>
      <c r="O889" s="115"/>
      <c r="P889" s="115"/>
    </row>
    <row r="890" spans="10:16" ht="12.5" x14ac:dyDescent="0.25">
      <c r="J890" s="115"/>
      <c r="K890" s="115"/>
      <c r="L890" s="115"/>
      <c r="M890" s="115"/>
      <c r="N890" s="115"/>
      <c r="O890" s="115"/>
      <c r="P890" s="115"/>
    </row>
    <row r="891" spans="10:16" ht="12.5" x14ac:dyDescent="0.25">
      <c r="J891" s="115"/>
      <c r="K891" s="115"/>
      <c r="L891" s="115"/>
      <c r="M891" s="115"/>
      <c r="N891" s="115"/>
      <c r="O891" s="115"/>
      <c r="P891" s="115"/>
    </row>
    <row r="892" spans="10:16" ht="12.5" x14ac:dyDescent="0.25">
      <c r="J892" s="115"/>
      <c r="K892" s="115"/>
      <c r="L892" s="115"/>
      <c r="M892" s="115"/>
      <c r="N892" s="115"/>
      <c r="O892" s="115"/>
      <c r="P892" s="115"/>
    </row>
    <row r="893" spans="10:16" ht="12.5" x14ac:dyDescent="0.25">
      <c r="J893" s="115"/>
      <c r="K893" s="115"/>
      <c r="L893" s="115"/>
      <c r="M893" s="115"/>
      <c r="N893" s="115"/>
      <c r="O893" s="115"/>
      <c r="P893" s="115"/>
    </row>
    <row r="894" spans="10:16" ht="12.5" x14ac:dyDescent="0.25">
      <c r="J894" s="115"/>
      <c r="K894" s="115"/>
      <c r="L894" s="115"/>
      <c r="M894" s="115"/>
      <c r="N894" s="115"/>
      <c r="O894" s="115"/>
      <c r="P894" s="115"/>
    </row>
    <row r="895" spans="10:16" ht="12.5" x14ac:dyDescent="0.25">
      <c r="J895" s="115"/>
      <c r="K895" s="115"/>
      <c r="L895" s="115"/>
      <c r="M895" s="115"/>
      <c r="N895" s="115"/>
      <c r="O895" s="115"/>
      <c r="P895" s="115"/>
    </row>
    <row r="896" spans="10:16" ht="12.5" x14ac:dyDescent="0.25">
      <c r="J896" s="115"/>
      <c r="K896" s="115"/>
      <c r="L896" s="115"/>
      <c r="M896" s="115"/>
      <c r="N896" s="115"/>
      <c r="O896" s="115"/>
      <c r="P896" s="115"/>
    </row>
    <row r="897" spans="10:16" ht="12.5" x14ac:dyDescent="0.25">
      <c r="J897" s="115"/>
      <c r="K897" s="115"/>
      <c r="L897" s="115"/>
      <c r="M897" s="115"/>
      <c r="N897" s="115"/>
      <c r="O897" s="115"/>
      <c r="P897" s="115"/>
    </row>
    <row r="898" spans="10:16" ht="12.5" x14ac:dyDescent="0.25">
      <c r="J898" s="115"/>
      <c r="K898" s="115"/>
      <c r="L898" s="115"/>
      <c r="M898" s="115"/>
      <c r="N898" s="115"/>
      <c r="O898" s="115"/>
      <c r="P898" s="115"/>
    </row>
    <row r="899" spans="10:16" ht="12.5" x14ac:dyDescent="0.25">
      <c r="J899" s="115"/>
      <c r="K899" s="115"/>
      <c r="L899" s="115"/>
      <c r="M899" s="115"/>
      <c r="N899" s="115"/>
      <c r="O899" s="115"/>
      <c r="P899" s="115"/>
    </row>
    <row r="900" spans="10:16" ht="12.5" x14ac:dyDescent="0.25">
      <c r="J900" s="115"/>
      <c r="K900" s="115"/>
      <c r="L900" s="115"/>
      <c r="M900" s="115"/>
      <c r="N900" s="115"/>
      <c r="O900" s="115"/>
      <c r="P900" s="115"/>
    </row>
    <row r="901" spans="10:16" ht="12.5" x14ac:dyDescent="0.25">
      <c r="J901" s="115"/>
      <c r="K901" s="115"/>
      <c r="L901" s="115"/>
      <c r="M901" s="115"/>
      <c r="N901" s="115"/>
      <c r="O901" s="115"/>
      <c r="P901" s="115"/>
    </row>
    <row r="902" spans="10:16" ht="12.5" x14ac:dyDescent="0.25">
      <c r="J902" s="115"/>
      <c r="K902" s="115"/>
      <c r="L902" s="115"/>
      <c r="M902" s="115"/>
      <c r="N902" s="115"/>
      <c r="O902" s="115"/>
      <c r="P902" s="115"/>
    </row>
    <row r="903" spans="10:16" ht="12.5" x14ac:dyDescent="0.25">
      <c r="J903" s="115"/>
      <c r="K903" s="115"/>
      <c r="L903" s="115"/>
      <c r="M903" s="115"/>
      <c r="N903" s="115"/>
      <c r="O903" s="115"/>
      <c r="P903" s="115"/>
    </row>
    <row r="904" spans="10:16" ht="12.5" x14ac:dyDescent="0.25">
      <c r="J904" s="115"/>
      <c r="K904" s="115"/>
      <c r="L904" s="115"/>
      <c r="M904" s="115"/>
      <c r="N904" s="115"/>
      <c r="O904" s="115"/>
      <c r="P904" s="115"/>
    </row>
    <row r="905" spans="10:16" ht="12.5" x14ac:dyDescent="0.25">
      <c r="J905" s="115"/>
      <c r="K905" s="115"/>
      <c r="L905" s="115"/>
      <c r="M905" s="115"/>
      <c r="N905" s="115"/>
      <c r="O905" s="115"/>
      <c r="P905" s="115"/>
    </row>
    <row r="906" spans="10:16" ht="12.5" x14ac:dyDescent="0.25">
      <c r="J906" s="115"/>
      <c r="K906" s="115"/>
      <c r="L906" s="115"/>
      <c r="M906" s="115"/>
      <c r="N906" s="115"/>
      <c r="O906" s="115"/>
      <c r="P906" s="115"/>
    </row>
    <row r="907" spans="10:16" ht="12.5" x14ac:dyDescent="0.25">
      <c r="J907" s="115"/>
      <c r="K907" s="115"/>
      <c r="L907" s="115"/>
      <c r="M907" s="115"/>
      <c r="N907" s="115"/>
      <c r="O907" s="115"/>
      <c r="P907" s="115"/>
    </row>
    <row r="908" spans="10:16" ht="12.5" x14ac:dyDescent="0.25">
      <c r="J908" s="115"/>
      <c r="K908" s="115"/>
      <c r="L908" s="115"/>
      <c r="M908" s="115"/>
      <c r="N908" s="115"/>
      <c r="O908" s="115"/>
      <c r="P908" s="115"/>
    </row>
    <row r="909" spans="10:16" ht="12.5" x14ac:dyDescent="0.25">
      <c r="J909" s="115"/>
      <c r="K909" s="115"/>
      <c r="L909" s="115"/>
      <c r="M909" s="115"/>
      <c r="N909" s="115"/>
      <c r="O909" s="115"/>
      <c r="P909" s="115"/>
    </row>
    <row r="910" spans="10:16" ht="12.5" x14ac:dyDescent="0.25">
      <c r="J910" s="115"/>
      <c r="K910" s="115"/>
      <c r="L910" s="115"/>
      <c r="M910" s="115"/>
      <c r="N910" s="115"/>
      <c r="O910" s="115"/>
      <c r="P910" s="115"/>
    </row>
    <row r="911" spans="10:16" ht="12.5" x14ac:dyDescent="0.25">
      <c r="J911" s="115"/>
      <c r="K911" s="115"/>
      <c r="L911" s="115"/>
      <c r="M911" s="115"/>
      <c r="N911" s="115"/>
      <c r="O911" s="115"/>
      <c r="P911" s="115"/>
    </row>
    <row r="912" spans="10:16" ht="12.5" x14ac:dyDescent="0.25">
      <c r="J912" s="115"/>
      <c r="K912" s="115"/>
      <c r="L912" s="115"/>
      <c r="M912" s="115"/>
      <c r="N912" s="115"/>
      <c r="O912" s="115"/>
      <c r="P912" s="115"/>
    </row>
    <row r="913" spans="10:16" ht="12.5" x14ac:dyDescent="0.25">
      <c r="J913" s="115"/>
      <c r="K913" s="115"/>
      <c r="L913" s="115"/>
      <c r="M913" s="115"/>
      <c r="N913" s="115"/>
      <c r="O913" s="115"/>
      <c r="P913" s="115"/>
    </row>
    <row r="914" spans="10:16" ht="12.5" x14ac:dyDescent="0.25">
      <c r="J914" s="115"/>
      <c r="K914" s="115"/>
      <c r="L914" s="115"/>
      <c r="M914" s="115"/>
      <c r="N914" s="115"/>
      <c r="O914" s="115"/>
      <c r="P914" s="115"/>
    </row>
    <row r="915" spans="10:16" ht="12.5" x14ac:dyDescent="0.25">
      <c r="J915" s="115"/>
      <c r="K915" s="115"/>
      <c r="L915" s="115"/>
      <c r="M915" s="115"/>
      <c r="N915" s="115"/>
      <c r="O915" s="115"/>
      <c r="P915" s="115"/>
    </row>
    <row r="916" spans="10:16" ht="12.5" x14ac:dyDescent="0.25">
      <c r="J916" s="115"/>
      <c r="K916" s="115"/>
      <c r="L916" s="115"/>
      <c r="M916" s="115"/>
      <c r="N916" s="115"/>
      <c r="O916" s="115"/>
      <c r="P916" s="115"/>
    </row>
    <row r="917" spans="10:16" ht="12.5" x14ac:dyDescent="0.25">
      <c r="J917" s="115"/>
      <c r="K917" s="115"/>
      <c r="L917" s="115"/>
      <c r="M917" s="115"/>
      <c r="N917" s="115"/>
      <c r="O917" s="115"/>
      <c r="P917" s="115"/>
    </row>
    <row r="918" spans="10:16" ht="12.5" x14ac:dyDescent="0.25">
      <c r="J918" s="115"/>
      <c r="K918" s="115"/>
      <c r="L918" s="115"/>
      <c r="M918" s="115"/>
      <c r="N918" s="115"/>
      <c r="O918" s="115"/>
      <c r="P918" s="115"/>
    </row>
    <row r="919" spans="10:16" ht="12.5" x14ac:dyDescent="0.25">
      <c r="J919" s="115"/>
      <c r="K919" s="115"/>
      <c r="L919" s="115"/>
      <c r="M919" s="115"/>
      <c r="N919" s="115"/>
      <c r="O919" s="115"/>
      <c r="P919" s="115"/>
    </row>
    <row r="920" spans="10:16" ht="12.5" x14ac:dyDescent="0.25">
      <c r="J920" s="115"/>
      <c r="K920" s="115"/>
      <c r="L920" s="115"/>
      <c r="M920" s="115"/>
      <c r="N920" s="115"/>
      <c r="O920" s="115"/>
      <c r="P920" s="115"/>
    </row>
    <row r="921" spans="10:16" ht="12.5" x14ac:dyDescent="0.25">
      <c r="J921" s="115"/>
      <c r="K921" s="115"/>
      <c r="L921" s="115"/>
      <c r="M921" s="115"/>
      <c r="N921" s="115"/>
      <c r="O921" s="115"/>
      <c r="P921" s="115"/>
    </row>
    <row r="922" spans="10:16" ht="12.5" x14ac:dyDescent="0.25">
      <c r="J922" s="115"/>
      <c r="K922" s="115"/>
      <c r="L922" s="115"/>
      <c r="M922" s="115"/>
      <c r="N922" s="115"/>
      <c r="O922" s="115"/>
      <c r="P922" s="115"/>
    </row>
    <row r="923" spans="10:16" ht="12.5" x14ac:dyDescent="0.25">
      <c r="J923" s="115"/>
      <c r="K923" s="115"/>
      <c r="L923" s="115"/>
      <c r="M923" s="115"/>
      <c r="N923" s="115"/>
      <c r="O923" s="115"/>
      <c r="P923" s="115"/>
    </row>
    <row r="924" spans="10:16" ht="12.5" x14ac:dyDescent="0.25">
      <c r="J924" s="115"/>
      <c r="K924" s="115"/>
      <c r="L924" s="115"/>
      <c r="M924" s="115"/>
      <c r="N924" s="115"/>
      <c r="O924" s="115"/>
      <c r="P924" s="115"/>
    </row>
    <row r="925" spans="10:16" ht="12.5" x14ac:dyDescent="0.25">
      <c r="J925" s="115"/>
      <c r="K925" s="115"/>
      <c r="L925" s="115"/>
      <c r="M925" s="115"/>
      <c r="N925" s="115"/>
      <c r="O925" s="115"/>
      <c r="P925" s="115"/>
    </row>
    <row r="926" spans="10:16" ht="12.5" x14ac:dyDescent="0.25">
      <c r="J926" s="115"/>
      <c r="K926" s="115"/>
      <c r="L926" s="115"/>
      <c r="M926" s="115"/>
      <c r="N926" s="115"/>
      <c r="O926" s="115"/>
      <c r="P926" s="115"/>
    </row>
    <row r="927" spans="10:16" ht="12.5" x14ac:dyDescent="0.25">
      <c r="J927" s="115"/>
      <c r="K927" s="115"/>
      <c r="L927" s="115"/>
      <c r="M927" s="115"/>
      <c r="N927" s="115"/>
      <c r="O927" s="115"/>
      <c r="P927" s="115"/>
    </row>
    <row r="928" spans="10:16" ht="12.5" x14ac:dyDescent="0.25">
      <c r="J928" s="115"/>
      <c r="K928" s="115"/>
      <c r="L928" s="115"/>
      <c r="M928" s="115"/>
      <c r="N928" s="115"/>
      <c r="O928" s="115"/>
      <c r="P928" s="115"/>
    </row>
    <row r="929" spans="10:16" ht="12.5" x14ac:dyDescent="0.25">
      <c r="J929" s="115"/>
      <c r="K929" s="115"/>
      <c r="L929" s="115"/>
      <c r="M929" s="115"/>
      <c r="N929" s="115"/>
      <c r="O929" s="115"/>
      <c r="P929" s="115"/>
    </row>
    <row r="930" spans="10:16" ht="12.5" x14ac:dyDescent="0.25">
      <c r="J930" s="115"/>
      <c r="K930" s="115"/>
      <c r="L930" s="115"/>
      <c r="M930" s="115"/>
      <c r="N930" s="115"/>
      <c r="O930" s="115"/>
      <c r="P930" s="115"/>
    </row>
    <row r="931" spans="10:16" ht="12.5" x14ac:dyDescent="0.25">
      <c r="J931" s="115"/>
      <c r="K931" s="115"/>
      <c r="L931" s="115"/>
      <c r="M931" s="115"/>
      <c r="N931" s="115"/>
      <c r="O931" s="115"/>
      <c r="P931" s="115"/>
    </row>
    <row r="932" spans="10:16" ht="12.5" x14ac:dyDescent="0.25">
      <c r="J932" s="115"/>
      <c r="K932" s="115"/>
      <c r="L932" s="115"/>
      <c r="M932" s="115"/>
      <c r="N932" s="115"/>
      <c r="O932" s="115"/>
      <c r="P932" s="115"/>
    </row>
    <row r="933" spans="10:16" ht="12.5" x14ac:dyDescent="0.25">
      <c r="J933" s="115"/>
      <c r="K933" s="115"/>
      <c r="L933" s="115"/>
      <c r="M933" s="115"/>
      <c r="N933" s="115"/>
      <c r="O933" s="115"/>
      <c r="P933" s="115"/>
    </row>
    <row r="934" spans="10:16" ht="12.5" x14ac:dyDescent="0.25">
      <c r="J934" s="115"/>
      <c r="K934" s="115"/>
      <c r="L934" s="115"/>
      <c r="M934" s="115"/>
      <c r="N934" s="115"/>
      <c r="O934" s="115"/>
      <c r="P934" s="115"/>
    </row>
    <row r="935" spans="10:16" ht="12.5" x14ac:dyDescent="0.25">
      <c r="J935" s="115"/>
      <c r="K935" s="115"/>
      <c r="L935" s="115"/>
      <c r="M935" s="115"/>
      <c r="N935" s="115"/>
      <c r="O935" s="115"/>
      <c r="P935" s="115"/>
    </row>
    <row r="936" spans="10:16" ht="12.5" x14ac:dyDescent="0.25">
      <c r="J936" s="115"/>
      <c r="K936" s="115"/>
      <c r="L936" s="115"/>
      <c r="M936" s="115"/>
      <c r="N936" s="115"/>
      <c r="O936" s="115"/>
      <c r="P936" s="115"/>
    </row>
    <row r="937" spans="10:16" ht="12.5" x14ac:dyDescent="0.25">
      <c r="J937" s="115"/>
      <c r="K937" s="115"/>
      <c r="L937" s="115"/>
      <c r="M937" s="115"/>
      <c r="N937" s="115"/>
      <c r="O937" s="115"/>
      <c r="P937" s="115"/>
    </row>
    <row r="938" spans="10:16" ht="12.5" x14ac:dyDescent="0.25">
      <c r="J938" s="115"/>
      <c r="K938" s="115"/>
      <c r="L938" s="115"/>
      <c r="M938" s="115"/>
      <c r="N938" s="115"/>
      <c r="O938" s="115"/>
      <c r="P938" s="115"/>
    </row>
    <row r="939" spans="10:16" ht="12.5" x14ac:dyDescent="0.25">
      <c r="J939" s="115"/>
      <c r="K939" s="115"/>
      <c r="L939" s="115"/>
      <c r="M939" s="115"/>
      <c r="N939" s="115"/>
      <c r="O939" s="115"/>
      <c r="P939" s="115"/>
    </row>
    <row r="940" spans="10:16" ht="12.5" x14ac:dyDescent="0.25">
      <c r="J940" s="115"/>
      <c r="K940" s="115"/>
      <c r="L940" s="115"/>
      <c r="M940" s="115"/>
      <c r="N940" s="115"/>
      <c r="O940" s="115"/>
      <c r="P940" s="115"/>
    </row>
    <row r="941" spans="10:16" ht="12.5" x14ac:dyDescent="0.25">
      <c r="J941" s="115"/>
      <c r="K941" s="115"/>
      <c r="L941" s="115"/>
      <c r="M941" s="115"/>
      <c r="N941" s="115"/>
      <c r="O941" s="115"/>
      <c r="P941" s="115"/>
    </row>
    <row r="942" spans="10:16" ht="12.5" x14ac:dyDescent="0.25">
      <c r="J942" s="115"/>
      <c r="K942" s="115"/>
      <c r="L942" s="115"/>
      <c r="M942" s="115"/>
      <c r="N942" s="115"/>
      <c r="O942" s="115"/>
      <c r="P942" s="115"/>
    </row>
    <row r="943" spans="10:16" ht="12.5" x14ac:dyDescent="0.25">
      <c r="J943" s="115"/>
      <c r="K943" s="115"/>
      <c r="L943" s="115"/>
      <c r="M943" s="115"/>
      <c r="N943" s="115"/>
      <c r="O943" s="115"/>
      <c r="P943" s="115"/>
    </row>
    <row r="944" spans="10:16" ht="12.5" x14ac:dyDescent="0.25">
      <c r="J944" s="115"/>
      <c r="K944" s="115"/>
      <c r="L944" s="115"/>
      <c r="M944" s="115"/>
      <c r="N944" s="115"/>
      <c r="O944" s="115"/>
      <c r="P944" s="115"/>
    </row>
    <row r="945" spans="10:16" ht="12.5" x14ac:dyDescent="0.25">
      <c r="J945" s="115"/>
      <c r="K945" s="115"/>
      <c r="L945" s="115"/>
      <c r="M945" s="115"/>
      <c r="N945" s="115"/>
      <c r="O945" s="115"/>
      <c r="P945" s="115"/>
    </row>
    <row r="946" spans="10:16" ht="12.5" x14ac:dyDescent="0.25">
      <c r="J946" s="115"/>
      <c r="K946" s="115"/>
      <c r="L946" s="115"/>
      <c r="M946" s="115"/>
      <c r="N946" s="115"/>
      <c r="O946" s="115"/>
      <c r="P946" s="115"/>
    </row>
    <row r="947" spans="10:16" ht="12.5" x14ac:dyDescent="0.25">
      <c r="J947" s="115"/>
      <c r="K947" s="115"/>
      <c r="L947" s="115"/>
      <c r="M947" s="115"/>
      <c r="N947" s="115"/>
      <c r="O947" s="115"/>
      <c r="P947" s="115"/>
    </row>
    <row r="948" spans="10:16" ht="12.5" x14ac:dyDescent="0.25">
      <c r="J948" s="115"/>
      <c r="K948" s="115"/>
      <c r="L948" s="115"/>
      <c r="M948" s="115"/>
      <c r="N948" s="115"/>
      <c r="O948" s="115"/>
      <c r="P948" s="115"/>
    </row>
    <row r="949" spans="10:16" ht="12.5" x14ac:dyDescent="0.25">
      <c r="J949" s="115"/>
      <c r="K949" s="115"/>
      <c r="L949" s="115"/>
      <c r="M949" s="115"/>
      <c r="N949" s="115"/>
      <c r="O949" s="115"/>
      <c r="P949" s="115"/>
    </row>
    <row r="950" spans="10:16" ht="12.5" x14ac:dyDescent="0.25">
      <c r="J950" s="115"/>
      <c r="K950" s="115"/>
      <c r="L950" s="115"/>
      <c r="M950" s="115"/>
      <c r="N950" s="115"/>
      <c r="O950" s="115"/>
      <c r="P950" s="115"/>
    </row>
    <row r="951" spans="10:16" ht="12.5" x14ac:dyDescent="0.25">
      <c r="J951" s="115"/>
      <c r="K951" s="115"/>
      <c r="L951" s="115"/>
      <c r="M951" s="115"/>
      <c r="N951" s="115"/>
      <c r="O951" s="115"/>
      <c r="P951" s="115"/>
    </row>
    <row r="952" spans="10:16" ht="12.5" x14ac:dyDescent="0.25">
      <c r="J952" s="115"/>
      <c r="K952" s="115"/>
      <c r="L952" s="115"/>
      <c r="M952" s="115"/>
      <c r="N952" s="115"/>
      <c r="O952" s="115"/>
      <c r="P952" s="115"/>
    </row>
    <row r="953" spans="10:16" ht="12.5" x14ac:dyDescent="0.25">
      <c r="J953" s="115"/>
      <c r="K953" s="115"/>
      <c r="L953" s="115"/>
      <c r="M953" s="115"/>
      <c r="N953" s="115"/>
      <c r="O953" s="115"/>
      <c r="P953" s="115"/>
    </row>
    <row r="954" spans="10:16" ht="12.5" x14ac:dyDescent="0.25">
      <c r="J954" s="115"/>
      <c r="K954" s="115"/>
      <c r="L954" s="115"/>
      <c r="M954" s="115"/>
      <c r="N954" s="115"/>
      <c r="O954" s="115"/>
      <c r="P954" s="115"/>
    </row>
    <row r="955" spans="10:16" ht="12.5" x14ac:dyDescent="0.25">
      <c r="J955" s="115"/>
      <c r="K955" s="115"/>
      <c r="L955" s="115"/>
      <c r="M955" s="115"/>
      <c r="N955" s="115"/>
      <c r="O955" s="115"/>
      <c r="P955" s="115"/>
    </row>
    <row r="956" spans="10:16" ht="12.5" x14ac:dyDescent="0.25">
      <c r="J956" s="115"/>
      <c r="K956" s="115"/>
      <c r="L956" s="115"/>
      <c r="M956" s="115"/>
      <c r="N956" s="115"/>
      <c r="O956" s="115"/>
      <c r="P956" s="115"/>
    </row>
    <row r="957" spans="10:16" ht="12.5" x14ac:dyDescent="0.25">
      <c r="J957" s="115"/>
      <c r="K957" s="115"/>
      <c r="L957" s="115"/>
      <c r="M957" s="115"/>
      <c r="N957" s="115"/>
      <c r="O957" s="115"/>
      <c r="P957" s="115"/>
    </row>
    <row r="958" spans="10:16" ht="12.5" x14ac:dyDescent="0.25">
      <c r="J958" s="115"/>
      <c r="K958" s="115"/>
      <c r="L958" s="115"/>
      <c r="M958" s="115"/>
      <c r="N958" s="115"/>
      <c r="O958" s="115"/>
      <c r="P958" s="115"/>
    </row>
    <row r="959" spans="10:16" ht="12.5" x14ac:dyDescent="0.25">
      <c r="J959" s="115"/>
      <c r="K959" s="115"/>
      <c r="L959" s="115"/>
      <c r="M959" s="115"/>
      <c r="N959" s="115"/>
      <c r="O959" s="115"/>
      <c r="P959" s="115"/>
    </row>
    <row r="960" spans="10:16" ht="12.5" x14ac:dyDescent="0.25">
      <c r="J960" s="115"/>
      <c r="K960" s="115"/>
      <c r="L960" s="115"/>
      <c r="M960" s="115"/>
      <c r="N960" s="115"/>
      <c r="O960" s="115"/>
      <c r="P960" s="115"/>
    </row>
    <row r="961" spans="10:16" ht="12.5" x14ac:dyDescent="0.25">
      <c r="J961" s="115"/>
      <c r="K961" s="115"/>
      <c r="L961" s="115"/>
      <c r="M961" s="115"/>
      <c r="N961" s="115"/>
      <c r="O961" s="115"/>
      <c r="P961" s="115"/>
    </row>
    <row r="962" spans="10:16" ht="12.5" x14ac:dyDescent="0.25">
      <c r="J962" s="115"/>
      <c r="K962" s="115"/>
      <c r="L962" s="115"/>
      <c r="M962" s="115"/>
      <c r="N962" s="115"/>
      <c r="O962" s="115"/>
      <c r="P962" s="115"/>
    </row>
    <row r="963" spans="10:16" ht="12.5" x14ac:dyDescent="0.25">
      <c r="J963" s="115"/>
      <c r="K963" s="115"/>
      <c r="L963" s="115"/>
      <c r="M963" s="115"/>
      <c r="N963" s="115"/>
      <c r="O963" s="115"/>
      <c r="P963" s="115"/>
    </row>
    <row r="964" spans="10:16" ht="12.5" x14ac:dyDescent="0.25">
      <c r="J964" s="115"/>
      <c r="K964" s="115"/>
      <c r="L964" s="115"/>
      <c r="M964" s="115"/>
      <c r="N964" s="115"/>
      <c r="O964" s="115"/>
      <c r="P964" s="115"/>
    </row>
    <row r="965" spans="10:16" ht="12.5" x14ac:dyDescent="0.25">
      <c r="J965" s="115"/>
      <c r="K965" s="115"/>
      <c r="L965" s="115"/>
      <c r="M965" s="115"/>
      <c r="N965" s="115"/>
      <c r="O965" s="115"/>
      <c r="P965" s="115"/>
    </row>
    <row r="966" spans="10:16" ht="12.5" x14ac:dyDescent="0.25">
      <c r="J966" s="115"/>
      <c r="K966" s="115"/>
      <c r="L966" s="115"/>
      <c r="M966" s="115"/>
      <c r="N966" s="115"/>
      <c r="O966" s="115"/>
      <c r="P966" s="115"/>
    </row>
    <row r="967" spans="10:16" ht="12.5" x14ac:dyDescent="0.25">
      <c r="J967" s="115"/>
      <c r="K967" s="115"/>
      <c r="L967" s="115"/>
      <c r="M967" s="115"/>
      <c r="N967" s="115"/>
      <c r="O967" s="115"/>
      <c r="P967" s="115"/>
    </row>
    <row r="968" spans="10:16" ht="12.5" x14ac:dyDescent="0.25">
      <c r="J968" s="115"/>
      <c r="K968" s="115"/>
      <c r="L968" s="115"/>
      <c r="M968" s="115"/>
      <c r="N968" s="115"/>
      <c r="O968" s="115"/>
      <c r="P968" s="115"/>
    </row>
    <row r="969" spans="10:16" ht="12.5" x14ac:dyDescent="0.25">
      <c r="J969" s="115"/>
      <c r="K969" s="115"/>
      <c r="L969" s="115"/>
      <c r="M969" s="115"/>
      <c r="N969" s="115"/>
      <c r="O969" s="115"/>
      <c r="P969" s="115"/>
    </row>
    <row r="970" spans="10:16" ht="12.5" x14ac:dyDescent="0.25">
      <c r="J970" s="115"/>
      <c r="K970" s="115"/>
      <c r="L970" s="115"/>
      <c r="M970" s="115"/>
      <c r="N970" s="115"/>
      <c r="O970" s="115"/>
      <c r="P970" s="115"/>
    </row>
    <row r="971" spans="10:16" ht="12.5" x14ac:dyDescent="0.25">
      <c r="J971" s="115"/>
      <c r="K971" s="115"/>
      <c r="L971" s="115"/>
      <c r="M971" s="115"/>
      <c r="N971" s="115"/>
      <c r="O971" s="115"/>
      <c r="P971" s="115"/>
    </row>
    <row r="972" spans="10:16" ht="12.5" x14ac:dyDescent="0.25">
      <c r="J972" s="115"/>
      <c r="K972" s="115"/>
      <c r="L972" s="115"/>
      <c r="M972" s="115"/>
      <c r="N972" s="115"/>
      <c r="O972" s="115"/>
      <c r="P972" s="115"/>
    </row>
    <row r="973" spans="10:16" ht="12.5" x14ac:dyDescent="0.25">
      <c r="J973" s="115"/>
      <c r="K973" s="115"/>
      <c r="L973" s="115"/>
      <c r="M973" s="115"/>
      <c r="N973" s="115"/>
      <c r="O973" s="115"/>
      <c r="P973" s="115"/>
    </row>
    <row r="974" spans="10:16" ht="12.5" x14ac:dyDescent="0.25">
      <c r="J974" s="115"/>
      <c r="K974" s="115"/>
      <c r="L974" s="115"/>
      <c r="M974" s="115"/>
      <c r="N974" s="115"/>
      <c r="O974" s="115"/>
      <c r="P974" s="115"/>
    </row>
    <row r="975" spans="10:16" ht="12.5" x14ac:dyDescent="0.25">
      <c r="J975" s="115"/>
      <c r="K975" s="115"/>
      <c r="L975" s="115"/>
      <c r="M975" s="115"/>
      <c r="N975" s="115"/>
      <c r="O975" s="115"/>
      <c r="P975" s="115"/>
    </row>
    <row r="976" spans="10:16" ht="12.5" x14ac:dyDescent="0.25">
      <c r="J976" s="115"/>
      <c r="K976" s="115"/>
      <c r="L976" s="115"/>
      <c r="M976" s="115"/>
      <c r="N976" s="115"/>
      <c r="O976" s="115"/>
      <c r="P976" s="115"/>
    </row>
    <row r="977" spans="10:16" ht="12.5" x14ac:dyDescent="0.25">
      <c r="J977" s="115"/>
      <c r="K977" s="115"/>
      <c r="L977" s="115"/>
      <c r="M977" s="115"/>
      <c r="N977" s="115"/>
      <c r="O977" s="115"/>
      <c r="P977" s="115"/>
    </row>
    <row r="978" spans="10:16" ht="12.5" x14ac:dyDescent="0.25">
      <c r="J978" s="115"/>
      <c r="K978" s="115"/>
      <c r="L978" s="115"/>
      <c r="M978" s="115"/>
      <c r="N978" s="115"/>
      <c r="O978" s="115"/>
      <c r="P978" s="115"/>
    </row>
    <row r="979" spans="10:16" ht="12.5" x14ac:dyDescent="0.25">
      <c r="J979" s="115"/>
      <c r="K979" s="115"/>
      <c r="L979" s="115"/>
      <c r="M979" s="115"/>
      <c r="N979" s="115"/>
      <c r="O979" s="115"/>
      <c r="P979" s="115"/>
    </row>
    <row r="980" spans="10:16" ht="12.5" x14ac:dyDescent="0.25">
      <c r="J980" s="115"/>
      <c r="K980" s="115"/>
      <c r="L980" s="115"/>
      <c r="M980" s="115"/>
      <c r="N980" s="115"/>
      <c r="O980" s="115"/>
      <c r="P980" s="115"/>
    </row>
    <row r="981" spans="10:16" ht="12.5" x14ac:dyDescent="0.25">
      <c r="J981" s="115"/>
      <c r="K981" s="115"/>
      <c r="L981" s="115"/>
      <c r="M981" s="115"/>
      <c r="N981" s="115"/>
      <c r="O981" s="115"/>
      <c r="P981" s="115"/>
    </row>
    <row r="982" spans="10:16" ht="12.5" x14ac:dyDescent="0.25">
      <c r="J982" s="115"/>
      <c r="K982" s="115"/>
      <c r="L982" s="115"/>
      <c r="M982" s="115"/>
      <c r="N982" s="115"/>
      <c r="O982" s="115"/>
      <c r="P982" s="115"/>
    </row>
    <row r="983" spans="10:16" ht="12.5" x14ac:dyDescent="0.25">
      <c r="J983" s="115"/>
      <c r="K983" s="115"/>
      <c r="L983" s="115"/>
      <c r="M983" s="115"/>
      <c r="N983" s="115"/>
      <c r="O983" s="115"/>
      <c r="P983" s="115"/>
    </row>
    <row r="984" spans="10:16" ht="12.5" x14ac:dyDescent="0.25">
      <c r="J984" s="115"/>
      <c r="K984" s="115"/>
      <c r="L984" s="115"/>
      <c r="M984" s="115"/>
      <c r="N984" s="115"/>
      <c r="O984" s="115"/>
      <c r="P984" s="115"/>
    </row>
    <row r="985" spans="10:16" ht="12.5" x14ac:dyDescent="0.25">
      <c r="J985" s="115"/>
      <c r="K985" s="115"/>
      <c r="L985" s="115"/>
      <c r="M985" s="115"/>
      <c r="N985" s="115"/>
      <c r="O985" s="115"/>
      <c r="P985" s="115"/>
    </row>
    <row r="986" spans="10:16" ht="12.5" x14ac:dyDescent="0.25">
      <c r="J986" s="115"/>
      <c r="K986" s="115"/>
      <c r="L986" s="115"/>
      <c r="M986" s="115"/>
      <c r="N986" s="115"/>
      <c r="O986" s="115"/>
      <c r="P986" s="115"/>
    </row>
    <row r="987" spans="10:16" ht="12.5" x14ac:dyDescent="0.25">
      <c r="J987" s="115"/>
      <c r="K987" s="115"/>
      <c r="L987" s="115"/>
      <c r="M987" s="115"/>
      <c r="N987" s="115"/>
      <c r="O987" s="115"/>
      <c r="P987" s="115"/>
    </row>
    <row r="988" spans="10:16" ht="12.5" x14ac:dyDescent="0.25">
      <c r="J988" s="115"/>
      <c r="K988" s="115"/>
      <c r="L988" s="115"/>
      <c r="M988" s="115"/>
      <c r="N988" s="115"/>
      <c r="O988" s="115"/>
      <c r="P988" s="115"/>
    </row>
    <row r="989" spans="10:16" ht="12.5" x14ac:dyDescent="0.25">
      <c r="J989" s="115"/>
      <c r="K989" s="115"/>
      <c r="L989" s="115"/>
      <c r="M989" s="115"/>
      <c r="N989" s="115"/>
      <c r="O989" s="115"/>
      <c r="P989" s="115"/>
    </row>
    <row r="990" spans="10:16" ht="12.5" x14ac:dyDescent="0.25">
      <c r="J990" s="115"/>
      <c r="K990" s="115"/>
      <c r="L990" s="115"/>
      <c r="M990" s="115"/>
      <c r="N990" s="115"/>
      <c r="O990" s="115"/>
      <c r="P990" s="115"/>
    </row>
    <row r="991" spans="10:16" ht="12.5" x14ac:dyDescent="0.25">
      <c r="J991" s="115"/>
      <c r="K991" s="115"/>
      <c r="L991" s="115"/>
      <c r="M991" s="115"/>
      <c r="N991" s="115"/>
      <c r="O991" s="115"/>
      <c r="P991" s="115"/>
    </row>
    <row r="992" spans="10:16" ht="12.5" x14ac:dyDescent="0.25">
      <c r="J992" s="115"/>
      <c r="K992" s="115"/>
      <c r="L992" s="115"/>
      <c r="M992" s="115"/>
      <c r="N992" s="115"/>
      <c r="O992" s="115"/>
      <c r="P992" s="115"/>
    </row>
    <row r="993" spans="10:16" ht="12.5" x14ac:dyDescent="0.25">
      <c r="J993" s="115"/>
      <c r="K993" s="115"/>
      <c r="L993" s="115"/>
      <c r="M993" s="115"/>
      <c r="N993" s="115"/>
      <c r="O993" s="115"/>
      <c r="P993" s="115"/>
    </row>
    <row r="994" spans="10:16" ht="12.5" x14ac:dyDescent="0.25">
      <c r="J994" s="115"/>
      <c r="K994" s="115"/>
      <c r="L994" s="115"/>
      <c r="M994" s="115"/>
      <c r="N994" s="115"/>
      <c r="O994" s="115"/>
      <c r="P994" s="115"/>
    </row>
    <row r="995" spans="10:16" ht="12.5" x14ac:dyDescent="0.25">
      <c r="J995" s="115"/>
      <c r="K995" s="115"/>
      <c r="L995" s="115"/>
      <c r="M995" s="115"/>
      <c r="N995" s="115"/>
      <c r="O995" s="115"/>
      <c r="P995" s="115"/>
    </row>
    <row r="996" spans="10:16" ht="12.5" x14ac:dyDescent="0.25">
      <c r="J996" s="115"/>
      <c r="K996" s="115"/>
      <c r="L996" s="115"/>
      <c r="M996" s="115"/>
      <c r="N996" s="115"/>
      <c r="O996" s="115"/>
      <c r="P996" s="115"/>
    </row>
    <row r="997" spans="10:16" ht="12.5" x14ac:dyDescent="0.25">
      <c r="J997" s="115"/>
      <c r="K997" s="115"/>
      <c r="L997" s="115"/>
      <c r="M997" s="115"/>
      <c r="N997" s="115"/>
      <c r="O997" s="115"/>
      <c r="P997" s="115"/>
    </row>
    <row r="998" spans="10:16" ht="12.5" x14ac:dyDescent="0.25">
      <c r="J998" s="115"/>
      <c r="K998" s="115"/>
      <c r="L998" s="115"/>
      <c r="M998" s="115"/>
      <c r="N998" s="115"/>
      <c r="O998" s="115"/>
      <c r="P998" s="115"/>
    </row>
    <row r="999" spans="10:16" ht="12.5" x14ac:dyDescent="0.25">
      <c r="J999" s="115"/>
      <c r="K999" s="115"/>
      <c r="L999" s="115"/>
      <c r="M999" s="115"/>
      <c r="N999" s="115"/>
      <c r="O999" s="115"/>
      <c r="P999" s="115"/>
    </row>
    <row r="1000" spans="10:16" ht="12.5" x14ac:dyDescent="0.25">
      <c r="J1000" s="115"/>
      <c r="K1000" s="115"/>
      <c r="L1000" s="115"/>
      <c r="M1000" s="115"/>
      <c r="N1000" s="115"/>
      <c r="O1000" s="115"/>
      <c r="P1000" s="115"/>
    </row>
    <row r="1001" spans="10:16" ht="12.5" x14ac:dyDescent="0.25">
      <c r="J1001" s="115"/>
      <c r="K1001" s="115"/>
      <c r="L1001" s="115"/>
      <c r="M1001" s="115"/>
      <c r="N1001" s="115"/>
      <c r="O1001" s="115"/>
      <c r="P1001" s="115"/>
    </row>
    <row r="1002" spans="10:16" ht="12.5" x14ac:dyDescent="0.25">
      <c r="J1002" s="115"/>
      <c r="K1002" s="115"/>
      <c r="L1002" s="115"/>
      <c r="M1002" s="115"/>
      <c r="N1002" s="115"/>
      <c r="O1002" s="115"/>
      <c r="P1002" s="115"/>
    </row>
    <row r="1003" spans="10:16" ht="12.5" x14ac:dyDescent="0.25">
      <c r="J1003" s="115"/>
      <c r="K1003" s="115"/>
      <c r="L1003" s="115"/>
      <c r="M1003" s="115"/>
      <c r="N1003" s="115"/>
      <c r="O1003" s="115"/>
      <c r="P1003" s="115"/>
    </row>
    <row r="1004" spans="10:16" ht="12.5" x14ac:dyDescent="0.25">
      <c r="J1004" s="115"/>
      <c r="K1004" s="115"/>
      <c r="L1004" s="115"/>
      <c r="M1004" s="115"/>
      <c r="N1004" s="115"/>
      <c r="O1004" s="115"/>
      <c r="P1004" s="115"/>
    </row>
    <row r="1005" spans="10:16" ht="12.5" x14ac:dyDescent="0.25">
      <c r="J1005" s="115"/>
      <c r="K1005" s="115"/>
      <c r="L1005" s="115"/>
      <c r="M1005" s="115"/>
      <c r="N1005" s="115"/>
      <c r="O1005" s="115"/>
      <c r="P1005" s="115"/>
    </row>
    <row r="1006" spans="10:16" ht="12.5" x14ac:dyDescent="0.25">
      <c r="J1006" s="115"/>
      <c r="K1006" s="115"/>
      <c r="L1006" s="115"/>
      <c r="M1006" s="115"/>
      <c r="N1006" s="115"/>
      <c r="O1006" s="115"/>
      <c r="P1006" s="115"/>
    </row>
    <row r="1007" spans="10:16" ht="12.5" x14ac:dyDescent="0.25">
      <c r="J1007" s="115"/>
      <c r="K1007" s="115"/>
      <c r="L1007" s="115"/>
      <c r="M1007" s="115"/>
      <c r="N1007" s="115"/>
      <c r="O1007" s="115"/>
      <c r="P1007" s="115"/>
    </row>
    <row r="1008" spans="10:16" ht="12.5" x14ac:dyDescent="0.25">
      <c r="J1008" s="115"/>
      <c r="K1008" s="115"/>
      <c r="L1008" s="115"/>
      <c r="M1008" s="115"/>
      <c r="N1008" s="115"/>
      <c r="O1008" s="115"/>
      <c r="P1008" s="115"/>
    </row>
    <row r="1009" spans="10:16" ht="12.5" x14ac:dyDescent="0.25">
      <c r="J1009" s="115"/>
      <c r="K1009" s="115"/>
      <c r="L1009" s="115"/>
      <c r="M1009" s="115"/>
      <c r="N1009" s="115"/>
      <c r="O1009" s="115"/>
      <c r="P1009" s="115"/>
    </row>
    <row r="1010" spans="10:16" ht="12.5" x14ac:dyDescent="0.25">
      <c r="J1010" s="115"/>
      <c r="K1010" s="115"/>
      <c r="L1010" s="115"/>
      <c r="M1010" s="115"/>
      <c r="N1010" s="115"/>
      <c r="O1010" s="115"/>
      <c r="P1010" s="115"/>
    </row>
    <row r="1011" spans="10:16" ht="12.5" x14ac:dyDescent="0.25">
      <c r="J1011" s="115"/>
      <c r="K1011" s="115"/>
      <c r="L1011" s="115"/>
      <c r="M1011" s="115"/>
      <c r="N1011" s="115"/>
      <c r="O1011" s="115"/>
      <c r="P1011" s="115"/>
    </row>
    <row r="1012" spans="10:16" ht="12.5" x14ac:dyDescent="0.25">
      <c r="J1012" s="115"/>
      <c r="K1012" s="115"/>
      <c r="L1012" s="115"/>
      <c r="M1012" s="115"/>
      <c r="N1012" s="115"/>
      <c r="O1012" s="115"/>
      <c r="P1012" s="115"/>
    </row>
    <row r="1013" spans="10:16" ht="12.5" x14ac:dyDescent="0.25">
      <c r="J1013" s="115"/>
      <c r="K1013" s="115"/>
      <c r="L1013" s="115"/>
      <c r="M1013" s="115"/>
      <c r="N1013" s="115"/>
      <c r="O1013" s="115"/>
      <c r="P1013" s="115"/>
    </row>
    <row r="1014" spans="10:16" ht="12.5" x14ac:dyDescent="0.25">
      <c r="J1014" s="115"/>
      <c r="K1014" s="115"/>
      <c r="L1014" s="115"/>
      <c r="M1014" s="115"/>
      <c r="N1014" s="115"/>
      <c r="O1014" s="115"/>
      <c r="P1014" s="115"/>
    </row>
    <row r="1015" spans="10:16" ht="12.5" x14ac:dyDescent="0.25">
      <c r="J1015" s="115"/>
      <c r="K1015" s="115"/>
      <c r="L1015" s="115"/>
      <c r="M1015" s="115"/>
      <c r="N1015" s="115"/>
      <c r="O1015" s="115"/>
      <c r="P1015" s="115"/>
    </row>
    <row r="1016" spans="10:16" ht="12.5" x14ac:dyDescent="0.25">
      <c r="J1016" s="115"/>
      <c r="K1016" s="115"/>
      <c r="L1016" s="115"/>
      <c r="M1016" s="115"/>
      <c r="N1016" s="115"/>
      <c r="O1016" s="115"/>
      <c r="P1016" s="115"/>
    </row>
    <row r="1017" spans="10:16" ht="12.5" x14ac:dyDescent="0.25">
      <c r="J1017" s="115"/>
      <c r="K1017" s="115"/>
      <c r="L1017" s="115"/>
      <c r="M1017" s="115"/>
      <c r="N1017" s="115"/>
      <c r="O1017" s="115"/>
      <c r="P1017" s="115"/>
    </row>
    <row r="1018" spans="10:16" ht="12.5" x14ac:dyDescent="0.25">
      <c r="J1018" s="115"/>
      <c r="K1018" s="115"/>
      <c r="L1018" s="115"/>
      <c r="M1018" s="115"/>
      <c r="N1018" s="115"/>
      <c r="O1018" s="115"/>
      <c r="P1018" s="115"/>
    </row>
    <row r="1019" spans="10:16" ht="12.5" x14ac:dyDescent="0.25">
      <c r="J1019" s="115"/>
      <c r="K1019" s="115"/>
      <c r="L1019" s="115"/>
      <c r="M1019" s="115"/>
      <c r="N1019" s="115"/>
      <c r="O1019" s="115"/>
      <c r="P1019" s="115"/>
    </row>
    <row r="1020" spans="10:16" ht="12.5" x14ac:dyDescent="0.25">
      <c r="J1020" s="115"/>
      <c r="K1020" s="115"/>
      <c r="L1020" s="115"/>
      <c r="M1020" s="115"/>
      <c r="N1020" s="115"/>
      <c r="O1020" s="115"/>
      <c r="P1020" s="115"/>
    </row>
    <row r="1021" spans="10:16" ht="12.5" x14ac:dyDescent="0.25">
      <c r="J1021" s="115"/>
      <c r="K1021" s="115"/>
      <c r="L1021" s="115"/>
      <c r="M1021" s="115"/>
      <c r="N1021" s="115"/>
      <c r="O1021" s="115"/>
      <c r="P1021" s="115"/>
    </row>
    <row r="1022" spans="10:16" ht="12.5" x14ac:dyDescent="0.25">
      <c r="J1022" s="115"/>
      <c r="K1022" s="115"/>
      <c r="L1022" s="115"/>
      <c r="M1022" s="115"/>
      <c r="N1022" s="115"/>
      <c r="O1022" s="115"/>
      <c r="P1022" s="115"/>
    </row>
    <row r="1023" spans="10:16" ht="12.5" x14ac:dyDescent="0.25">
      <c r="J1023" s="115"/>
      <c r="K1023" s="115"/>
      <c r="L1023" s="115"/>
      <c r="M1023" s="115"/>
      <c r="N1023" s="115"/>
      <c r="O1023" s="115"/>
      <c r="P1023" s="115"/>
    </row>
    <row r="1024" spans="10:16" ht="12.5" x14ac:dyDescent="0.25">
      <c r="J1024" s="115"/>
      <c r="K1024" s="115"/>
      <c r="L1024" s="115"/>
      <c r="M1024" s="115"/>
      <c r="N1024" s="115"/>
      <c r="O1024" s="115"/>
      <c r="P1024" s="115"/>
    </row>
    <row r="1025" spans="10:16" ht="12.5" x14ac:dyDescent="0.25">
      <c r="J1025" s="115"/>
      <c r="K1025" s="115"/>
      <c r="L1025" s="115"/>
      <c r="M1025" s="115"/>
      <c r="N1025" s="115"/>
      <c r="O1025" s="115"/>
      <c r="P1025" s="115"/>
    </row>
    <row r="1026" spans="10:16" ht="12.5" x14ac:dyDescent="0.25">
      <c r="J1026" s="115"/>
      <c r="K1026" s="115"/>
      <c r="L1026" s="115"/>
      <c r="M1026" s="115"/>
      <c r="N1026" s="115"/>
      <c r="O1026" s="115"/>
      <c r="P1026" s="115"/>
    </row>
    <row r="1027" spans="10:16" ht="12.5" x14ac:dyDescent="0.25">
      <c r="J1027" s="115"/>
      <c r="K1027" s="115"/>
      <c r="L1027" s="115"/>
      <c r="M1027" s="115"/>
      <c r="N1027" s="115"/>
      <c r="O1027" s="115"/>
      <c r="P1027" s="115"/>
    </row>
    <row r="1028" spans="10:16" ht="12.5" x14ac:dyDescent="0.25">
      <c r="J1028" s="115"/>
      <c r="K1028" s="115"/>
      <c r="L1028" s="115"/>
      <c r="M1028" s="115"/>
      <c r="N1028" s="115"/>
      <c r="O1028" s="115"/>
      <c r="P1028" s="115"/>
    </row>
    <row r="1029" spans="10:16" ht="12.5" x14ac:dyDescent="0.25">
      <c r="J1029" s="115"/>
      <c r="K1029" s="115"/>
      <c r="L1029" s="115"/>
      <c r="M1029" s="115"/>
      <c r="N1029" s="115"/>
      <c r="O1029" s="115"/>
      <c r="P1029" s="115"/>
    </row>
    <row r="1030" spans="10:16" ht="12.5" x14ac:dyDescent="0.25">
      <c r="J1030" s="115"/>
      <c r="K1030" s="115"/>
      <c r="L1030" s="115"/>
      <c r="M1030" s="115"/>
      <c r="N1030" s="115"/>
      <c r="O1030" s="115"/>
      <c r="P1030" s="115"/>
    </row>
    <row r="1031" spans="10:16" ht="12.5" x14ac:dyDescent="0.25">
      <c r="J1031" s="115"/>
      <c r="K1031" s="115"/>
      <c r="L1031" s="115"/>
      <c r="M1031" s="115"/>
      <c r="N1031" s="115"/>
      <c r="O1031" s="115"/>
      <c r="P1031" s="115"/>
    </row>
    <row r="1032" spans="10:16" ht="12.5" x14ac:dyDescent="0.25">
      <c r="J1032" s="115"/>
      <c r="K1032" s="115"/>
      <c r="L1032" s="115"/>
      <c r="M1032" s="115"/>
      <c r="N1032" s="115"/>
      <c r="O1032" s="115"/>
      <c r="P1032" s="115"/>
    </row>
    <row r="1033" spans="10:16" ht="12.5" x14ac:dyDescent="0.25">
      <c r="J1033" s="115"/>
      <c r="K1033" s="115"/>
      <c r="L1033" s="115"/>
      <c r="M1033" s="115"/>
      <c r="N1033" s="115"/>
      <c r="O1033" s="115"/>
      <c r="P1033" s="115"/>
    </row>
    <row r="1034" spans="10:16" ht="12.5" x14ac:dyDescent="0.25">
      <c r="J1034" s="115"/>
      <c r="K1034" s="115"/>
      <c r="L1034" s="115"/>
      <c r="M1034" s="115"/>
      <c r="N1034" s="115"/>
      <c r="O1034" s="115"/>
      <c r="P1034" s="115"/>
    </row>
    <row r="1035" spans="10:16" ht="12.5" x14ac:dyDescent="0.25">
      <c r="J1035" s="115"/>
      <c r="K1035" s="115"/>
      <c r="L1035" s="115"/>
      <c r="M1035" s="115"/>
      <c r="N1035" s="115"/>
      <c r="O1035" s="115"/>
      <c r="P1035" s="115"/>
    </row>
    <row r="1036" spans="10:16" ht="12.5" x14ac:dyDescent="0.25">
      <c r="J1036" s="115"/>
      <c r="K1036" s="115"/>
      <c r="L1036" s="115"/>
      <c r="M1036" s="115"/>
      <c r="N1036" s="115"/>
      <c r="O1036" s="115"/>
      <c r="P1036" s="115"/>
    </row>
    <row r="1037" spans="10:16" ht="12.5" x14ac:dyDescent="0.25">
      <c r="J1037" s="115"/>
      <c r="K1037" s="115"/>
      <c r="L1037" s="115"/>
      <c r="M1037" s="115"/>
      <c r="N1037" s="115"/>
      <c r="O1037" s="115"/>
      <c r="P1037" s="115"/>
    </row>
    <row r="1038" spans="10:16" ht="12.5" x14ac:dyDescent="0.25">
      <c r="J1038" s="115"/>
      <c r="K1038" s="115"/>
      <c r="L1038" s="115"/>
      <c r="M1038" s="115"/>
      <c r="N1038" s="115"/>
      <c r="O1038" s="115"/>
      <c r="P1038" s="115"/>
    </row>
    <row r="1039" spans="10:16" ht="12.5" x14ac:dyDescent="0.25">
      <c r="J1039" s="115"/>
      <c r="K1039" s="115"/>
      <c r="L1039" s="115"/>
      <c r="M1039" s="115"/>
      <c r="N1039" s="115"/>
      <c r="O1039" s="115"/>
      <c r="P1039" s="115"/>
    </row>
    <row r="1040" spans="10:16" ht="12.5" x14ac:dyDescent="0.25">
      <c r="J1040" s="115"/>
      <c r="K1040" s="115"/>
      <c r="L1040" s="115"/>
      <c r="M1040" s="115"/>
      <c r="N1040" s="115"/>
      <c r="O1040" s="115"/>
      <c r="P1040" s="115"/>
    </row>
    <row r="1041" spans="10:16" ht="12.5" x14ac:dyDescent="0.25">
      <c r="J1041" s="115"/>
      <c r="K1041" s="115"/>
      <c r="L1041" s="115"/>
      <c r="M1041" s="115"/>
      <c r="N1041" s="115"/>
      <c r="O1041" s="115"/>
      <c r="P1041" s="115"/>
    </row>
    <row r="1042" spans="10:16" ht="12.5" x14ac:dyDescent="0.25">
      <c r="J1042" s="115"/>
      <c r="K1042" s="115"/>
      <c r="L1042" s="115"/>
      <c r="M1042" s="115"/>
      <c r="N1042" s="115"/>
      <c r="O1042" s="115"/>
      <c r="P1042" s="115"/>
    </row>
    <row r="1043" spans="10:16" ht="12.5" x14ac:dyDescent="0.25">
      <c r="J1043" s="115"/>
      <c r="K1043" s="115"/>
      <c r="L1043" s="115"/>
      <c r="M1043" s="115"/>
      <c r="N1043" s="115"/>
      <c r="O1043" s="115"/>
      <c r="P1043" s="115"/>
    </row>
    <row r="1044" spans="10:16" ht="12.5" x14ac:dyDescent="0.25">
      <c r="J1044" s="115"/>
      <c r="K1044" s="115"/>
      <c r="L1044" s="115"/>
      <c r="M1044" s="115"/>
      <c r="N1044" s="115"/>
      <c r="O1044" s="115"/>
      <c r="P1044" s="115"/>
    </row>
  </sheetData>
  <mergeCells count="419">
    <mergeCell ref="D114:I114"/>
    <mergeCell ref="K114:L114"/>
    <mergeCell ref="K117:L117"/>
    <mergeCell ref="K118:L118"/>
    <mergeCell ref="K119:L119"/>
    <mergeCell ref="M119:N119"/>
    <mergeCell ref="O119:P119"/>
    <mergeCell ref="Q119:V119"/>
    <mergeCell ref="D120:N120"/>
    <mergeCell ref="O120:P120"/>
    <mergeCell ref="M114:N114"/>
    <mergeCell ref="O114:P114"/>
    <mergeCell ref="Q114:V114"/>
    <mergeCell ref="K115:L115"/>
    <mergeCell ref="M115:N115"/>
    <mergeCell ref="O115:P115"/>
    <mergeCell ref="Q115:V115"/>
    <mergeCell ref="K112:L112"/>
    <mergeCell ref="M112:N112"/>
    <mergeCell ref="K113:L113"/>
    <mergeCell ref="M113:N113"/>
    <mergeCell ref="O113:P113"/>
    <mergeCell ref="K109:L109"/>
    <mergeCell ref="M109:N109"/>
    <mergeCell ref="O109:P109"/>
    <mergeCell ref="Q109:V109"/>
    <mergeCell ref="D110:I110"/>
    <mergeCell ref="O112:P112"/>
    <mergeCell ref="Q112:V112"/>
    <mergeCell ref="Q113:V113"/>
    <mergeCell ref="O110:P110"/>
    <mergeCell ref="Q110:V110"/>
    <mergeCell ref="K111:L111"/>
    <mergeCell ref="M111:N111"/>
    <mergeCell ref="O111:P111"/>
    <mergeCell ref="Q111:V111"/>
    <mergeCell ref="D112:I112"/>
    <mergeCell ref="O117:P117"/>
    <mergeCell ref="Q117:V117"/>
    <mergeCell ref="M118:N118"/>
    <mergeCell ref="O118:P118"/>
    <mergeCell ref="D116:I116"/>
    <mergeCell ref="K116:L116"/>
    <mergeCell ref="M116:N116"/>
    <mergeCell ref="O116:P116"/>
    <mergeCell ref="Q116:V116"/>
    <mergeCell ref="M117:N117"/>
    <mergeCell ref="D118:I118"/>
    <mergeCell ref="Q118:V118"/>
    <mergeCell ref="O108:P108"/>
    <mergeCell ref="Q108:V108"/>
    <mergeCell ref="K106:L106"/>
    <mergeCell ref="M106:N106"/>
    <mergeCell ref="K107:L107"/>
    <mergeCell ref="M107:N107"/>
    <mergeCell ref="O107:P107"/>
    <mergeCell ref="Q107:V107"/>
    <mergeCell ref="D108:I108"/>
    <mergeCell ref="K108:L108"/>
    <mergeCell ref="M108:N108"/>
    <mergeCell ref="O106:P106"/>
    <mergeCell ref="Q106:V106"/>
    <mergeCell ref="K104:L104"/>
    <mergeCell ref="M104:N104"/>
    <mergeCell ref="K105:L105"/>
    <mergeCell ref="M105:N105"/>
    <mergeCell ref="O105:P105"/>
    <mergeCell ref="Q105:V105"/>
    <mergeCell ref="D106:I106"/>
    <mergeCell ref="K100:L100"/>
    <mergeCell ref="M100:N100"/>
    <mergeCell ref="K101:L101"/>
    <mergeCell ref="M101:N101"/>
    <mergeCell ref="O101:P101"/>
    <mergeCell ref="Q101:V101"/>
    <mergeCell ref="D102:I102"/>
    <mergeCell ref="O104:P104"/>
    <mergeCell ref="Q104:V104"/>
    <mergeCell ref="K102:L102"/>
    <mergeCell ref="M102:N102"/>
    <mergeCell ref="K103:L103"/>
    <mergeCell ref="M103:N103"/>
    <mergeCell ref="O103:P103"/>
    <mergeCell ref="Q103:V103"/>
    <mergeCell ref="D104:I104"/>
    <mergeCell ref="D90:I90"/>
    <mergeCell ref="K90:L90"/>
    <mergeCell ref="K110:L110"/>
    <mergeCell ref="M110:N110"/>
    <mergeCell ref="O98:P98"/>
    <mergeCell ref="Q98:V98"/>
    <mergeCell ref="K96:L96"/>
    <mergeCell ref="M96:N96"/>
    <mergeCell ref="K97:L97"/>
    <mergeCell ref="M97:N97"/>
    <mergeCell ref="O97:P97"/>
    <mergeCell ref="Q97:V97"/>
    <mergeCell ref="D98:I98"/>
    <mergeCell ref="O100:P100"/>
    <mergeCell ref="Q100:V100"/>
    <mergeCell ref="K98:L98"/>
    <mergeCell ref="M98:N98"/>
    <mergeCell ref="K99:L99"/>
    <mergeCell ref="M99:N99"/>
    <mergeCell ref="O99:P99"/>
    <mergeCell ref="Q99:V99"/>
    <mergeCell ref="D100:I100"/>
    <mergeCell ref="O102:P102"/>
    <mergeCell ref="Q102:V102"/>
    <mergeCell ref="M90:N90"/>
    <mergeCell ref="O90:P90"/>
    <mergeCell ref="Q90:V90"/>
    <mergeCell ref="K91:L91"/>
    <mergeCell ref="M91:N91"/>
    <mergeCell ref="O91:P91"/>
    <mergeCell ref="Q91:V91"/>
    <mergeCell ref="K88:L88"/>
    <mergeCell ref="M88:N88"/>
    <mergeCell ref="K89:L89"/>
    <mergeCell ref="M89:N89"/>
    <mergeCell ref="O89:P89"/>
    <mergeCell ref="K85:L85"/>
    <mergeCell ref="M85:N85"/>
    <mergeCell ref="O85:P85"/>
    <mergeCell ref="Q85:V85"/>
    <mergeCell ref="D86:I86"/>
    <mergeCell ref="O88:P88"/>
    <mergeCell ref="Q88:V88"/>
    <mergeCell ref="Q89:V89"/>
    <mergeCell ref="O86:P86"/>
    <mergeCell ref="Q86:V86"/>
    <mergeCell ref="K87:L87"/>
    <mergeCell ref="M87:N87"/>
    <mergeCell ref="O87:P87"/>
    <mergeCell ref="Q87:V87"/>
    <mergeCell ref="D88:I88"/>
    <mergeCell ref="O96:P96"/>
    <mergeCell ref="Q96:V96"/>
    <mergeCell ref="K93:L93"/>
    <mergeCell ref="K94:L94"/>
    <mergeCell ref="K95:L95"/>
    <mergeCell ref="M95:N95"/>
    <mergeCell ref="O95:P95"/>
    <mergeCell ref="Q95:V95"/>
    <mergeCell ref="D96:I96"/>
    <mergeCell ref="O93:P93"/>
    <mergeCell ref="Q93:V93"/>
    <mergeCell ref="M94:N94"/>
    <mergeCell ref="O94:P94"/>
    <mergeCell ref="D92:I92"/>
    <mergeCell ref="K92:L92"/>
    <mergeCell ref="M92:N92"/>
    <mergeCell ref="O92:P92"/>
    <mergeCell ref="Q92:V92"/>
    <mergeCell ref="M93:N93"/>
    <mergeCell ref="D94:I94"/>
    <mergeCell ref="Q94:V94"/>
    <mergeCell ref="O84:P84"/>
    <mergeCell ref="Q84:V84"/>
    <mergeCell ref="K82:L82"/>
    <mergeCell ref="M82:N82"/>
    <mergeCell ref="K83:L83"/>
    <mergeCell ref="M83:N83"/>
    <mergeCell ref="O83:P83"/>
    <mergeCell ref="Q83:V83"/>
    <mergeCell ref="D84:I84"/>
    <mergeCell ref="K84:L84"/>
    <mergeCell ref="M84:N84"/>
    <mergeCell ref="O82:P82"/>
    <mergeCell ref="Q82:V82"/>
    <mergeCell ref="K80:L80"/>
    <mergeCell ref="M80:N80"/>
    <mergeCell ref="K81:L81"/>
    <mergeCell ref="M81:N81"/>
    <mergeCell ref="O81:P81"/>
    <mergeCell ref="Q81:V81"/>
    <mergeCell ref="D82:I82"/>
    <mergeCell ref="O80:P80"/>
    <mergeCell ref="Q80:V80"/>
    <mergeCell ref="K78:L78"/>
    <mergeCell ref="M78:N78"/>
    <mergeCell ref="K79:L79"/>
    <mergeCell ref="M79:N79"/>
    <mergeCell ref="O79:P79"/>
    <mergeCell ref="Q79:V79"/>
    <mergeCell ref="D80:I80"/>
    <mergeCell ref="O78:P78"/>
    <mergeCell ref="Q78:V78"/>
    <mergeCell ref="K76:L76"/>
    <mergeCell ref="M76:N76"/>
    <mergeCell ref="K77:L77"/>
    <mergeCell ref="M77:N77"/>
    <mergeCell ref="O77:P77"/>
    <mergeCell ref="Q77:V77"/>
    <mergeCell ref="D78:I78"/>
    <mergeCell ref="O64:P64"/>
    <mergeCell ref="Q64:V64"/>
    <mergeCell ref="Q65:V65"/>
    <mergeCell ref="M66:N66"/>
    <mergeCell ref="O66:P66"/>
    <mergeCell ref="Q66:V66"/>
    <mergeCell ref="K86:L86"/>
    <mergeCell ref="M86:N86"/>
    <mergeCell ref="D62:I62"/>
    <mergeCell ref="D63:I63"/>
    <mergeCell ref="K63:L63"/>
    <mergeCell ref="M63:N63"/>
    <mergeCell ref="O63:P63"/>
    <mergeCell ref="Q63:V63"/>
    <mergeCell ref="D64:I64"/>
    <mergeCell ref="K64:L64"/>
    <mergeCell ref="M64:N64"/>
    <mergeCell ref="K65:L65"/>
    <mergeCell ref="M65:N65"/>
    <mergeCell ref="O65:P65"/>
    <mergeCell ref="D66:I66"/>
    <mergeCell ref="K66:L66"/>
    <mergeCell ref="K71:L71"/>
    <mergeCell ref="D72:I72"/>
    <mergeCell ref="M62:N62"/>
    <mergeCell ref="O62:P62"/>
    <mergeCell ref="D61:I61"/>
    <mergeCell ref="K61:L61"/>
    <mergeCell ref="M61:N61"/>
    <mergeCell ref="O61:P61"/>
    <mergeCell ref="Q61:V61"/>
    <mergeCell ref="K62:L62"/>
    <mergeCell ref="Q62:V62"/>
    <mergeCell ref="O60:P60"/>
    <mergeCell ref="Q60:V60"/>
    <mergeCell ref="D58:I58"/>
    <mergeCell ref="D59:I59"/>
    <mergeCell ref="K59:L59"/>
    <mergeCell ref="M59:N59"/>
    <mergeCell ref="O59:P59"/>
    <mergeCell ref="Q59:V59"/>
    <mergeCell ref="D60:I60"/>
    <mergeCell ref="D74:I74"/>
    <mergeCell ref="K74:L74"/>
    <mergeCell ref="Q74:V74"/>
    <mergeCell ref="O76:P76"/>
    <mergeCell ref="Q76:V76"/>
    <mergeCell ref="M74:N74"/>
    <mergeCell ref="O74:P74"/>
    <mergeCell ref="K75:L75"/>
    <mergeCell ref="M75:N75"/>
    <mergeCell ref="O75:P75"/>
    <mergeCell ref="Q75:V75"/>
    <mergeCell ref="D76:I76"/>
    <mergeCell ref="K69:L69"/>
    <mergeCell ref="M69:N69"/>
    <mergeCell ref="O69:P69"/>
    <mergeCell ref="Q69:V69"/>
    <mergeCell ref="D70:I70"/>
    <mergeCell ref="K70:L70"/>
    <mergeCell ref="K73:L73"/>
    <mergeCell ref="M73:N73"/>
    <mergeCell ref="O73:P73"/>
    <mergeCell ref="Q73:V73"/>
    <mergeCell ref="K72:L72"/>
    <mergeCell ref="M72:N72"/>
    <mergeCell ref="O72:P72"/>
    <mergeCell ref="M70:N70"/>
    <mergeCell ref="O70:P70"/>
    <mergeCell ref="Q70:V70"/>
    <mergeCell ref="M71:N71"/>
    <mergeCell ref="O71:P71"/>
    <mergeCell ref="Q71:V71"/>
    <mergeCell ref="Q72:V72"/>
    <mergeCell ref="K67:L67"/>
    <mergeCell ref="M67:N67"/>
    <mergeCell ref="O67:P67"/>
    <mergeCell ref="Q67:V67"/>
    <mergeCell ref="D68:I68"/>
    <mergeCell ref="K68:L68"/>
    <mergeCell ref="M68:N68"/>
    <mergeCell ref="O68:P68"/>
    <mergeCell ref="Q68:V68"/>
    <mergeCell ref="Z39:AA39"/>
    <mergeCell ref="Z40:AA40"/>
    <mergeCell ref="T37:U37"/>
    <mergeCell ref="X37:Y37"/>
    <mergeCell ref="X38:Y38"/>
    <mergeCell ref="Z38:AA38"/>
    <mergeCell ref="T39:U39"/>
    <mergeCell ref="X39:Y40"/>
    <mergeCell ref="T40:V40"/>
    <mergeCell ref="F37:G37"/>
    <mergeCell ref="D50:F50"/>
    <mergeCell ref="D51:F51"/>
    <mergeCell ref="D52:G52"/>
    <mergeCell ref="D53:G53"/>
    <mergeCell ref="D42:H43"/>
    <mergeCell ref="D44:F44"/>
    <mergeCell ref="D45:F45"/>
    <mergeCell ref="D46:F46"/>
    <mergeCell ref="D47:F47"/>
    <mergeCell ref="D48:F48"/>
    <mergeCell ref="D49:F49"/>
    <mergeCell ref="Z14:AA14"/>
    <mergeCell ref="D12:H13"/>
    <mergeCell ref="J12:P13"/>
    <mergeCell ref="X12:AA12"/>
    <mergeCell ref="X13:Y13"/>
    <mergeCell ref="Z13:AA13"/>
    <mergeCell ref="D14:G14"/>
    <mergeCell ref="J14:K14"/>
    <mergeCell ref="X27:Y27"/>
    <mergeCell ref="T23:U23"/>
    <mergeCell ref="T24:U24"/>
    <mergeCell ref="T25:U25"/>
    <mergeCell ref="T26:U26"/>
    <mergeCell ref="X26:AA26"/>
    <mergeCell ref="T27:U27"/>
    <mergeCell ref="R22:S22"/>
    <mergeCell ref="R23:S23"/>
    <mergeCell ref="R24:S24"/>
    <mergeCell ref="R25:S25"/>
    <mergeCell ref="R26:S26"/>
    <mergeCell ref="R27:S27"/>
    <mergeCell ref="D25:F25"/>
    <mergeCell ref="D26:F26"/>
    <mergeCell ref="D27:F27"/>
    <mergeCell ref="D2:E2"/>
    <mergeCell ref="G2:L2"/>
    <mergeCell ref="D3:E3"/>
    <mergeCell ref="N3:Q5"/>
    <mergeCell ref="H4:I4"/>
    <mergeCell ref="J4:K4"/>
    <mergeCell ref="H5:I5"/>
    <mergeCell ref="R12:V13"/>
    <mergeCell ref="R14:S14"/>
    <mergeCell ref="T14:U14"/>
    <mergeCell ref="K60:L60"/>
    <mergeCell ref="M60:N60"/>
    <mergeCell ref="J5:K5"/>
    <mergeCell ref="S5:X5"/>
    <mergeCell ref="U8:V8"/>
    <mergeCell ref="W8:X8"/>
    <mergeCell ref="N6:Q6"/>
    <mergeCell ref="N7:P7"/>
    <mergeCell ref="S7:T7"/>
    <mergeCell ref="U7:V7"/>
    <mergeCell ref="W7:X7"/>
    <mergeCell ref="N8:P8"/>
    <mergeCell ref="S8:T8"/>
    <mergeCell ref="X14:Y14"/>
    <mergeCell ref="X28:Y28"/>
    <mergeCell ref="T28:U28"/>
    <mergeCell ref="R31:S31"/>
    <mergeCell ref="R33:S33"/>
    <mergeCell ref="R29:S29"/>
    <mergeCell ref="X34:AA34"/>
    <mergeCell ref="X35:Y35"/>
    <mergeCell ref="Z35:AA35"/>
    <mergeCell ref="T29:U29"/>
    <mergeCell ref="X29:Y29"/>
    <mergeCell ref="D23:H24"/>
    <mergeCell ref="T33:U33"/>
    <mergeCell ref="T34:U34"/>
    <mergeCell ref="R35:S35"/>
    <mergeCell ref="T35:U35"/>
    <mergeCell ref="T36:U36"/>
    <mergeCell ref="X36:AA36"/>
    <mergeCell ref="R37:S37"/>
    <mergeCell ref="Z37:AA37"/>
    <mergeCell ref="T30:U30"/>
    <mergeCell ref="X30:Y30"/>
    <mergeCell ref="T31:U31"/>
    <mergeCell ref="T32:U32"/>
    <mergeCell ref="X32:AA33"/>
    <mergeCell ref="D28:F28"/>
    <mergeCell ref="D29:F29"/>
    <mergeCell ref="D30:F30"/>
    <mergeCell ref="D31:F31"/>
    <mergeCell ref="D32:F32"/>
    <mergeCell ref="D33:F33"/>
    <mergeCell ref="D34:F34"/>
    <mergeCell ref="D35:F35"/>
    <mergeCell ref="D36:E37"/>
    <mergeCell ref="F36:G36"/>
    <mergeCell ref="R21:S21"/>
    <mergeCell ref="T21:U21"/>
    <mergeCell ref="T22:U22"/>
    <mergeCell ref="D16:G16"/>
    <mergeCell ref="D17:G17"/>
    <mergeCell ref="D18:G18"/>
    <mergeCell ref="D19:G19"/>
    <mergeCell ref="D20:G20"/>
    <mergeCell ref="D21:G21"/>
    <mergeCell ref="R17:S17"/>
    <mergeCell ref="T17:U17"/>
    <mergeCell ref="Z17:AA17"/>
    <mergeCell ref="R18:S18"/>
    <mergeCell ref="T18:U18"/>
    <mergeCell ref="R19:S19"/>
    <mergeCell ref="T19:U19"/>
    <mergeCell ref="R20:S20"/>
    <mergeCell ref="T20:U20"/>
    <mergeCell ref="D15:G15"/>
    <mergeCell ref="R15:S15"/>
    <mergeCell ref="T15:U15"/>
    <mergeCell ref="Z15:AA15"/>
    <mergeCell ref="R16:S16"/>
    <mergeCell ref="T16:U16"/>
    <mergeCell ref="Z16:AA16"/>
    <mergeCell ref="X15:Y15"/>
    <mergeCell ref="X16:Y16"/>
    <mergeCell ref="D39:F40"/>
    <mergeCell ref="G39:H40"/>
    <mergeCell ref="R39:S39"/>
    <mergeCell ref="R40:S40"/>
    <mergeCell ref="J42:R42"/>
    <mergeCell ref="T42:V42"/>
    <mergeCell ref="D56:V57"/>
    <mergeCell ref="K58:L58"/>
    <mergeCell ref="Q58:V58"/>
    <mergeCell ref="M58:N58"/>
    <mergeCell ref="O58:P58"/>
  </mergeCells>
  <conditionalFormatting sqref="Z39:AA40">
    <cfRule type="cellIs" dxfId="19" priority="1" operator="greaterThanOrEqual">
      <formula>0</formula>
    </cfRule>
    <cfRule type="cellIs" dxfId="18" priority="3" operator="lessThan">
      <formula>0</formula>
    </cfRule>
    <cfRule type="containsText" dxfId="17" priority="4" operator="containsText" text="falta">
      <formula>NOT(ISERROR(SEARCH(("falta"),(Z39))))</formula>
    </cfRule>
  </conditionalFormatting>
  <conditionalFormatting sqref="Z40:AA40">
    <cfRule type="containsText" dxfId="16" priority="2" operator="containsText" text="sobra">
      <formula>NOT(ISERROR(SEARCH(("sobra"),(Z40))))</formula>
    </cfRule>
  </conditionalFormatting>
  <dataValidations count="3">
    <dataValidation type="list" allowBlank="1" showErrorMessage="1" sqref="G45:G51" xr:uid="{00000000-0002-0000-0900-000000000000}">
      <formula1>"Ahorro,Inversión"</formula1>
    </dataValidation>
    <dataValidation type="list" allowBlank="1" showErrorMessage="1" sqref="K59:K119" xr:uid="{00000000-0002-0000-0900-000001000000}">
      <formula1>"Transporte,Alimentación,Restaurantes,Delivery,Bares,Ropa,Belleza,Gasolina,Hogar,Tarjeta de crédito,Ocio,Pequeñas compras,Tasas/Impuestos,Viajes/vacaciones,Tecnología,Reparaciones,Salud,Higiene,Cursos/Formación/Trabajo,Mascotas,Familia,Otros,Préstamos"</formula1>
    </dataValidation>
    <dataValidation type="list" allowBlank="1" showErrorMessage="1" sqref="N15:N39 M59:M119" xr:uid="{00000000-0002-0000-0900-000002000000}">
      <formula1>"Transferencia,Tarjeta de débito,Efectivo,Tarjeta de crédito"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D1044"/>
  <sheetViews>
    <sheetView workbookViewId="0"/>
  </sheetViews>
  <sheetFormatPr baseColWidth="10" defaultColWidth="12.6328125" defaultRowHeight="15.75" customHeight="1" x14ac:dyDescent="0.25"/>
  <cols>
    <col min="7" max="7" width="13.7265625" customWidth="1"/>
    <col min="14" max="14" width="17.6328125" customWidth="1"/>
  </cols>
  <sheetData>
    <row r="1" spans="1:30" ht="15.7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8"/>
      <c r="O1" s="28"/>
      <c r="P1" s="28"/>
      <c r="Q1" s="28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x14ac:dyDescent="0.3">
      <c r="A2" s="2"/>
      <c r="B2" s="2"/>
      <c r="C2" s="2"/>
      <c r="D2" s="254" t="s">
        <v>45</v>
      </c>
      <c r="E2" s="200"/>
      <c r="F2" s="11"/>
      <c r="G2" s="244" t="s">
        <v>46</v>
      </c>
      <c r="H2" s="245"/>
      <c r="I2" s="245"/>
      <c r="J2" s="245"/>
      <c r="K2" s="245"/>
      <c r="L2" s="246"/>
      <c r="M2" s="29"/>
      <c r="N2" s="11"/>
      <c r="O2" s="11"/>
      <c r="P2" s="11"/>
      <c r="Q2" s="11"/>
      <c r="R2" s="11"/>
      <c r="S2" s="11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5.75" customHeight="1" x14ac:dyDescent="0.4">
      <c r="A3" s="2"/>
      <c r="B3" s="2"/>
      <c r="C3" s="2"/>
      <c r="D3" s="255">
        <f>CTAS!F8</f>
        <v>0</v>
      </c>
      <c r="E3" s="236"/>
      <c r="F3" s="2"/>
      <c r="G3" s="2"/>
      <c r="H3" s="2"/>
      <c r="I3" s="2"/>
      <c r="J3" s="2"/>
      <c r="K3" s="2"/>
      <c r="L3" s="2"/>
      <c r="M3" s="11"/>
      <c r="N3" s="256" t="s">
        <v>8</v>
      </c>
      <c r="O3" s="209"/>
      <c r="P3" s="209"/>
      <c r="Q3" s="129"/>
      <c r="R3" s="30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3">
      <c r="A4" s="2"/>
      <c r="B4" s="2"/>
      <c r="C4" s="2"/>
      <c r="D4" s="28"/>
      <c r="E4" s="28"/>
      <c r="F4" s="2"/>
      <c r="G4" s="28"/>
      <c r="H4" s="259" t="s">
        <v>15</v>
      </c>
      <c r="I4" s="224"/>
      <c r="J4" s="260" t="s">
        <v>47</v>
      </c>
      <c r="K4" s="119"/>
      <c r="L4" s="31" t="s">
        <v>14</v>
      </c>
      <c r="M4" s="32"/>
      <c r="N4" s="257"/>
      <c r="O4" s="197"/>
      <c r="P4" s="197"/>
      <c r="Q4" s="258"/>
      <c r="R4" s="30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x14ac:dyDescent="0.3">
      <c r="A5" s="2"/>
      <c r="B5" s="2"/>
      <c r="C5" s="2"/>
      <c r="D5" s="2"/>
      <c r="E5" s="2"/>
      <c r="F5" s="2"/>
      <c r="G5" s="33" t="s">
        <v>48</v>
      </c>
      <c r="H5" s="261">
        <f>H37</f>
        <v>0</v>
      </c>
      <c r="I5" s="219"/>
      <c r="J5" s="243">
        <f>G39</f>
        <v>0</v>
      </c>
      <c r="K5" s="201"/>
      <c r="L5" s="34">
        <f>H5+J5</f>
        <v>0</v>
      </c>
      <c r="M5" s="32"/>
      <c r="N5" s="257"/>
      <c r="O5" s="197"/>
      <c r="P5" s="197"/>
      <c r="Q5" s="258"/>
      <c r="R5" s="29"/>
      <c r="S5" s="244" t="s">
        <v>49</v>
      </c>
      <c r="T5" s="245"/>
      <c r="U5" s="245"/>
      <c r="V5" s="245"/>
      <c r="W5" s="245"/>
      <c r="X5" s="246"/>
      <c r="Y5" s="30"/>
      <c r="Z5" s="2"/>
      <c r="AA5" s="2"/>
      <c r="AB5" s="2"/>
      <c r="AC5" s="2"/>
      <c r="AD5" s="2"/>
    </row>
    <row r="6" spans="1:30" ht="15.75" customHeight="1" x14ac:dyDescent="0.25">
      <c r="A6" s="2"/>
      <c r="B6" s="2"/>
      <c r="C6" s="2"/>
      <c r="D6" s="35"/>
      <c r="E6" s="35"/>
      <c r="F6" s="2"/>
      <c r="G6" s="35"/>
      <c r="H6" s="2"/>
      <c r="I6" s="36"/>
      <c r="J6" s="37"/>
      <c r="K6" s="37"/>
      <c r="L6" s="37"/>
      <c r="M6" s="38"/>
      <c r="N6" s="248">
        <v>2026</v>
      </c>
      <c r="O6" s="218"/>
      <c r="P6" s="218"/>
      <c r="Q6" s="249"/>
      <c r="R6" s="30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x14ac:dyDescent="0.3">
      <c r="A7" s="2"/>
      <c r="B7" s="2"/>
      <c r="C7" s="2"/>
      <c r="D7" s="2"/>
      <c r="E7" s="2"/>
      <c r="F7" s="2"/>
      <c r="G7" s="2"/>
      <c r="H7" s="39" t="s">
        <v>50</v>
      </c>
      <c r="I7" s="39" t="s">
        <v>51</v>
      </c>
      <c r="J7" s="7" t="s">
        <v>19</v>
      </c>
      <c r="K7" s="7" t="s">
        <v>52</v>
      </c>
      <c r="L7" s="7" t="s">
        <v>14</v>
      </c>
      <c r="M7" s="40"/>
      <c r="N7" s="250" t="s">
        <v>53</v>
      </c>
      <c r="O7" s="224"/>
      <c r="P7" s="227"/>
      <c r="Q7" s="41">
        <v>46266</v>
      </c>
      <c r="R7" s="30"/>
      <c r="S7" s="251" t="s">
        <v>54</v>
      </c>
      <c r="T7" s="219"/>
      <c r="U7" s="252" t="s">
        <v>55</v>
      </c>
      <c r="V7" s="219"/>
      <c r="W7" s="253" t="s">
        <v>56</v>
      </c>
      <c r="X7" s="219"/>
      <c r="Y7" s="2"/>
      <c r="Z7" s="2"/>
      <c r="AA7" s="2"/>
      <c r="AB7" s="2"/>
      <c r="AC7" s="2"/>
      <c r="AD7" s="2"/>
    </row>
    <row r="8" spans="1:30" x14ac:dyDescent="0.3">
      <c r="A8" s="2"/>
      <c r="B8" s="2"/>
      <c r="C8" s="2"/>
      <c r="D8" s="2"/>
      <c r="E8" s="2"/>
      <c r="F8" s="2"/>
      <c r="G8" s="42" t="s">
        <v>55</v>
      </c>
      <c r="H8" s="43">
        <f>M40</f>
        <v>0</v>
      </c>
      <c r="I8" s="44">
        <f>O120</f>
        <v>0</v>
      </c>
      <c r="J8" s="45">
        <f>H52</f>
        <v>0</v>
      </c>
      <c r="K8" s="45">
        <f>H53</f>
        <v>0</v>
      </c>
      <c r="L8" s="46">
        <f>SUM(H8:K8)</f>
        <v>0</v>
      </c>
      <c r="M8" s="40"/>
      <c r="N8" s="250" t="s">
        <v>57</v>
      </c>
      <c r="O8" s="224"/>
      <c r="P8" s="227"/>
      <c r="Q8" s="41">
        <v>46295</v>
      </c>
      <c r="R8" s="30"/>
      <c r="S8" s="247">
        <f>L5</f>
        <v>0</v>
      </c>
      <c r="T8" s="142"/>
      <c r="U8" s="247">
        <f>L8</f>
        <v>0</v>
      </c>
      <c r="V8" s="142"/>
      <c r="W8" s="247">
        <f>S8-U8</f>
        <v>0</v>
      </c>
      <c r="X8" s="142"/>
      <c r="Y8" s="2"/>
      <c r="Z8" s="2"/>
      <c r="AA8" s="2"/>
      <c r="AB8" s="2"/>
      <c r="AC8" s="2"/>
      <c r="AD8" s="2"/>
    </row>
    <row r="9" spans="1:30" ht="15.75" customHeight="1" x14ac:dyDescent="0.25">
      <c r="A9" s="2"/>
      <c r="B9" s="2"/>
      <c r="C9" s="2"/>
      <c r="D9" s="47"/>
      <c r="E9" s="47"/>
      <c r="F9" s="2"/>
      <c r="G9" s="2"/>
      <c r="H9" s="35"/>
      <c r="I9" s="35"/>
      <c r="J9" s="48"/>
      <c r="K9" s="48"/>
      <c r="L9" s="48"/>
      <c r="M9" s="49"/>
      <c r="N9" s="49"/>
      <c r="O9" s="49"/>
      <c r="P9" s="49"/>
      <c r="Q9" s="49"/>
      <c r="R9" s="49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15.75" customHeight="1" x14ac:dyDescent="0.25">
      <c r="A10" s="2"/>
      <c r="B10" s="2"/>
      <c r="C10" s="2"/>
      <c r="D10" s="35"/>
      <c r="E10" s="35"/>
      <c r="F10" s="2"/>
      <c r="G10" s="2"/>
      <c r="H10" s="2"/>
      <c r="I10" s="2"/>
      <c r="J10" s="49"/>
      <c r="K10" s="49"/>
      <c r="L10" s="49"/>
      <c r="M10" s="49"/>
      <c r="N10" s="49"/>
      <c r="O10" s="49"/>
      <c r="P10" s="49"/>
      <c r="Q10" s="49"/>
      <c r="R10" s="49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15.75" customHeight="1" x14ac:dyDescent="0.25">
      <c r="A11" s="2"/>
      <c r="B11" s="2"/>
      <c r="C11" s="2"/>
      <c r="D11" s="28"/>
      <c r="E11" s="28"/>
      <c r="F11" s="28"/>
      <c r="G11" s="28"/>
      <c r="H11" s="28"/>
      <c r="I11" s="2"/>
      <c r="J11" s="50"/>
      <c r="K11" s="50"/>
      <c r="L11" s="50"/>
      <c r="M11" s="50"/>
      <c r="N11" s="50"/>
      <c r="O11" s="50"/>
      <c r="P11" s="50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15.75" customHeight="1" x14ac:dyDescent="0.35">
      <c r="A12" s="2"/>
      <c r="B12" s="2"/>
      <c r="C12" s="11"/>
      <c r="D12" s="215" t="s">
        <v>58</v>
      </c>
      <c r="E12" s="209"/>
      <c r="F12" s="209"/>
      <c r="G12" s="209"/>
      <c r="H12" s="129"/>
      <c r="I12" s="29"/>
      <c r="J12" s="216" t="s">
        <v>16</v>
      </c>
      <c r="K12" s="209"/>
      <c r="L12" s="209"/>
      <c r="M12" s="209"/>
      <c r="N12" s="209"/>
      <c r="O12" s="209"/>
      <c r="P12" s="129"/>
      <c r="Q12" s="30"/>
      <c r="R12" s="208" t="s">
        <v>17</v>
      </c>
      <c r="S12" s="209"/>
      <c r="T12" s="209"/>
      <c r="U12" s="209"/>
      <c r="V12" s="129"/>
      <c r="X12" s="217" t="s">
        <v>18</v>
      </c>
      <c r="Y12" s="218"/>
      <c r="Z12" s="218"/>
      <c r="AA12" s="219"/>
      <c r="AB12" s="2"/>
      <c r="AC12" s="2"/>
      <c r="AD12" s="2"/>
    </row>
    <row r="13" spans="1:30" ht="15.75" customHeight="1" x14ac:dyDescent="0.25">
      <c r="A13" s="2"/>
      <c r="B13" s="2"/>
      <c r="C13" s="11"/>
      <c r="D13" s="130"/>
      <c r="E13" s="200"/>
      <c r="F13" s="200"/>
      <c r="G13" s="200"/>
      <c r="H13" s="131"/>
      <c r="I13" s="29"/>
      <c r="J13" s="130"/>
      <c r="K13" s="200"/>
      <c r="L13" s="200"/>
      <c r="M13" s="200"/>
      <c r="N13" s="200"/>
      <c r="O13" s="200"/>
      <c r="P13" s="131"/>
      <c r="Q13" s="30"/>
      <c r="R13" s="130"/>
      <c r="S13" s="200"/>
      <c r="T13" s="200"/>
      <c r="U13" s="200"/>
      <c r="V13" s="131"/>
      <c r="W13" s="2"/>
      <c r="X13" s="220" t="s">
        <v>59</v>
      </c>
      <c r="Y13" s="221"/>
      <c r="Z13" s="222">
        <f>M40</f>
        <v>0</v>
      </c>
      <c r="AA13" s="198"/>
      <c r="AB13" s="2"/>
      <c r="AC13" s="2"/>
      <c r="AD13" s="2"/>
    </row>
    <row r="14" spans="1:30" ht="15.75" customHeight="1" x14ac:dyDescent="0.25">
      <c r="A14" s="2"/>
      <c r="B14" s="2"/>
      <c r="C14" s="11"/>
      <c r="D14" s="223" t="s">
        <v>62</v>
      </c>
      <c r="E14" s="224"/>
      <c r="F14" s="224"/>
      <c r="G14" s="225"/>
      <c r="H14" s="51" t="s">
        <v>61</v>
      </c>
      <c r="I14" s="29"/>
      <c r="J14" s="266" t="s">
        <v>62</v>
      </c>
      <c r="K14" s="119"/>
      <c r="L14" s="52" t="s">
        <v>63</v>
      </c>
      <c r="M14" s="52" t="s">
        <v>64</v>
      </c>
      <c r="N14" s="52" t="s">
        <v>65</v>
      </c>
      <c r="O14" s="52" t="s">
        <v>104</v>
      </c>
      <c r="P14" s="52" t="s">
        <v>67</v>
      </c>
      <c r="Q14" s="29"/>
      <c r="R14" s="210" t="s">
        <v>68</v>
      </c>
      <c r="S14" s="119"/>
      <c r="T14" s="210" t="s">
        <v>69</v>
      </c>
      <c r="U14" s="119"/>
      <c r="V14" s="53" t="s">
        <v>70</v>
      </c>
      <c r="W14" s="29"/>
      <c r="X14" s="262" t="s">
        <v>71</v>
      </c>
      <c r="Y14" s="263"/>
      <c r="Z14" s="264">
        <f>O120</f>
        <v>0</v>
      </c>
      <c r="AA14" s="265"/>
      <c r="AB14" s="30"/>
      <c r="AC14" s="2"/>
      <c r="AD14" s="2"/>
    </row>
    <row r="15" spans="1:30" ht="15.75" customHeight="1" x14ac:dyDescent="0.25">
      <c r="A15" s="2"/>
      <c r="B15" s="2"/>
      <c r="C15" s="11"/>
      <c r="D15" s="226"/>
      <c r="E15" s="224"/>
      <c r="F15" s="224"/>
      <c r="G15" s="227"/>
      <c r="H15" s="54">
        <v>0</v>
      </c>
      <c r="I15" s="29"/>
      <c r="J15" s="117"/>
      <c r="K15" s="4"/>
      <c r="L15" s="4"/>
      <c r="M15" s="4"/>
      <c r="N15" s="4"/>
      <c r="O15" s="4"/>
      <c r="P15" s="56">
        <v>0</v>
      </c>
      <c r="Q15" s="29"/>
      <c r="R15" s="231" t="s">
        <v>22</v>
      </c>
      <c r="S15" s="232"/>
      <c r="T15" s="233">
        <f t="shared" ref="T15:T37" si="0">SUMIF($K$59:$L$119,R15,$O$59:$P$119)</f>
        <v>0</v>
      </c>
      <c r="U15" s="232"/>
      <c r="V15" s="57" t="e">
        <f t="shared" ref="V15:V37" si="1">T15*1/$T$40</f>
        <v>#DIV/0!</v>
      </c>
      <c r="W15" s="30"/>
      <c r="X15" s="211" t="s">
        <v>73</v>
      </c>
      <c r="Y15" s="212"/>
      <c r="Z15" s="213">
        <f t="shared" ref="Z15:Z16" si="2">H52</f>
        <v>0</v>
      </c>
      <c r="AA15" s="214"/>
      <c r="AB15" s="2"/>
      <c r="AC15" s="2"/>
      <c r="AD15" s="2"/>
    </row>
    <row r="16" spans="1:30" ht="15.75" customHeight="1" x14ac:dyDescent="0.25">
      <c r="A16" s="2"/>
      <c r="B16" s="2"/>
      <c r="C16" s="2"/>
      <c r="D16" s="240"/>
      <c r="E16" s="224"/>
      <c r="F16" s="224"/>
      <c r="G16" s="241"/>
      <c r="H16" s="58">
        <v>0</v>
      </c>
      <c r="I16" s="11"/>
      <c r="J16" s="66"/>
      <c r="K16" s="59"/>
      <c r="L16" s="59"/>
      <c r="M16" s="59"/>
      <c r="N16" s="59"/>
      <c r="O16" s="59"/>
      <c r="P16" s="61">
        <v>0</v>
      </c>
      <c r="Q16" s="29"/>
      <c r="R16" s="234" t="s">
        <v>23</v>
      </c>
      <c r="S16" s="142"/>
      <c r="T16" s="235">
        <f t="shared" si="0"/>
        <v>0</v>
      </c>
      <c r="U16" s="236"/>
      <c r="V16" s="62" t="e">
        <f t="shared" si="1"/>
        <v>#DIV/0!</v>
      </c>
      <c r="W16" s="30"/>
      <c r="X16" s="237" t="s">
        <v>74</v>
      </c>
      <c r="Y16" s="238"/>
      <c r="Z16" s="228">
        <f t="shared" si="2"/>
        <v>0</v>
      </c>
      <c r="AA16" s="198"/>
      <c r="AB16" s="2"/>
      <c r="AC16" s="2"/>
      <c r="AD16" s="2"/>
    </row>
    <row r="17" spans="1:30" x14ac:dyDescent="0.3">
      <c r="A17" s="2"/>
      <c r="B17" s="2"/>
      <c r="C17" s="2"/>
      <c r="D17" s="226"/>
      <c r="E17" s="224"/>
      <c r="F17" s="224"/>
      <c r="G17" s="227"/>
      <c r="H17" s="54">
        <v>0</v>
      </c>
      <c r="I17" s="11"/>
      <c r="J17" s="63"/>
      <c r="K17" s="3"/>
      <c r="L17" s="3"/>
      <c r="M17" s="3"/>
      <c r="N17" s="3"/>
      <c r="O17" s="3"/>
      <c r="P17" s="64">
        <v>0</v>
      </c>
      <c r="Q17" s="29"/>
      <c r="R17" s="231" t="s">
        <v>24</v>
      </c>
      <c r="S17" s="232"/>
      <c r="T17" s="233">
        <f t="shared" si="0"/>
        <v>0</v>
      </c>
      <c r="U17" s="232"/>
      <c r="V17" s="57" t="e">
        <f t="shared" si="1"/>
        <v>#DIV/0!</v>
      </c>
      <c r="W17" s="30"/>
      <c r="X17" s="65" t="s">
        <v>14</v>
      </c>
      <c r="Y17" s="65"/>
      <c r="Z17" s="229">
        <f>SUM(Z13:Z16)</f>
        <v>0</v>
      </c>
      <c r="AA17" s="230"/>
      <c r="AB17" s="2"/>
      <c r="AC17" s="2"/>
      <c r="AD17" s="2"/>
    </row>
    <row r="18" spans="1:30" ht="15.75" customHeight="1" x14ac:dyDescent="0.25">
      <c r="A18" s="2"/>
      <c r="B18" s="2"/>
      <c r="C18" s="2"/>
      <c r="D18" s="240"/>
      <c r="E18" s="224"/>
      <c r="F18" s="224"/>
      <c r="G18" s="241"/>
      <c r="H18" s="58">
        <v>0</v>
      </c>
      <c r="I18" s="11"/>
      <c r="J18" s="66"/>
      <c r="K18" s="59"/>
      <c r="L18" s="59"/>
      <c r="M18" s="59"/>
      <c r="N18" s="59"/>
      <c r="O18" s="59"/>
      <c r="P18" s="61">
        <v>0</v>
      </c>
      <c r="Q18" s="29"/>
      <c r="R18" s="239" t="s">
        <v>25</v>
      </c>
      <c r="S18" s="236"/>
      <c r="T18" s="235">
        <f t="shared" si="0"/>
        <v>0</v>
      </c>
      <c r="U18" s="236"/>
      <c r="V18" s="62" t="e">
        <f t="shared" si="1"/>
        <v>#DIV/0!</v>
      </c>
      <c r="W18" s="30"/>
      <c r="X18" s="2"/>
      <c r="Y18" s="2"/>
      <c r="Z18" s="2"/>
      <c r="AA18" s="2"/>
      <c r="AB18" s="2"/>
      <c r="AC18" s="2"/>
      <c r="AD18" s="2"/>
    </row>
    <row r="19" spans="1:30" ht="15.75" customHeight="1" x14ac:dyDescent="0.25">
      <c r="A19" s="2"/>
      <c r="B19" s="2"/>
      <c r="C19" s="2"/>
      <c r="D19" s="226"/>
      <c r="E19" s="224"/>
      <c r="F19" s="224"/>
      <c r="G19" s="227"/>
      <c r="H19" s="54">
        <v>0</v>
      </c>
      <c r="I19" s="11"/>
      <c r="J19" s="63"/>
      <c r="K19" s="3"/>
      <c r="L19" s="3"/>
      <c r="M19" s="3"/>
      <c r="N19" s="3"/>
      <c r="O19" s="3"/>
      <c r="P19" s="64">
        <v>0</v>
      </c>
      <c r="Q19" s="29"/>
      <c r="R19" s="231" t="s">
        <v>26</v>
      </c>
      <c r="S19" s="232"/>
      <c r="T19" s="233">
        <f t="shared" si="0"/>
        <v>0</v>
      </c>
      <c r="U19" s="232"/>
      <c r="V19" s="57" t="e">
        <f t="shared" si="1"/>
        <v>#DIV/0!</v>
      </c>
      <c r="W19" s="30"/>
      <c r="X19" s="2"/>
      <c r="Y19" s="2"/>
      <c r="Z19" s="2"/>
      <c r="AA19" s="2"/>
      <c r="AB19" s="2"/>
      <c r="AC19" s="2"/>
      <c r="AD19" s="2"/>
    </row>
    <row r="20" spans="1:30" ht="15.75" customHeight="1" x14ac:dyDescent="0.25">
      <c r="A20" s="2"/>
      <c r="B20" s="2"/>
      <c r="C20" s="2"/>
      <c r="D20" s="240"/>
      <c r="E20" s="224"/>
      <c r="F20" s="224"/>
      <c r="G20" s="241"/>
      <c r="H20" s="58">
        <v>0</v>
      </c>
      <c r="I20" s="11"/>
      <c r="J20" s="66"/>
      <c r="K20" s="59"/>
      <c r="L20" s="59"/>
      <c r="M20" s="59"/>
      <c r="N20" s="59"/>
      <c r="O20" s="59"/>
      <c r="P20" s="61">
        <v>0</v>
      </c>
      <c r="Q20" s="29"/>
      <c r="R20" s="239" t="s">
        <v>27</v>
      </c>
      <c r="S20" s="236"/>
      <c r="T20" s="235">
        <f t="shared" si="0"/>
        <v>0</v>
      </c>
      <c r="U20" s="236"/>
      <c r="V20" s="62" t="e">
        <f t="shared" si="1"/>
        <v>#DIV/0!</v>
      </c>
      <c r="W20" s="30"/>
      <c r="X20" s="2"/>
      <c r="Y20" s="2"/>
      <c r="Z20" s="2"/>
      <c r="AA20" s="2"/>
      <c r="AB20" s="2"/>
      <c r="AC20" s="2"/>
      <c r="AD20" s="2"/>
    </row>
    <row r="21" spans="1:30" ht="15.75" customHeight="1" x14ac:dyDescent="0.25">
      <c r="A21" s="2"/>
      <c r="B21" s="2"/>
      <c r="C21" s="2"/>
      <c r="D21" s="226"/>
      <c r="E21" s="224"/>
      <c r="F21" s="224"/>
      <c r="G21" s="227"/>
      <c r="H21" s="54">
        <v>0</v>
      </c>
      <c r="I21" s="11"/>
      <c r="J21" s="63"/>
      <c r="K21" s="3"/>
      <c r="L21" s="3"/>
      <c r="M21" s="3"/>
      <c r="N21" s="3"/>
      <c r="O21" s="3"/>
      <c r="P21" s="64">
        <v>0</v>
      </c>
      <c r="Q21" s="29"/>
      <c r="R21" s="231" t="s">
        <v>28</v>
      </c>
      <c r="S21" s="232"/>
      <c r="T21" s="233">
        <f t="shared" si="0"/>
        <v>0</v>
      </c>
      <c r="U21" s="232"/>
      <c r="V21" s="57" t="e">
        <f t="shared" si="1"/>
        <v>#DIV/0!</v>
      </c>
      <c r="W21" s="30"/>
      <c r="X21" s="2"/>
      <c r="Y21" s="2"/>
      <c r="Z21" s="2"/>
      <c r="AA21" s="2"/>
      <c r="AB21" s="2"/>
      <c r="AC21" s="2"/>
      <c r="AD21" s="2"/>
    </row>
    <row r="22" spans="1:30" ht="15.75" customHeight="1" x14ac:dyDescent="0.25">
      <c r="A22" s="2"/>
      <c r="B22" s="2"/>
      <c r="C22" s="2"/>
      <c r="D22" s="28"/>
      <c r="E22" s="28"/>
      <c r="F22" s="28"/>
      <c r="G22" s="28"/>
      <c r="H22" s="28"/>
      <c r="I22" s="11"/>
      <c r="J22" s="66"/>
      <c r="K22" s="59"/>
      <c r="L22" s="59"/>
      <c r="M22" s="59"/>
      <c r="N22" s="59"/>
      <c r="O22" s="59"/>
      <c r="P22" s="61">
        <v>0</v>
      </c>
      <c r="Q22" s="29"/>
      <c r="R22" s="239" t="s">
        <v>29</v>
      </c>
      <c r="S22" s="236"/>
      <c r="T22" s="235">
        <f t="shared" si="0"/>
        <v>0</v>
      </c>
      <c r="U22" s="236"/>
      <c r="V22" s="62" t="e">
        <f t="shared" si="1"/>
        <v>#DIV/0!</v>
      </c>
      <c r="W22" s="30"/>
      <c r="X22" s="2"/>
      <c r="Y22" s="2"/>
      <c r="Z22" s="2"/>
      <c r="AA22" s="2"/>
      <c r="AB22" s="2"/>
      <c r="AC22" s="2"/>
      <c r="AD22" s="2"/>
    </row>
    <row r="23" spans="1:30" ht="15.75" customHeight="1" x14ac:dyDescent="0.25">
      <c r="A23" s="2"/>
      <c r="B23" s="2"/>
      <c r="C23" s="11"/>
      <c r="D23" s="242" t="s">
        <v>15</v>
      </c>
      <c r="E23" s="209"/>
      <c r="F23" s="209"/>
      <c r="G23" s="209"/>
      <c r="H23" s="129"/>
      <c r="I23" s="29"/>
      <c r="J23" s="63"/>
      <c r="K23" s="3"/>
      <c r="L23" s="3"/>
      <c r="M23" s="3"/>
      <c r="N23" s="3"/>
      <c r="O23" s="3"/>
      <c r="P23" s="64">
        <v>0</v>
      </c>
      <c r="Q23" s="29"/>
      <c r="R23" s="231" t="s">
        <v>30</v>
      </c>
      <c r="S23" s="232"/>
      <c r="T23" s="233">
        <f t="shared" si="0"/>
        <v>0</v>
      </c>
      <c r="U23" s="232"/>
      <c r="V23" s="57" t="e">
        <f t="shared" si="1"/>
        <v>#DIV/0!</v>
      </c>
      <c r="W23" s="30"/>
      <c r="X23" s="2"/>
      <c r="Y23" s="2"/>
      <c r="Z23" s="2"/>
      <c r="AA23" s="2"/>
      <c r="AB23" s="2"/>
      <c r="AC23" s="2"/>
      <c r="AD23" s="2"/>
    </row>
    <row r="24" spans="1:30" ht="15.75" customHeight="1" x14ac:dyDescent="0.25">
      <c r="A24" s="2"/>
      <c r="B24" s="2"/>
      <c r="C24" s="11"/>
      <c r="D24" s="130"/>
      <c r="E24" s="200"/>
      <c r="F24" s="200"/>
      <c r="G24" s="200"/>
      <c r="H24" s="131"/>
      <c r="I24" s="29"/>
      <c r="J24" s="66"/>
      <c r="K24" s="59"/>
      <c r="L24" s="59"/>
      <c r="M24" s="59"/>
      <c r="N24" s="59"/>
      <c r="O24" s="59"/>
      <c r="P24" s="61">
        <v>0</v>
      </c>
      <c r="Q24" s="29"/>
      <c r="R24" s="239" t="s">
        <v>31</v>
      </c>
      <c r="S24" s="236"/>
      <c r="T24" s="235">
        <f t="shared" si="0"/>
        <v>0</v>
      </c>
      <c r="U24" s="236"/>
      <c r="V24" s="62" t="e">
        <f t="shared" si="1"/>
        <v>#DIV/0!</v>
      </c>
      <c r="W24" s="30"/>
      <c r="X24" s="67"/>
      <c r="Y24" s="67"/>
      <c r="Z24" s="67"/>
      <c r="AA24" s="67"/>
      <c r="AB24" s="2"/>
      <c r="AC24" s="2"/>
      <c r="AD24" s="2"/>
    </row>
    <row r="25" spans="1:30" ht="15.75" customHeight="1" x14ac:dyDescent="0.25">
      <c r="A25" s="2"/>
      <c r="B25" s="2"/>
      <c r="C25" s="11"/>
      <c r="D25" s="275" t="s">
        <v>62</v>
      </c>
      <c r="E25" s="224"/>
      <c r="F25" s="119"/>
      <c r="G25" s="68" t="s">
        <v>75</v>
      </c>
      <c r="H25" s="69" t="s">
        <v>76</v>
      </c>
      <c r="I25" s="29"/>
      <c r="J25" s="63"/>
      <c r="K25" s="3"/>
      <c r="L25" s="3"/>
      <c r="M25" s="3"/>
      <c r="N25" s="3"/>
      <c r="O25" s="3"/>
      <c r="P25" s="64">
        <v>0</v>
      </c>
      <c r="Q25" s="29"/>
      <c r="R25" s="231" t="s">
        <v>32</v>
      </c>
      <c r="S25" s="232"/>
      <c r="T25" s="233">
        <f t="shared" si="0"/>
        <v>0</v>
      </c>
      <c r="U25" s="232"/>
      <c r="V25" s="57" t="e">
        <f t="shared" si="1"/>
        <v>#DIV/0!</v>
      </c>
      <c r="W25" s="2"/>
      <c r="X25" s="2"/>
      <c r="Y25" s="2"/>
      <c r="Z25" s="2"/>
      <c r="AA25" s="2"/>
      <c r="AB25" s="2"/>
      <c r="AC25" s="2"/>
      <c r="AD25" s="2"/>
    </row>
    <row r="26" spans="1:30" ht="15.75" customHeight="1" x14ac:dyDescent="0.25">
      <c r="A26" s="2"/>
      <c r="B26" s="2"/>
      <c r="C26" s="11"/>
      <c r="D26" s="276"/>
      <c r="E26" s="277"/>
      <c r="F26" s="142"/>
      <c r="G26" s="70"/>
      <c r="H26" s="71"/>
      <c r="I26" s="29"/>
      <c r="J26" s="66"/>
      <c r="K26" s="59"/>
      <c r="L26" s="59"/>
      <c r="M26" s="59"/>
      <c r="N26" s="59"/>
      <c r="O26" s="59"/>
      <c r="P26" s="61">
        <v>0</v>
      </c>
      <c r="Q26" s="29"/>
      <c r="R26" s="239" t="s">
        <v>33</v>
      </c>
      <c r="S26" s="236"/>
      <c r="T26" s="235">
        <f t="shared" si="0"/>
        <v>0</v>
      </c>
      <c r="U26" s="236"/>
      <c r="V26" s="62" t="e">
        <f t="shared" si="1"/>
        <v>#DIV/0!</v>
      </c>
      <c r="W26" s="29"/>
      <c r="X26" s="278" t="s">
        <v>77</v>
      </c>
      <c r="Y26" s="224"/>
      <c r="Z26" s="224"/>
      <c r="AA26" s="119"/>
      <c r="AB26" s="30"/>
      <c r="AC26" s="2"/>
      <c r="AD26" s="2"/>
    </row>
    <row r="27" spans="1:30" x14ac:dyDescent="0.3">
      <c r="A27" s="2"/>
      <c r="B27" s="2"/>
      <c r="C27" s="11"/>
      <c r="D27" s="279"/>
      <c r="E27" s="245"/>
      <c r="F27" s="280"/>
      <c r="G27" s="72"/>
      <c r="H27" s="73"/>
      <c r="I27" s="29"/>
      <c r="J27" s="63"/>
      <c r="K27" s="3"/>
      <c r="L27" s="3"/>
      <c r="M27" s="3"/>
      <c r="N27" s="3"/>
      <c r="O27" s="3"/>
      <c r="P27" s="64">
        <v>0</v>
      </c>
      <c r="Q27" s="29"/>
      <c r="R27" s="231" t="s">
        <v>34</v>
      </c>
      <c r="S27" s="232"/>
      <c r="T27" s="233">
        <f t="shared" si="0"/>
        <v>0</v>
      </c>
      <c r="U27" s="232"/>
      <c r="V27" s="57" t="e">
        <f t="shared" si="1"/>
        <v>#DIV/0!</v>
      </c>
      <c r="W27" s="29"/>
      <c r="X27" s="270" t="s">
        <v>78</v>
      </c>
      <c r="Y27" s="119"/>
      <c r="Z27" s="74">
        <f>SUMIF(M59:N119,"Tarjeta de débito",O59:P119)+SUMIF(N15:N39,"Tarjeta de débito",M15:M39)</f>
        <v>0</v>
      </c>
      <c r="AA27" s="75" t="e">
        <f t="shared" ref="AA27:AA30" si="3">Z27*1/$U$8</f>
        <v>#DIV/0!</v>
      </c>
      <c r="AB27" s="30"/>
      <c r="AC27" s="2"/>
      <c r="AD27" s="2"/>
    </row>
    <row r="28" spans="1:30" x14ac:dyDescent="0.3">
      <c r="A28" s="2"/>
      <c r="B28" s="2"/>
      <c r="C28" s="11"/>
      <c r="D28" s="286"/>
      <c r="E28" s="245"/>
      <c r="F28" s="236"/>
      <c r="G28" s="76"/>
      <c r="H28" s="77"/>
      <c r="I28" s="29"/>
      <c r="J28" s="66"/>
      <c r="K28" s="59"/>
      <c r="L28" s="59"/>
      <c r="M28" s="59"/>
      <c r="N28" s="59"/>
      <c r="O28" s="59"/>
      <c r="P28" s="61">
        <v>0</v>
      </c>
      <c r="Q28" s="29"/>
      <c r="R28" s="78" t="s">
        <v>35</v>
      </c>
      <c r="S28" s="79"/>
      <c r="T28" s="235">
        <f t="shared" si="0"/>
        <v>0</v>
      </c>
      <c r="U28" s="236"/>
      <c r="V28" s="62" t="e">
        <f t="shared" si="1"/>
        <v>#DIV/0!</v>
      </c>
      <c r="W28" s="29"/>
      <c r="X28" s="281" t="s">
        <v>31</v>
      </c>
      <c r="Y28" s="119"/>
      <c r="Z28" s="80">
        <f>SUMIF(M59:N119,"Tarjeta de crédito",O59:P119)+SUMIF(N15:N39,"Tarjeta de crédito",M15:M39)</f>
        <v>0</v>
      </c>
      <c r="AA28" s="75" t="e">
        <f t="shared" si="3"/>
        <v>#DIV/0!</v>
      </c>
      <c r="AB28" s="30"/>
      <c r="AC28" s="2"/>
      <c r="AD28" s="2"/>
    </row>
    <row r="29" spans="1:30" x14ac:dyDescent="0.3">
      <c r="A29" s="2"/>
      <c r="B29" s="2"/>
      <c r="C29" s="11"/>
      <c r="D29" s="279"/>
      <c r="E29" s="245"/>
      <c r="F29" s="280"/>
      <c r="G29" s="72"/>
      <c r="H29" s="73"/>
      <c r="I29" s="29"/>
      <c r="J29" s="63"/>
      <c r="K29" s="3"/>
      <c r="L29" s="3"/>
      <c r="M29" s="3"/>
      <c r="N29" s="3"/>
      <c r="O29" s="3"/>
      <c r="P29" s="64">
        <v>0</v>
      </c>
      <c r="Q29" s="29"/>
      <c r="R29" s="231" t="s">
        <v>79</v>
      </c>
      <c r="S29" s="232"/>
      <c r="T29" s="233">
        <f t="shared" si="0"/>
        <v>0</v>
      </c>
      <c r="U29" s="232"/>
      <c r="V29" s="57" t="e">
        <f t="shared" si="1"/>
        <v>#DIV/0!</v>
      </c>
      <c r="W29" s="29"/>
      <c r="X29" s="282" t="s">
        <v>80</v>
      </c>
      <c r="Y29" s="119"/>
      <c r="Z29" s="80">
        <f>SUMIF(M59:N119,"Efectivo",O59:P119)+SUMIF(N15:N39,"Efectivo",M15:M39)</f>
        <v>0</v>
      </c>
      <c r="AA29" s="75" t="e">
        <f t="shared" si="3"/>
        <v>#DIV/0!</v>
      </c>
      <c r="AB29" s="30"/>
      <c r="AC29" s="2"/>
      <c r="AD29" s="2"/>
    </row>
    <row r="30" spans="1:30" x14ac:dyDescent="0.3">
      <c r="A30" s="2"/>
      <c r="B30" s="2"/>
      <c r="C30" s="11"/>
      <c r="D30" s="286"/>
      <c r="E30" s="245"/>
      <c r="F30" s="236"/>
      <c r="G30" s="76"/>
      <c r="H30" s="77"/>
      <c r="I30" s="29"/>
      <c r="J30" s="66"/>
      <c r="K30" s="59"/>
      <c r="L30" s="59"/>
      <c r="M30" s="59"/>
      <c r="N30" s="59"/>
      <c r="O30" s="59"/>
      <c r="P30" s="61">
        <v>0</v>
      </c>
      <c r="Q30" s="29"/>
      <c r="R30" s="78" t="s">
        <v>37</v>
      </c>
      <c r="S30" s="79"/>
      <c r="T30" s="235">
        <f t="shared" si="0"/>
        <v>0</v>
      </c>
      <c r="U30" s="236"/>
      <c r="V30" s="62" t="e">
        <f t="shared" si="1"/>
        <v>#DIV/0!</v>
      </c>
      <c r="W30" s="29"/>
      <c r="X30" s="283" t="s">
        <v>72</v>
      </c>
      <c r="Y30" s="119"/>
      <c r="Z30" s="74">
        <f>SUMIF(M59:N119,"Transferencia",O59:P119)+SUMIF(N15:N39,"Transferencia",M15:M39)</f>
        <v>0</v>
      </c>
      <c r="AA30" s="75" t="e">
        <f t="shared" si="3"/>
        <v>#DIV/0!</v>
      </c>
      <c r="AB30" s="30"/>
      <c r="AC30" s="2"/>
      <c r="AD30" s="2"/>
    </row>
    <row r="31" spans="1:30" ht="15.75" customHeight="1" x14ac:dyDescent="0.25">
      <c r="A31" s="2"/>
      <c r="B31" s="2"/>
      <c r="C31" s="11"/>
      <c r="D31" s="279"/>
      <c r="E31" s="245"/>
      <c r="F31" s="280"/>
      <c r="G31" s="72"/>
      <c r="H31" s="73"/>
      <c r="I31" s="29"/>
      <c r="J31" s="63"/>
      <c r="K31" s="3"/>
      <c r="L31" s="3"/>
      <c r="M31" s="3"/>
      <c r="N31" s="3"/>
      <c r="O31" s="3"/>
      <c r="P31" s="64">
        <v>0</v>
      </c>
      <c r="Q31" s="29"/>
      <c r="R31" s="231" t="s">
        <v>38</v>
      </c>
      <c r="S31" s="232"/>
      <c r="T31" s="233">
        <f t="shared" si="0"/>
        <v>0</v>
      </c>
      <c r="U31" s="232"/>
      <c r="V31" s="57" t="e">
        <f t="shared" si="1"/>
        <v>#DIV/0!</v>
      </c>
      <c r="W31" s="2"/>
      <c r="X31" s="28"/>
      <c r="Y31" s="28"/>
      <c r="Z31" s="28"/>
      <c r="AA31" s="28"/>
      <c r="AB31" s="2"/>
      <c r="AC31" s="2"/>
      <c r="AD31" s="2"/>
    </row>
    <row r="32" spans="1:30" ht="15.75" customHeight="1" x14ac:dyDescent="0.25">
      <c r="A32" s="2"/>
      <c r="B32" s="2"/>
      <c r="C32" s="11"/>
      <c r="D32" s="286"/>
      <c r="E32" s="245"/>
      <c r="F32" s="236"/>
      <c r="G32" s="76"/>
      <c r="H32" s="77"/>
      <c r="I32" s="29"/>
      <c r="J32" s="81"/>
      <c r="K32" s="82"/>
      <c r="L32" s="82"/>
      <c r="M32" s="82"/>
      <c r="N32" s="82"/>
      <c r="O32" s="82"/>
      <c r="P32" s="83">
        <v>0</v>
      </c>
      <c r="Q32" s="29"/>
      <c r="R32" s="78" t="s">
        <v>39</v>
      </c>
      <c r="S32" s="79"/>
      <c r="T32" s="235">
        <f t="shared" si="0"/>
        <v>0</v>
      </c>
      <c r="U32" s="236"/>
      <c r="V32" s="62" t="e">
        <f t="shared" si="1"/>
        <v>#DIV/0!</v>
      </c>
      <c r="W32" s="29"/>
      <c r="X32" s="284" t="s">
        <v>81</v>
      </c>
      <c r="Y32" s="209"/>
      <c r="Z32" s="209"/>
      <c r="AA32" s="129"/>
      <c r="AB32" s="30"/>
      <c r="AC32" s="2"/>
      <c r="AD32" s="2"/>
    </row>
    <row r="33" spans="1:30" ht="15.75" customHeight="1" x14ac:dyDescent="0.25">
      <c r="A33" s="2"/>
      <c r="B33" s="2"/>
      <c r="C33" s="11"/>
      <c r="D33" s="279"/>
      <c r="E33" s="245"/>
      <c r="F33" s="280"/>
      <c r="G33" s="72"/>
      <c r="H33" s="73"/>
      <c r="I33" s="29"/>
      <c r="J33" s="84"/>
      <c r="K33" s="85"/>
      <c r="L33" s="85"/>
      <c r="M33" s="85"/>
      <c r="N33" s="85"/>
      <c r="O33" s="85"/>
      <c r="P33" s="86">
        <v>0</v>
      </c>
      <c r="Q33" s="29"/>
      <c r="R33" s="231" t="s">
        <v>40</v>
      </c>
      <c r="S33" s="232"/>
      <c r="T33" s="233">
        <f t="shared" si="0"/>
        <v>0</v>
      </c>
      <c r="U33" s="232"/>
      <c r="V33" s="57" t="e">
        <f t="shared" si="1"/>
        <v>#DIV/0!</v>
      </c>
      <c r="W33" s="29"/>
      <c r="X33" s="130"/>
      <c r="Y33" s="200"/>
      <c r="Z33" s="200"/>
      <c r="AA33" s="131"/>
      <c r="AB33" s="30"/>
      <c r="AC33" s="2"/>
      <c r="AD33" s="2"/>
    </row>
    <row r="34" spans="1:30" x14ac:dyDescent="0.3">
      <c r="A34" s="2"/>
      <c r="B34" s="2"/>
      <c r="C34" s="11"/>
      <c r="D34" s="287"/>
      <c r="E34" s="245"/>
      <c r="F34" s="236"/>
      <c r="G34" s="87"/>
      <c r="H34" s="88"/>
      <c r="I34" s="29"/>
      <c r="J34" s="81"/>
      <c r="K34" s="82"/>
      <c r="L34" s="82"/>
      <c r="M34" s="82"/>
      <c r="N34" s="82"/>
      <c r="O34" s="82"/>
      <c r="P34" s="83">
        <v>0</v>
      </c>
      <c r="Q34" s="29"/>
      <c r="R34" s="78" t="s">
        <v>41</v>
      </c>
      <c r="S34" s="79"/>
      <c r="T34" s="235">
        <f t="shared" si="0"/>
        <v>0</v>
      </c>
      <c r="U34" s="236"/>
      <c r="V34" s="62" t="e">
        <f t="shared" si="1"/>
        <v>#DIV/0!</v>
      </c>
      <c r="W34" s="29"/>
      <c r="X34" s="285" t="s">
        <v>82</v>
      </c>
      <c r="Y34" s="224"/>
      <c r="Z34" s="224"/>
      <c r="AA34" s="119"/>
      <c r="AB34" s="30"/>
      <c r="AC34" s="2"/>
      <c r="AD34" s="2"/>
    </row>
    <row r="35" spans="1:30" ht="15.75" customHeight="1" x14ac:dyDescent="0.25">
      <c r="A35" s="2"/>
      <c r="B35" s="2"/>
      <c r="C35" s="11"/>
      <c r="D35" s="304"/>
      <c r="E35" s="194"/>
      <c r="F35" s="305"/>
      <c r="G35" s="89"/>
      <c r="H35" s="90"/>
      <c r="I35" s="29"/>
      <c r="J35" s="84"/>
      <c r="K35" s="85"/>
      <c r="L35" s="85"/>
      <c r="M35" s="85"/>
      <c r="N35" s="85"/>
      <c r="O35" s="85"/>
      <c r="P35" s="86">
        <v>0</v>
      </c>
      <c r="Q35" s="29"/>
      <c r="R35" s="231" t="s">
        <v>42</v>
      </c>
      <c r="S35" s="232"/>
      <c r="T35" s="233">
        <f t="shared" si="0"/>
        <v>0</v>
      </c>
      <c r="U35" s="232"/>
      <c r="V35" s="57" t="e">
        <f t="shared" si="1"/>
        <v>#DIV/0!</v>
      </c>
      <c r="W35" s="29"/>
      <c r="X35" s="294" t="s">
        <v>83</v>
      </c>
      <c r="Y35" s="295"/>
      <c r="Z35" s="296">
        <f>W8</f>
        <v>0</v>
      </c>
      <c r="AA35" s="258"/>
      <c r="AB35" s="30"/>
      <c r="AC35" s="2"/>
      <c r="AD35" s="2"/>
    </row>
    <row r="36" spans="1:30" x14ac:dyDescent="0.3">
      <c r="A36" s="2"/>
      <c r="B36" s="2"/>
      <c r="C36" s="11"/>
      <c r="D36" s="306" t="s">
        <v>84</v>
      </c>
      <c r="E36" s="129"/>
      <c r="F36" s="307" t="s">
        <v>85</v>
      </c>
      <c r="G36" s="308"/>
      <c r="H36" s="91">
        <f>SUM(G26:G35)</f>
        <v>0</v>
      </c>
      <c r="I36" s="29"/>
      <c r="J36" s="81"/>
      <c r="K36" s="82"/>
      <c r="L36" s="82"/>
      <c r="M36" s="82"/>
      <c r="N36" s="82"/>
      <c r="O36" s="82"/>
      <c r="P36" s="83">
        <v>0</v>
      </c>
      <c r="Q36" s="29"/>
      <c r="R36" s="78" t="s">
        <v>43</v>
      </c>
      <c r="S36" s="79"/>
      <c r="T36" s="235">
        <f t="shared" si="0"/>
        <v>0</v>
      </c>
      <c r="U36" s="236"/>
      <c r="V36" s="62" t="e">
        <f t="shared" si="1"/>
        <v>#DIV/0!</v>
      </c>
      <c r="W36" s="29"/>
      <c r="X36" s="285" t="s">
        <v>86</v>
      </c>
      <c r="Y36" s="224"/>
      <c r="Z36" s="224"/>
      <c r="AA36" s="119"/>
      <c r="AB36" s="30"/>
      <c r="AC36" s="2"/>
      <c r="AD36" s="2"/>
    </row>
    <row r="37" spans="1:30" ht="13" x14ac:dyDescent="0.3">
      <c r="A37" s="2"/>
      <c r="B37" s="2"/>
      <c r="C37" s="11"/>
      <c r="D37" s="130"/>
      <c r="E37" s="131"/>
      <c r="F37" s="309" t="s">
        <v>87</v>
      </c>
      <c r="G37" s="310"/>
      <c r="H37" s="92">
        <f>SUM(H26:H35)</f>
        <v>0</v>
      </c>
      <c r="I37" s="29"/>
      <c r="J37" s="84"/>
      <c r="K37" s="85"/>
      <c r="L37" s="85"/>
      <c r="M37" s="85"/>
      <c r="N37" s="85"/>
      <c r="O37" s="85"/>
      <c r="P37" s="86">
        <v>0</v>
      </c>
      <c r="Q37" s="29"/>
      <c r="R37" s="231" t="s">
        <v>88</v>
      </c>
      <c r="S37" s="232"/>
      <c r="T37" s="233">
        <f t="shared" si="0"/>
        <v>0</v>
      </c>
      <c r="U37" s="232"/>
      <c r="V37" s="57" t="e">
        <f t="shared" si="1"/>
        <v>#DIV/0!</v>
      </c>
      <c r="W37" s="29"/>
      <c r="X37" s="297" t="s">
        <v>89</v>
      </c>
      <c r="Y37" s="298"/>
      <c r="Z37" s="299"/>
      <c r="AA37" s="300"/>
      <c r="AB37" s="30"/>
      <c r="AC37" s="2"/>
      <c r="AD37" s="2"/>
    </row>
    <row r="38" spans="1:30" ht="12.5" x14ac:dyDescent="0.25">
      <c r="A38" s="2"/>
      <c r="B38" s="2"/>
      <c r="C38" s="2"/>
      <c r="D38" s="36"/>
      <c r="E38" s="36"/>
      <c r="F38" s="36"/>
      <c r="G38" s="36"/>
      <c r="H38" s="36"/>
      <c r="I38" s="11"/>
      <c r="J38" s="81"/>
      <c r="K38" s="82"/>
      <c r="L38" s="82"/>
      <c r="M38" s="82"/>
      <c r="N38" s="82"/>
      <c r="O38" s="82"/>
      <c r="P38" s="83">
        <v>0</v>
      </c>
      <c r="Q38" s="29"/>
      <c r="R38" s="93"/>
      <c r="S38" s="2"/>
      <c r="T38" s="2"/>
      <c r="U38" s="2"/>
      <c r="V38" s="94"/>
      <c r="W38" s="29"/>
      <c r="X38" s="301" t="s">
        <v>80</v>
      </c>
      <c r="Y38" s="302"/>
      <c r="Z38" s="288"/>
      <c r="AA38" s="289"/>
      <c r="AB38" s="30"/>
      <c r="AC38" s="2"/>
      <c r="AD38" s="2"/>
    </row>
    <row r="39" spans="1:30" ht="13" x14ac:dyDescent="0.25">
      <c r="A39" s="2"/>
      <c r="B39" s="2"/>
      <c r="C39" s="11"/>
      <c r="D39" s="311" t="s">
        <v>90</v>
      </c>
      <c r="E39" s="209"/>
      <c r="F39" s="209"/>
      <c r="G39" s="312"/>
      <c r="H39" s="129"/>
      <c r="I39" s="29"/>
      <c r="J39" s="84"/>
      <c r="K39" s="85"/>
      <c r="L39" s="85"/>
      <c r="M39" s="85"/>
      <c r="N39" s="85"/>
      <c r="O39" s="85"/>
      <c r="P39" s="86">
        <v>0</v>
      </c>
      <c r="Q39" s="29"/>
      <c r="R39" s="271"/>
      <c r="S39" s="232"/>
      <c r="T39" s="274"/>
      <c r="U39" s="232"/>
      <c r="V39" s="95"/>
      <c r="W39" s="29"/>
      <c r="X39" s="303" t="s">
        <v>91</v>
      </c>
      <c r="Y39" s="129"/>
      <c r="Z39" s="290">
        <f>(Z38+Z37)-Z35</f>
        <v>0</v>
      </c>
      <c r="AA39" s="119"/>
      <c r="AB39" s="30"/>
      <c r="AC39" s="2"/>
      <c r="AD39" s="2"/>
    </row>
    <row r="40" spans="1:30" ht="13" x14ac:dyDescent="0.3">
      <c r="A40" s="2"/>
      <c r="B40" s="2"/>
      <c r="C40" s="11"/>
      <c r="D40" s="130"/>
      <c r="E40" s="200"/>
      <c r="F40" s="200"/>
      <c r="G40" s="130"/>
      <c r="H40" s="131"/>
      <c r="I40" s="29"/>
      <c r="J40" s="96" t="s">
        <v>14</v>
      </c>
      <c r="K40" s="97"/>
      <c r="L40" s="97">
        <f t="shared" ref="L40:M40" si="4">SUM(L15:L39)</f>
        <v>0</v>
      </c>
      <c r="M40" s="97">
        <f t="shared" si="4"/>
        <v>0</v>
      </c>
      <c r="N40" s="97"/>
      <c r="O40" s="97"/>
      <c r="P40" s="98"/>
      <c r="Q40" s="29"/>
      <c r="R40" s="272" t="s">
        <v>14</v>
      </c>
      <c r="S40" s="273"/>
      <c r="T40" s="291">
        <f>SUM(T15:U39)</f>
        <v>0</v>
      </c>
      <c r="U40" s="224"/>
      <c r="V40" s="119"/>
      <c r="W40" s="29"/>
      <c r="X40" s="130"/>
      <c r="Y40" s="131"/>
      <c r="Z40" s="290" t="str">
        <f>IF(Z39&lt;0,"Te falta dinero o anotar algo", "Te sobra dinero o anotar algo")</f>
        <v>Te sobra dinero o anotar algo</v>
      </c>
      <c r="AA40" s="119"/>
      <c r="AB40" s="30"/>
      <c r="AC40" s="2"/>
      <c r="AD40" s="2"/>
    </row>
    <row r="41" spans="1:30" ht="12.5" x14ac:dyDescent="0.25">
      <c r="A41" s="2"/>
      <c r="B41" s="2"/>
      <c r="C41" s="2"/>
      <c r="D41" s="35"/>
      <c r="E41" s="35"/>
      <c r="F41" s="35"/>
      <c r="G41" s="35"/>
      <c r="H41" s="35"/>
      <c r="I41" s="2"/>
      <c r="J41" s="99"/>
      <c r="K41" s="99"/>
      <c r="L41" s="99"/>
      <c r="M41" s="99"/>
      <c r="N41" s="99"/>
      <c r="O41" s="99"/>
      <c r="P41" s="99"/>
      <c r="Q41" s="28"/>
      <c r="R41" s="36"/>
      <c r="S41" s="36"/>
      <c r="T41" s="36"/>
      <c r="U41" s="36"/>
      <c r="V41" s="36"/>
      <c r="W41" s="2"/>
      <c r="X41" s="35"/>
      <c r="Y41" s="35"/>
      <c r="Z41" s="35"/>
      <c r="AA41" s="35"/>
      <c r="AB41" s="2"/>
      <c r="AC41" s="2"/>
      <c r="AD41" s="2"/>
    </row>
    <row r="42" spans="1:30" ht="13" x14ac:dyDescent="0.3">
      <c r="A42" s="2"/>
      <c r="B42" s="2"/>
      <c r="C42" s="2"/>
      <c r="D42" s="313" t="s">
        <v>92</v>
      </c>
      <c r="E42" s="209"/>
      <c r="F42" s="209"/>
      <c r="G42" s="209"/>
      <c r="H42" s="129"/>
      <c r="I42" s="11"/>
      <c r="J42" s="292" t="s">
        <v>93</v>
      </c>
      <c r="K42" s="224"/>
      <c r="L42" s="224"/>
      <c r="M42" s="224"/>
      <c r="N42" s="224"/>
      <c r="O42" s="224"/>
      <c r="P42" s="224"/>
      <c r="Q42" s="224"/>
      <c r="R42" s="224"/>
      <c r="S42" s="100">
        <f>M40+O120</f>
        <v>0</v>
      </c>
      <c r="T42" s="293"/>
      <c r="U42" s="224"/>
      <c r="V42" s="119"/>
      <c r="W42" s="30"/>
      <c r="X42" s="2"/>
      <c r="Y42" s="2"/>
      <c r="Z42" s="2"/>
      <c r="AA42" s="2"/>
      <c r="AB42" s="2"/>
      <c r="AC42" s="2"/>
      <c r="AD42" s="2"/>
    </row>
    <row r="43" spans="1:30" ht="12.5" x14ac:dyDescent="0.25">
      <c r="A43" s="2"/>
      <c r="B43" s="2"/>
      <c r="C43" s="2"/>
      <c r="D43" s="130"/>
      <c r="E43" s="200"/>
      <c r="F43" s="200"/>
      <c r="G43" s="200"/>
      <c r="H43" s="131"/>
      <c r="I43" s="2"/>
      <c r="J43" s="4"/>
      <c r="K43" s="4"/>
      <c r="L43" s="4"/>
      <c r="M43" s="4"/>
      <c r="N43" s="4"/>
      <c r="O43" s="4"/>
      <c r="P43" s="4"/>
      <c r="Q43" s="35"/>
      <c r="R43" s="35"/>
      <c r="S43" s="35"/>
      <c r="T43" s="35"/>
      <c r="U43" s="35"/>
      <c r="V43" s="35"/>
      <c r="W43" s="2"/>
      <c r="X43" s="2"/>
      <c r="Y43" s="2"/>
      <c r="Z43" s="2"/>
      <c r="AA43" s="2"/>
      <c r="AB43" s="2"/>
      <c r="AC43" s="2"/>
      <c r="AD43" s="2"/>
    </row>
    <row r="44" spans="1:30" ht="13" x14ac:dyDescent="0.25">
      <c r="A44" s="2"/>
      <c r="B44" s="2"/>
      <c r="C44" s="2"/>
      <c r="D44" s="324" t="s">
        <v>62</v>
      </c>
      <c r="E44" s="224"/>
      <c r="F44" s="325"/>
      <c r="G44" s="101" t="s">
        <v>94</v>
      </c>
      <c r="H44" s="102" t="s">
        <v>95</v>
      </c>
      <c r="I44" s="2"/>
      <c r="J44" s="3"/>
      <c r="K44" s="3"/>
      <c r="L44" s="3"/>
      <c r="M44" s="3"/>
      <c r="N44" s="3"/>
      <c r="O44" s="3"/>
      <c r="P44" s="3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2.5" x14ac:dyDescent="0.25">
      <c r="A45" s="2"/>
      <c r="B45" s="2"/>
      <c r="C45" s="11"/>
      <c r="D45" s="326"/>
      <c r="E45" s="327"/>
      <c r="F45" s="230"/>
      <c r="G45" s="103"/>
      <c r="H45" s="104"/>
      <c r="I45" s="30"/>
      <c r="J45" s="3"/>
      <c r="K45" s="3"/>
      <c r="L45" s="3"/>
      <c r="M45" s="3"/>
      <c r="N45" s="3"/>
      <c r="O45" s="3"/>
      <c r="P45" s="3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2.5" x14ac:dyDescent="0.25">
      <c r="A46" s="2"/>
      <c r="B46" s="2"/>
      <c r="C46" s="11"/>
      <c r="D46" s="328"/>
      <c r="E46" s="245"/>
      <c r="F46" s="329"/>
      <c r="G46" s="105"/>
      <c r="H46" s="106"/>
      <c r="I46" s="30"/>
      <c r="J46" s="3"/>
      <c r="K46" s="3"/>
      <c r="L46" s="3"/>
      <c r="M46" s="3"/>
      <c r="N46" s="3"/>
      <c r="O46" s="3"/>
      <c r="P46" s="3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2.5" x14ac:dyDescent="0.25">
      <c r="A47" s="2"/>
      <c r="B47" s="2"/>
      <c r="C47" s="11"/>
      <c r="D47" s="330"/>
      <c r="E47" s="245"/>
      <c r="F47" s="236"/>
      <c r="G47" s="2"/>
      <c r="H47" s="94"/>
      <c r="I47" s="30"/>
      <c r="J47" s="3"/>
      <c r="K47" s="3"/>
      <c r="L47" s="3"/>
      <c r="M47" s="3"/>
      <c r="N47" s="3"/>
      <c r="O47" s="3"/>
      <c r="P47" s="3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2.5" x14ac:dyDescent="0.25">
      <c r="A48" s="2"/>
      <c r="B48" s="2"/>
      <c r="C48" s="11"/>
      <c r="D48" s="328"/>
      <c r="E48" s="245"/>
      <c r="F48" s="329"/>
      <c r="G48" s="105"/>
      <c r="H48" s="106"/>
      <c r="I48" s="30"/>
      <c r="J48" s="3"/>
      <c r="K48" s="3"/>
      <c r="L48" s="3"/>
      <c r="M48" s="3"/>
      <c r="N48" s="3"/>
      <c r="O48" s="3"/>
      <c r="P48" s="3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2.5" x14ac:dyDescent="0.25">
      <c r="A49" s="2"/>
      <c r="B49" s="2"/>
      <c r="C49" s="11"/>
      <c r="D49" s="330"/>
      <c r="E49" s="245"/>
      <c r="F49" s="236"/>
      <c r="G49" s="2"/>
      <c r="H49" s="94"/>
      <c r="I49" s="30"/>
      <c r="J49" s="3"/>
      <c r="K49" s="3"/>
      <c r="L49" s="3"/>
      <c r="M49" s="3"/>
      <c r="N49" s="3"/>
      <c r="O49" s="3"/>
      <c r="P49" s="3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2.5" x14ac:dyDescent="0.25">
      <c r="A50" s="2"/>
      <c r="B50" s="2"/>
      <c r="C50" s="11"/>
      <c r="D50" s="328"/>
      <c r="E50" s="245"/>
      <c r="F50" s="329"/>
      <c r="G50" s="105"/>
      <c r="H50" s="106"/>
      <c r="I50" s="30"/>
      <c r="J50" s="3"/>
      <c r="K50" s="3"/>
      <c r="L50" s="3"/>
      <c r="M50" s="3"/>
      <c r="N50" s="3"/>
      <c r="O50" s="3"/>
      <c r="P50" s="3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2.5" x14ac:dyDescent="0.25">
      <c r="A51" s="2"/>
      <c r="B51" s="2"/>
      <c r="C51" s="11"/>
      <c r="D51" s="331"/>
      <c r="E51" s="218"/>
      <c r="F51" s="219"/>
      <c r="G51" s="47"/>
      <c r="H51" s="107"/>
      <c r="I51" s="30"/>
      <c r="J51" s="3"/>
      <c r="K51" s="3"/>
      <c r="L51" s="3"/>
      <c r="M51" s="3"/>
      <c r="N51" s="3"/>
      <c r="O51" s="3"/>
      <c r="P51" s="3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3" x14ac:dyDescent="0.3">
      <c r="A52" s="2"/>
      <c r="B52" s="2"/>
      <c r="C52" s="11"/>
      <c r="D52" s="332" t="s">
        <v>96</v>
      </c>
      <c r="E52" s="224"/>
      <c r="F52" s="224"/>
      <c r="G52" s="325"/>
      <c r="H52" s="108">
        <f>SUMIF(G45:G51, "Ahorro", H45:H51)</f>
        <v>0</v>
      </c>
      <c r="I52" s="30"/>
      <c r="J52" s="3"/>
      <c r="K52" s="3"/>
      <c r="L52" s="3"/>
      <c r="M52" s="3"/>
      <c r="N52" s="3"/>
      <c r="O52" s="3"/>
      <c r="P52" s="3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3" x14ac:dyDescent="0.3">
      <c r="A53" s="2"/>
      <c r="B53" s="2"/>
      <c r="C53" s="11"/>
      <c r="D53" s="332" t="s">
        <v>97</v>
      </c>
      <c r="E53" s="224"/>
      <c r="F53" s="224"/>
      <c r="G53" s="325"/>
      <c r="H53" s="108">
        <f>SUMIF(G45:G51, "Inversión", H45:H51)</f>
        <v>0</v>
      </c>
      <c r="I53" s="30"/>
      <c r="J53" s="3"/>
      <c r="K53" s="3"/>
      <c r="L53" s="3"/>
      <c r="M53" s="3"/>
      <c r="N53" s="3"/>
      <c r="O53" s="3"/>
      <c r="P53" s="3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2.5" x14ac:dyDescent="0.25">
      <c r="A54" s="2"/>
      <c r="B54" s="2"/>
      <c r="C54" s="2"/>
      <c r="D54" s="35"/>
      <c r="E54" s="35"/>
      <c r="F54" s="35"/>
      <c r="G54" s="35"/>
      <c r="H54" s="35"/>
      <c r="I54" s="2"/>
      <c r="J54" s="3"/>
      <c r="K54" s="3"/>
      <c r="L54" s="3"/>
      <c r="M54" s="3"/>
      <c r="N54" s="3"/>
      <c r="O54" s="3"/>
      <c r="P54" s="3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2.5" x14ac:dyDescent="0.25">
      <c r="A55" s="2"/>
      <c r="B55" s="2"/>
      <c r="C55" s="2"/>
      <c r="D55" s="28"/>
      <c r="E55" s="28"/>
      <c r="F55" s="28"/>
      <c r="G55" s="28"/>
      <c r="H55" s="28"/>
      <c r="I55" s="28"/>
      <c r="J55" s="5"/>
      <c r="K55" s="5"/>
      <c r="L55" s="5"/>
      <c r="M55" s="5"/>
      <c r="N55" s="5"/>
      <c r="O55" s="5"/>
      <c r="P55" s="5"/>
      <c r="Q55" s="28"/>
      <c r="R55" s="28"/>
      <c r="S55" s="28"/>
      <c r="T55" s="28"/>
      <c r="U55" s="28"/>
      <c r="V55" s="28"/>
      <c r="W55" s="2"/>
      <c r="X55" s="2"/>
      <c r="Y55" s="2"/>
      <c r="Z55" s="2"/>
      <c r="AA55" s="2"/>
      <c r="AB55" s="2"/>
      <c r="AC55" s="2"/>
      <c r="AD55" s="2"/>
    </row>
    <row r="56" spans="1:30" ht="12.5" x14ac:dyDescent="0.25">
      <c r="A56" s="2"/>
      <c r="B56" s="2"/>
      <c r="C56" s="11"/>
      <c r="D56" s="208" t="s">
        <v>98</v>
      </c>
      <c r="E56" s="209"/>
      <c r="F56" s="209"/>
      <c r="G56" s="209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9"/>
      <c r="S56" s="209"/>
      <c r="T56" s="209"/>
      <c r="U56" s="209"/>
      <c r="V56" s="129"/>
      <c r="W56" s="30"/>
      <c r="X56" s="2"/>
      <c r="Y56" s="2"/>
      <c r="Z56" s="2"/>
      <c r="AA56" s="2"/>
      <c r="AB56" s="2"/>
      <c r="AC56" s="2"/>
      <c r="AD56" s="2"/>
    </row>
    <row r="57" spans="1:30" ht="12.5" x14ac:dyDescent="0.25">
      <c r="A57" s="2"/>
      <c r="B57" s="2"/>
      <c r="C57" s="11"/>
      <c r="D57" s="333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277"/>
      <c r="P57" s="277"/>
      <c r="Q57" s="277"/>
      <c r="R57" s="277"/>
      <c r="S57" s="277"/>
      <c r="T57" s="277"/>
      <c r="U57" s="277"/>
      <c r="V57" s="334"/>
      <c r="W57" s="30"/>
      <c r="X57" s="2"/>
      <c r="Y57" s="2"/>
      <c r="Z57" s="2"/>
      <c r="AA57" s="2"/>
      <c r="AB57" s="2"/>
      <c r="AC57" s="2"/>
      <c r="AD57" s="2"/>
    </row>
    <row r="58" spans="1:30" ht="13" x14ac:dyDescent="0.3">
      <c r="A58" s="2"/>
      <c r="B58" s="2"/>
      <c r="C58" s="11"/>
      <c r="D58" s="335" t="s">
        <v>62</v>
      </c>
      <c r="E58" s="224"/>
      <c r="F58" s="224"/>
      <c r="G58" s="224"/>
      <c r="H58" s="224"/>
      <c r="I58" s="119"/>
      <c r="J58" s="109" t="s">
        <v>99</v>
      </c>
      <c r="K58" s="319" t="s">
        <v>68</v>
      </c>
      <c r="L58" s="119"/>
      <c r="M58" s="319" t="s">
        <v>100</v>
      </c>
      <c r="N58" s="119"/>
      <c r="O58" s="319" t="s">
        <v>95</v>
      </c>
      <c r="P58" s="119"/>
      <c r="Q58" s="319" t="s">
        <v>101</v>
      </c>
      <c r="R58" s="224"/>
      <c r="S58" s="224"/>
      <c r="T58" s="224"/>
      <c r="U58" s="224"/>
      <c r="V58" s="119"/>
      <c r="W58" s="30"/>
      <c r="X58" s="2"/>
      <c r="Y58" s="2"/>
      <c r="Z58" s="2"/>
      <c r="AA58" s="2"/>
      <c r="AB58" s="2"/>
      <c r="AC58" s="2"/>
      <c r="AD58" s="2"/>
    </row>
    <row r="59" spans="1:30" ht="12.5" x14ac:dyDescent="0.25">
      <c r="A59" s="2"/>
      <c r="B59" s="2"/>
      <c r="C59" s="11"/>
      <c r="D59" s="336"/>
      <c r="E59" s="277"/>
      <c r="F59" s="277"/>
      <c r="G59" s="277"/>
      <c r="H59" s="277"/>
      <c r="I59" s="142"/>
      <c r="J59" s="4"/>
      <c r="K59" s="314"/>
      <c r="L59" s="142"/>
      <c r="M59" s="314"/>
      <c r="N59" s="142"/>
      <c r="O59" s="315"/>
      <c r="P59" s="142"/>
      <c r="Q59" s="247"/>
      <c r="R59" s="277"/>
      <c r="S59" s="277"/>
      <c r="T59" s="277"/>
      <c r="U59" s="277"/>
      <c r="V59" s="334"/>
      <c r="W59" s="30"/>
      <c r="X59" s="2"/>
      <c r="Y59" s="2"/>
      <c r="Z59" s="2"/>
      <c r="AA59" s="2"/>
      <c r="AB59" s="2"/>
      <c r="AC59" s="2"/>
      <c r="AD59" s="2"/>
    </row>
    <row r="60" spans="1:30" ht="12.5" x14ac:dyDescent="0.25">
      <c r="A60" s="2"/>
      <c r="B60" s="2"/>
      <c r="C60" s="11"/>
      <c r="D60" s="337"/>
      <c r="E60" s="277"/>
      <c r="F60" s="277"/>
      <c r="G60" s="277"/>
      <c r="H60" s="277"/>
      <c r="I60" s="338"/>
      <c r="J60" s="111"/>
      <c r="K60" s="316"/>
      <c r="L60" s="232"/>
      <c r="M60" s="316"/>
      <c r="N60" s="232"/>
      <c r="O60" s="317"/>
      <c r="P60" s="232"/>
      <c r="Q60" s="274"/>
      <c r="R60" s="245"/>
      <c r="S60" s="245"/>
      <c r="T60" s="245"/>
      <c r="U60" s="245"/>
      <c r="V60" s="246"/>
      <c r="W60" s="30"/>
      <c r="X60" s="2"/>
      <c r="Y60" s="2"/>
      <c r="Z60" s="2"/>
      <c r="AA60" s="2"/>
      <c r="AB60" s="2"/>
      <c r="AC60" s="2"/>
      <c r="AD60" s="2"/>
    </row>
    <row r="61" spans="1:30" ht="12.5" x14ac:dyDescent="0.25">
      <c r="A61" s="2"/>
      <c r="B61" s="2"/>
      <c r="C61" s="11"/>
      <c r="D61" s="336"/>
      <c r="E61" s="277"/>
      <c r="F61" s="277"/>
      <c r="G61" s="277"/>
      <c r="H61" s="277"/>
      <c r="I61" s="142"/>
      <c r="J61" s="3"/>
      <c r="K61" s="314"/>
      <c r="L61" s="142"/>
      <c r="M61" s="314"/>
      <c r="N61" s="142"/>
      <c r="O61" s="320"/>
      <c r="P61" s="236"/>
      <c r="Q61" s="318"/>
      <c r="R61" s="245"/>
      <c r="S61" s="245"/>
      <c r="T61" s="245"/>
      <c r="U61" s="245"/>
      <c r="V61" s="246"/>
      <c r="W61" s="30"/>
      <c r="X61" s="2"/>
      <c r="Y61" s="2"/>
      <c r="Z61" s="2"/>
      <c r="AA61" s="2"/>
      <c r="AB61" s="2"/>
      <c r="AC61" s="2"/>
      <c r="AD61" s="2"/>
    </row>
    <row r="62" spans="1:30" ht="12.5" x14ac:dyDescent="0.25">
      <c r="A62" s="2"/>
      <c r="B62" s="2"/>
      <c r="C62" s="11"/>
      <c r="D62" s="337"/>
      <c r="E62" s="277"/>
      <c r="F62" s="277"/>
      <c r="G62" s="277"/>
      <c r="H62" s="277"/>
      <c r="I62" s="338"/>
      <c r="J62" s="111"/>
      <c r="K62" s="316"/>
      <c r="L62" s="232"/>
      <c r="M62" s="316"/>
      <c r="N62" s="232"/>
      <c r="O62" s="317"/>
      <c r="P62" s="232"/>
      <c r="Q62" s="274"/>
      <c r="R62" s="245"/>
      <c r="S62" s="245"/>
      <c r="T62" s="245"/>
      <c r="U62" s="245"/>
      <c r="V62" s="246"/>
      <c r="W62" s="30"/>
      <c r="X62" s="2"/>
      <c r="Y62" s="2"/>
      <c r="Z62" s="2"/>
      <c r="AA62" s="2"/>
      <c r="AB62" s="2"/>
      <c r="AC62" s="2"/>
      <c r="AD62" s="2"/>
    </row>
    <row r="63" spans="1:30" ht="12.5" x14ac:dyDescent="0.25">
      <c r="A63" s="2"/>
      <c r="B63" s="2"/>
      <c r="C63" s="11"/>
      <c r="D63" s="336"/>
      <c r="E63" s="277"/>
      <c r="F63" s="277"/>
      <c r="G63" s="277"/>
      <c r="H63" s="277"/>
      <c r="I63" s="142"/>
      <c r="J63" s="3"/>
      <c r="K63" s="314"/>
      <c r="L63" s="142"/>
      <c r="M63" s="314"/>
      <c r="N63" s="142"/>
      <c r="O63" s="320"/>
      <c r="P63" s="236"/>
      <c r="Q63" s="318"/>
      <c r="R63" s="245"/>
      <c r="S63" s="245"/>
      <c r="T63" s="245"/>
      <c r="U63" s="245"/>
      <c r="V63" s="246"/>
      <c r="W63" s="30"/>
      <c r="X63" s="2"/>
      <c r="Y63" s="2"/>
      <c r="Z63" s="2"/>
      <c r="AA63" s="2"/>
      <c r="AB63" s="2"/>
      <c r="AC63" s="2"/>
      <c r="AD63" s="2"/>
    </row>
    <row r="64" spans="1:30" ht="14" x14ac:dyDescent="0.3">
      <c r="A64" s="2"/>
      <c r="B64" s="2"/>
      <c r="C64" s="11"/>
      <c r="D64" s="337"/>
      <c r="E64" s="277"/>
      <c r="F64" s="277"/>
      <c r="G64" s="277"/>
      <c r="H64" s="277"/>
      <c r="I64" s="338"/>
      <c r="J64" s="111"/>
      <c r="K64" s="316"/>
      <c r="L64" s="232"/>
      <c r="M64" s="316"/>
      <c r="N64" s="232"/>
      <c r="O64" s="321"/>
      <c r="P64" s="232"/>
      <c r="Q64" s="274"/>
      <c r="R64" s="245"/>
      <c r="S64" s="245"/>
      <c r="T64" s="245"/>
      <c r="U64" s="245"/>
      <c r="V64" s="246"/>
      <c r="W64" s="30"/>
      <c r="X64" s="2"/>
      <c r="Y64" s="2"/>
      <c r="Z64" s="2"/>
      <c r="AA64" s="2"/>
      <c r="AB64" s="2"/>
      <c r="AC64" s="2"/>
      <c r="AD64" s="2"/>
    </row>
    <row r="65" spans="1:30" ht="12.5" x14ac:dyDescent="0.25">
      <c r="A65" s="2"/>
      <c r="B65" s="2"/>
      <c r="C65" s="11"/>
      <c r="D65" s="93"/>
      <c r="E65" s="2"/>
      <c r="F65" s="2"/>
      <c r="G65" s="2"/>
      <c r="H65" s="2"/>
      <c r="I65" s="2"/>
      <c r="J65" s="3"/>
      <c r="K65" s="314"/>
      <c r="L65" s="142"/>
      <c r="M65" s="314"/>
      <c r="N65" s="142"/>
      <c r="O65" s="320"/>
      <c r="P65" s="236"/>
      <c r="Q65" s="318"/>
      <c r="R65" s="245"/>
      <c r="S65" s="245"/>
      <c r="T65" s="245"/>
      <c r="U65" s="245"/>
      <c r="V65" s="246"/>
      <c r="W65" s="30"/>
      <c r="X65" s="2"/>
      <c r="Y65" s="2"/>
      <c r="Z65" s="2"/>
      <c r="AA65" s="2"/>
      <c r="AB65" s="2"/>
      <c r="AC65" s="2"/>
      <c r="AD65" s="2"/>
    </row>
    <row r="66" spans="1:30" ht="12.5" x14ac:dyDescent="0.25">
      <c r="A66" s="2"/>
      <c r="B66" s="2"/>
      <c r="C66" s="11"/>
      <c r="D66" s="337"/>
      <c r="E66" s="277"/>
      <c r="F66" s="277"/>
      <c r="G66" s="277"/>
      <c r="H66" s="277"/>
      <c r="I66" s="338"/>
      <c r="J66" s="111"/>
      <c r="K66" s="316"/>
      <c r="L66" s="232"/>
      <c r="M66" s="316"/>
      <c r="N66" s="232"/>
      <c r="O66" s="317"/>
      <c r="P66" s="232"/>
      <c r="Q66" s="274"/>
      <c r="R66" s="245"/>
      <c r="S66" s="245"/>
      <c r="T66" s="245"/>
      <c r="U66" s="245"/>
      <c r="V66" s="246"/>
      <c r="W66" s="30"/>
      <c r="X66" s="2"/>
      <c r="Y66" s="2"/>
      <c r="Z66" s="2"/>
      <c r="AA66" s="2"/>
      <c r="AB66" s="2"/>
      <c r="AC66" s="2"/>
      <c r="AD66" s="2"/>
    </row>
    <row r="67" spans="1:30" ht="12.5" x14ac:dyDescent="0.25">
      <c r="A67" s="2"/>
      <c r="B67" s="2"/>
      <c r="C67" s="11"/>
      <c r="D67" s="93"/>
      <c r="E67" s="2"/>
      <c r="F67" s="2"/>
      <c r="G67" s="2"/>
      <c r="H67" s="2"/>
      <c r="I67" s="2"/>
      <c r="J67" s="3"/>
      <c r="K67" s="314"/>
      <c r="L67" s="142"/>
      <c r="M67" s="314"/>
      <c r="N67" s="142"/>
      <c r="O67" s="320"/>
      <c r="P67" s="236"/>
      <c r="Q67" s="318"/>
      <c r="R67" s="245"/>
      <c r="S67" s="245"/>
      <c r="T67" s="245"/>
      <c r="U67" s="245"/>
      <c r="V67" s="246"/>
      <c r="W67" s="30"/>
      <c r="X67" s="2"/>
      <c r="Y67" s="2"/>
      <c r="Z67" s="2"/>
      <c r="AA67" s="2"/>
      <c r="AB67" s="2"/>
      <c r="AC67" s="2"/>
      <c r="AD67" s="2"/>
    </row>
    <row r="68" spans="1:30" ht="12.5" x14ac:dyDescent="0.25">
      <c r="A68" s="2"/>
      <c r="B68" s="2"/>
      <c r="C68" s="11"/>
      <c r="D68" s="337"/>
      <c r="E68" s="277"/>
      <c r="F68" s="277"/>
      <c r="G68" s="277"/>
      <c r="H68" s="277"/>
      <c r="I68" s="338"/>
      <c r="J68" s="111"/>
      <c r="K68" s="316"/>
      <c r="L68" s="232"/>
      <c r="M68" s="316"/>
      <c r="N68" s="232"/>
      <c r="O68" s="317"/>
      <c r="P68" s="232"/>
      <c r="Q68" s="274"/>
      <c r="R68" s="245"/>
      <c r="S68" s="245"/>
      <c r="T68" s="245"/>
      <c r="U68" s="245"/>
      <c r="V68" s="246"/>
      <c r="W68" s="30"/>
      <c r="X68" s="2"/>
      <c r="Y68" s="2"/>
      <c r="Z68" s="2"/>
      <c r="AA68" s="2"/>
      <c r="AB68" s="2"/>
      <c r="AC68" s="2"/>
      <c r="AD68" s="2"/>
    </row>
    <row r="69" spans="1:30" ht="12.5" x14ac:dyDescent="0.25">
      <c r="A69" s="2"/>
      <c r="B69" s="2"/>
      <c r="C69" s="11"/>
      <c r="D69" s="93"/>
      <c r="E69" s="2"/>
      <c r="F69" s="2"/>
      <c r="G69" s="2"/>
      <c r="H69" s="2"/>
      <c r="I69" s="2"/>
      <c r="J69" s="3"/>
      <c r="K69" s="314"/>
      <c r="L69" s="142"/>
      <c r="M69" s="314"/>
      <c r="N69" s="142"/>
      <c r="O69" s="320"/>
      <c r="P69" s="236"/>
      <c r="Q69" s="318"/>
      <c r="R69" s="245"/>
      <c r="S69" s="245"/>
      <c r="T69" s="245"/>
      <c r="U69" s="245"/>
      <c r="V69" s="246"/>
      <c r="W69" s="30"/>
      <c r="X69" s="2"/>
      <c r="Y69" s="2"/>
      <c r="Z69" s="2"/>
      <c r="AA69" s="2"/>
      <c r="AB69" s="2"/>
      <c r="AC69" s="2"/>
      <c r="AD69" s="2"/>
    </row>
    <row r="70" spans="1:30" ht="12.5" x14ac:dyDescent="0.25">
      <c r="A70" s="2"/>
      <c r="B70" s="2"/>
      <c r="C70" s="11"/>
      <c r="D70" s="337"/>
      <c r="E70" s="277"/>
      <c r="F70" s="277"/>
      <c r="G70" s="277"/>
      <c r="H70" s="277"/>
      <c r="I70" s="338"/>
      <c r="J70" s="111"/>
      <c r="K70" s="316"/>
      <c r="L70" s="232"/>
      <c r="M70" s="316"/>
      <c r="N70" s="232"/>
      <c r="O70" s="317"/>
      <c r="P70" s="232"/>
      <c r="Q70" s="274"/>
      <c r="R70" s="245"/>
      <c r="S70" s="245"/>
      <c r="T70" s="245"/>
      <c r="U70" s="245"/>
      <c r="V70" s="246"/>
      <c r="W70" s="30"/>
      <c r="X70" s="2"/>
      <c r="Y70" s="2"/>
      <c r="Z70" s="2"/>
      <c r="AA70" s="2"/>
      <c r="AB70" s="2"/>
      <c r="AC70" s="2"/>
      <c r="AD70" s="2"/>
    </row>
    <row r="71" spans="1:30" ht="12.5" x14ac:dyDescent="0.25">
      <c r="A71" s="2"/>
      <c r="B71" s="2"/>
      <c r="C71" s="11"/>
      <c r="D71" s="93"/>
      <c r="E71" s="2"/>
      <c r="F71" s="2"/>
      <c r="G71" s="2"/>
      <c r="H71" s="2"/>
      <c r="I71" s="2"/>
      <c r="J71" s="3"/>
      <c r="K71" s="314"/>
      <c r="L71" s="142"/>
      <c r="M71" s="314"/>
      <c r="N71" s="142"/>
      <c r="O71" s="320"/>
      <c r="P71" s="236"/>
      <c r="Q71" s="318"/>
      <c r="R71" s="245"/>
      <c r="S71" s="245"/>
      <c r="T71" s="245"/>
      <c r="U71" s="245"/>
      <c r="V71" s="246"/>
      <c r="W71" s="30"/>
      <c r="X71" s="2"/>
      <c r="Y71" s="2"/>
      <c r="Z71" s="2"/>
      <c r="AA71" s="2"/>
      <c r="AB71" s="2"/>
      <c r="AC71" s="2"/>
      <c r="AD71" s="2"/>
    </row>
    <row r="72" spans="1:30" ht="12.5" x14ac:dyDescent="0.25">
      <c r="A72" s="2"/>
      <c r="B72" s="2"/>
      <c r="C72" s="11"/>
      <c r="D72" s="337"/>
      <c r="E72" s="277"/>
      <c r="F72" s="277"/>
      <c r="G72" s="277"/>
      <c r="H72" s="277"/>
      <c r="I72" s="338"/>
      <c r="J72" s="111"/>
      <c r="K72" s="316"/>
      <c r="L72" s="232"/>
      <c r="M72" s="316"/>
      <c r="N72" s="232"/>
      <c r="O72" s="317"/>
      <c r="P72" s="232"/>
      <c r="Q72" s="274"/>
      <c r="R72" s="245"/>
      <c r="S72" s="245"/>
      <c r="T72" s="245"/>
      <c r="U72" s="245"/>
      <c r="V72" s="246"/>
      <c r="W72" s="30"/>
      <c r="X72" s="2"/>
      <c r="Y72" s="2"/>
      <c r="Z72" s="2"/>
      <c r="AA72" s="2"/>
      <c r="AB72" s="2"/>
      <c r="AC72" s="2"/>
      <c r="AD72" s="2"/>
    </row>
    <row r="73" spans="1:30" ht="12.5" x14ac:dyDescent="0.25">
      <c r="A73" s="2"/>
      <c r="B73" s="2"/>
      <c r="C73" s="11"/>
      <c r="D73" s="93"/>
      <c r="E73" s="2"/>
      <c r="F73" s="2"/>
      <c r="G73" s="2"/>
      <c r="H73" s="2"/>
      <c r="I73" s="2"/>
      <c r="J73" s="3"/>
      <c r="K73" s="314"/>
      <c r="L73" s="142"/>
      <c r="M73" s="314"/>
      <c r="N73" s="142"/>
      <c r="O73" s="320"/>
      <c r="P73" s="236"/>
      <c r="Q73" s="318"/>
      <c r="R73" s="245"/>
      <c r="S73" s="245"/>
      <c r="T73" s="245"/>
      <c r="U73" s="245"/>
      <c r="V73" s="246"/>
      <c r="W73" s="30"/>
      <c r="X73" s="2"/>
      <c r="Y73" s="2"/>
      <c r="Z73" s="2"/>
      <c r="AA73" s="2"/>
      <c r="AB73" s="2"/>
      <c r="AC73" s="2"/>
      <c r="AD73" s="2"/>
    </row>
    <row r="74" spans="1:30" ht="12.5" x14ac:dyDescent="0.25">
      <c r="A74" s="2"/>
      <c r="B74" s="2"/>
      <c r="C74" s="11"/>
      <c r="D74" s="337"/>
      <c r="E74" s="277"/>
      <c r="F74" s="277"/>
      <c r="G74" s="277"/>
      <c r="H74" s="277"/>
      <c r="I74" s="338"/>
      <c r="J74" s="111"/>
      <c r="K74" s="316"/>
      <c r="L74" s="232"/>
      <c r="M74" s="316"/>
      <c r="N74" s="232"/>
      <c r="O74" s="317"/>
      <c r="P74" s="232"/>
      <c r="Q74" s="274"/>
      <c r="R74" s="245"/>
      <c r="S74" s="245"/>
      <c r="T74" s="245"/>
      <c r="U74" s="245"/>
      <c r="V74" s="246"/>
      <c r="W74" s="30"/>
      <c r="X74" s="2"/>
      <c r="Y74" s="2"/>
      <c r="Z74" s="2"/>
      <c r="AA74" s="2"/>
      <c r="AB74" s="2"/>
      <c r="AC74" s="2"/>
      <c r="AD74" s="2"/>
    </row>
    <row r="75" spans="1:30" ht="12.5" x14ac:dyDescent="0.25">
      <c r="A75" s="2"/>
      <c r="B75" s="2"/>
      <c r="C75" s="11"/>
      <c r="D75" s="93"/>
      <c r="E75" s="2"/>
      <c r="F75" s="2"/>
      <c r="G75" s="2"/>
      <c r="H75" s="2"/>
      <c r="I75" s="2"/>
      <c r="J75" s="3"/>
      <c r="K75" s="314"/>
      <c r="L75" s="142"/>
      <c r="M75" s="314"/>
      <c r="N75" s="142"/>
      <c r="O75" s="320"/>
      <c r="P75" s="236"/>
      <c r="Q75" s="318"/>
      <c r="R75" s="245"/>
      <c r="S75" s="245"/>
      <c r="T75" s="245"/>
      <c r="U75" s="245"/>
      <c r="V75" s="246"/>
      <c r="W75" s="30"/>
      <c r="X75" s="2"/>
      <c r="Y75" s="2"/>
      <c r="Z75" s="2"/>
      <c r="AA75" s="2"/>
      <c r="AB75" s="2"/>
      <c r="AC75" s="2"/>
      <c r="AD75" s="2"/>
    </row>
    <row r="76" spans="1:30" ht="12.5" x14ac:dyDescent="0.25">
      <c r="A76" s="2"/>
      <c r="B76" s="2"/>
      <c r="C76" s="11"/>
      <c r="D76" s="337"/>
      <c r="E76" s="277"/>
      <c r="F76" s="277"/>
      <c r="G76" s="277"/>
      <c r="H76" s="277"/>
      <c r="I76" s="338"/>
      <c r="J76" s="111"/>
      <c r="K76" s="316"/>
      <c r="L76" s="232"/>
      <c r="M76" s="316"/>
      <c r="N76" s="232"/>
      <c r="O76" s="317"/>
      <c r="P76" s="232"/>
      <c r="Q76" s="274"/>
      <c r="R76" s="245"/>
      <c r="S76" s="245"/>
      <c r="T76" s="245"/>
      <c r="U76" s="245"/>
      <c r="V76" s="246"/>
      <c r="W76" s="30"/>
      <c r="X76" s="2"/>
      <c r="Y76" s="2"/>
      <c r="Z76" s="2"/>
      <c r="AA76" s="2"/>
      <c r="AB76" s="2"/>
      <c r="AC76" s="2"/>
      <c r="AD76" s="2"/>
    </row>
    <row r="77" spans="1:30" ht="12.5" x14ac:dyDescent="0.25">
      <c r="A77" s="2"/>
      <c r="B77" s="2"/>
      <c r="C77" s="11"/>
      <c r="D77" s="93"/>
      <c r="E77" s="2"/>
      <c r="F77" s="2"/>
      <c r="G77" s="2"/>
      <c r="H77" s="2"/>
      <c r="I77" s="2"/>
      <c r="J77" s="3"/>
      <c r="K77" s="314"/>
      <c r="L77" s="142"/>
      <c r="M77" s="314"/>
      <c r="N77" s="142"/>
      <c r="O77" s="320"/>
      <c r="P77" s="236"/>
      <c r="Q77" s="318"/>
      <c r="R77" s="245"/>
      <c r="S77" s="245"/>
      <c r="T77" s="245"/>
      <c r="U77" s="245"/>
      <c r="V77" s="246"/>
      <c r="W77" s="30"/>
      <c r="X77" s="2"/>
      <c r="Y77" s="2"/>
      <c r="Z77" s="2"/>
      <c r="AA77" s="2"/>
      <c r="AB77" s="2"/>
      <c r="AC77" s="2"/>
      <c r="AD77" s="2"/>
    </row>
    <row r="78" spans="1:30" ht="12.5" x14ac:dyDescent="0.25">
      <c r="A78" s="2"/>
      <c r="B78" s="2"/>
      <c r="C78" s="11"/>
      <c r="D78" s="337"/>
      <c r="E78" s="277"/>
      <c r="F78" s="277"/>
      <c r="G78" s="277"/>
      <c r="H78" s="277"/>
      <c r="I78" s="338"/>
      <c r="J78" s="111"/>
      <c r="K78" s="316"/>
      <c r="L78" s="232"/>
      <c r="M78" s="316"/>
      <c r="N78" s="232"/>
      <c r="O78" s="317"/>
      <c r="P78" s="232"/>
      <c r="Q78" s="274"/>
      <c r="R78" s="245"/>
      <c r="S78" s="245"/>
      <c r="T78" s="245"/>
      <c r="U78" s="245"/>
      <c r="V78" s="246"/>
      <c r="W78" s="30"/>
      <c r="X78" s="2"/>
      <c r="Y78" s="2"/>
      <c r="Z78" s="2"/>
      <c r="AA78" s="2"/>
      <c r="AB78" s="2"/>
      <c r="AC78" s="2"/>
      <c r="AD78" s="2"/>
    </row>
    <row r="79" spans="1:30" ht="12.5" x14ac:dyDescent="0.25">
      <c r="A79" s="2"/>
      <c r="B79" s="2"/>
      <c r="C79" s="11"/>
      <c r="D79" s="93"/>
      <c r="E79" s="2"/>
      <c r="F79" s="2"/>
      <c r="G79" s="2"/>
      <c r="H79" s="2"/>
      <c r="I79" s="2"/>
      <c r="J79" s="3"/>
      <c r="K79" s="314"/>
      <c r="L79" s="142"/>
      <c r="M79" s="314"/>
      <c r="N79" s="142"/>
      <c r="O79" s="320"/>
      <c r="P79" s="236"/>
      <c r="Q79" s="318"/>
      <c r="R79" s="245"/>
      <c r="S79" s="245"/>
      <c r="T79" s="245"/>
      <c r="U79" s="245"/>
      <c r="V79" s="246"/>
      <c r="W79" s="30"/>
      <c r="X79" s="2"/>
      <c r="Y79" s="2"/>
      <c r="Z79" s="2"/>
      <c r="AA79" s="2"/>
      <c r="AB79" s="2"/>
      <c r="AC79" s="2"/>
      <c r="AD79" s="2"/>
    </row>
    <row r="80" spans="1:30" ht="12.5" x14ac:dyDescent="0.25">
      <c r="A80" s="2"/>
      <c r="B80" s="2"/>
      <c r="C80" s="11"/>
      <c r="D80" s="337"/>
      <c r="E80" s="277"/>
      <c r="F80" s="277"/>
      <c r="G80" s="277"/>
      <c r="H80" s="277"/>
      <c r="I80" s="338"/>
      <c r="J80" s="111"/>
      <c r="K80" s="316"/>
      <c r="L80" s="232"/>
      <c r="M80" s="316"/>
      <c r="N80" s="232"/>
      <c r="O80" s="317"/>
      <c r="P80" s="232"/>
      <c r="Q80" s="274"/>
      <c r="R80" s="245"/>
      <c r="S80" s="245"/>
      <c r="T80" s="245"/>
      <c r="U80" s="245"/>
      <c r="V80" s="246"/>
      <c r="W80" s="30"/>
      <c r="X80" s="2"/>
      <c r="Y80" s="2"/>
      <c r="Z80" s="2"/>
      <c r="AA80" s="2"/>
      <c r="AB80" s="2"/>
      <c r="AC80" s="2"/>
      <c r="AD80" s="2"/>
    </row>
    <row r="81" spans="1:30" ht="12.5" x14ac:dyDescent="0.25">
      <c r="A81" s="2"/>
      <c r="B81" s="2"/>
      <c r="C81" s="11"/>
      <c r="D81" s="93"/>
      <c r="E81" s="2"/>
      <c r="F81" s="2"/>
      <c r="G81" s="2"/>
      <c r="H81" s="2"/>
      <c r="I81" s="2"/>
      <c r="J81" s="3"/>
      <c r="K81" s="314"/>
      <c r="L81" s="142"/>
      <c r="M81" s="314"/>
      <c r="N81" s="142"/>
      <c r="O81" s="320"/>
      <c r="P81" s="236"/>
      <c r="Q81" s="318"/>
      <c r="R81" s="245"/>
      <c r="S81" s="245"/>
      <c r="T81" s="245"/>
      <c r="U81" s="245"/>
      <c r="V81" s="246"/>
      <c r="W81" s="30"/>
      <c r="X81" s="2"/>
      <c r="Y81" s="2"/>
      <c r="Z81" s="2"/>
      <c r="AA81" s="2"/>
      <c r="AB81" s="2"/>
      <c r="AC81" s="2"/>
      <c r="AD81" s="2"/>
    </row>
    <row r="82" spans="1:30" ht="12.5" x14ac:dyDescent="0.25">
      <c r="A82" s="2"/>
      <c r="B82" s="2"/>
      <c r="C82" s="11"/>
      <c r="D82" s="337"/>
      <c r="E82" s="277"/>
      <c r="F82" s="277"/>
      <c r="G82" s="277"/>
      <c r="H82" s="277"/>
      <c r="I82" s="338"/>
      <c r="J82" s="111"/>
      <c r="K82" s="316"/>
      <c r="L82" s="232"/>
      <c r="M82" s="316"/>
      <c r="N82" s="232"/>
      <c r="O82" s="317"/>
      <c r="P82" s="232"/>
      <c r="Q82" s="274"/>
      <c r="R82" s="245"/>
      <c r="S82" s="245"/>
      <c r="T82" s="245"/>
      <c r="U82" s="245"/>
      <c r="V82" s="246"/>
      <c r="W82" s="30"/>
      <c r="X82" s="2"/>
      <c r="Y82" s="2"/>
      <c r="Z82" s="2"/>
      <c r="AA82" s="2"/>
      <c r="AB82" s="2"/>
      <c r="AC82" s="2"/>
      <c r="AD82" s="2"/>
    </row>
    <row r="83" spans="1:30" ht="12.5" x14ac:dyDescent="0.25">
      <c r="A83" s="2"/>
      <c r="B83" s="2"/>
      <c r="C83" s="11"/>
      <c r="D83" s="93"/>
      <c r="E83" s="2"/>
      <c r="F83" s="2"/>
      <c r="G83" s="2"/>
      <c r="H83" s="2"/>
      <c r="I83" s="2"/>
      <c r="J83" s="3"/>
      <c r="K83" s="314"/>
      <c r="L83" s="142"/>
      <c r="M83" s="314"/>
      <c r="N83" s="142"/>
      <c r="O83" s="320"/>
      <c r="P83" s="236"/>
      <c r="Q83" s="318"/>
      <c r="R83" s="245"/>
      <c r="S83" s="245"/>
      <c r="T83" s="245"/>
      <c r="U83" s="245"/>
      <c r="V83" s="246"/>
      <c r="W83" s="30"/>
      <c r="X83" s="2"/>
      <c r="Y83" s="2"/>
      <c r="Z83" s="2"/>
      <c r="AA83" s="2"/>
      <c r="AB83" s="2"/>
      <c r="AC83" s="2"/>
      <c r="AD83" s="2"/>
    </row>
    <row r="84" spans="1:30" ht="12.5" x14ac:dyDescent="0.25">
      <c r="A84" s="2"/>
      <c r="B84" s="2"/>
      <c r="C84" s="11"/>
      <c r="D84" s="337"/>
      <c r="E84" s="277"/>
      <c r="F84" s="277"/>
      <c r="G84" s="277"/>
      <c r="H84" s="277"/>
      <c r="I84" s="338"/>
      <c r="J84" s="111"/>
      <c r="K84" s="316"/>
      <c r="L84" s="232"/>
      <c r="M84" s="316"/>
      <c r="N84" s="232"/>
      <c r="O84" s="317"/>
      <c r="P84" s="232"/>
      <c r="Q84" s="274"/>
      <c r="R84" s="245"/>
      <c r="S84" s="245"/>
      <c r="T84" s="245"/>
      <c r="U84" s="245"/>
      <c r="V84" s="246"/>
      <c r="W84" s="30"/>
      <c r="X84" s="2"/>
      <c r="Y84" s="2"/>
      <c r="Z84" s="2"/>
      <c r="AA84" s="2"/>
      <c r="AB84" s="2"/>
      <c r="AC84" s="2"/>
      <c r="AD84" s="2"/>
    </row>
    <row r="85" spans="1:30" ht="12.5" x14ac:dyDescent="0.25">
      <c r="A85" s="2"/>
      <c r="B85" s="2"/>
      <c r="C85" s="11"/>
      <c r="D85" s="93"/>
      <c r="E85" s="2"/>
      <c r="F85" s="2"/>
      <c r="G85" s="2"/>
      <c r="H85" s="2"/>
      <c r="I85" s="2"/>
      <c r="J85" s="3"/>
      <c r="K85" s="314"/>
      <c r="L85" s="142"/>
      <c r="M85" s="314"/>
      <c r="N85" s="142"/>
      <c r="O85" s="320"/>
      <c r="P85" s="236"/>
      <c r="Q85" s="318"/>
      <c r="R85" s="245"/>
      <c r="S85" s="245"/>
      <c r="T85" s="245"/>
      <c r="U85" s="245"/>
      <c r="V85" s="246"/>
      <c r="W85" s="30"/>
      <c r="X85" s="2"/>
      <c r="Y85" s="2"/>
      <c r="Z85" s="2"/>
      <c r="AA85" s="2"/>
      <c r="AB85" s="2"/>
      <c r="AC85" s="2"/>
      <c r="AD85" s="2"/>
    </row>
    <row r="86" spans="1:30" ht="12.5" x14ac:dyDescent="0.25">
      <c r="A86" s="2"/>
      <c r="B86" s="2"/>
      <c r="C86" s="11"/>
      <c r="D86" s="337"/>
      <c r="E86" s="277"/>
      <c r="F86" s="277"/>
      <c r="G86" s="277"/>
      <c r="H86" s="277"/>
      <c r="I86" s="338"/>
      <c r="J86" s="111"/>
      <c r="K86" s="316"/>
      <c r="L86" s="232"/>
      <c r="M86" s="316"/>
      <c r="N86" s="232"/>
      <c r="O86" s="317"/>
      <c r="P86" s="232"/>
      <c r="Q86" s="274"/>
      <c r="R86" s="245"/>
      <c r="S86" s="245"/>
      <c r="T86" s="245"/>
      <c r="U86" s="245"/>
      <c r="V86" s="246"/>
      <c r="W86" s="30"/>
      <c r="X86" s="2"/>
      <c r="Y86" s="2"/>
      <c r="Z86" s="2"/>
      <c r="AA86" s="2"/>
      <c r="AB86" s="2"/>
      <c r="AC86" s="2"/>
      <c r="AD86" s="2"/>
    </row>
    <row r="87" spans="1:30" ht="12.5" x14ac:dyDescent="0.25">
      <c r="A87" s="2"/>
      <c r="B87" s="2"/>
      <c r="C87" s="11"/>
      <c r="D87" s="93"/>
      <c r="E87" s="2"/>
      <c r="F87" s="2"/>
      <c r="G87" s="2"/>
      <c r="H87" s="2"/>
      <c r="I87" s="2"/>
      <c r="J87" s="3"/>
      <c r="K87" s="314"/>
      <c r="L87" s="142"/>
      <c r="M87" s="314"/>
      <c r="N87" s="142"/>
      <c r="O87" s="320"/>
      <c r="P87" s="236"/>
      <c r="Q87" s="318"/>
      <c r="R87" s="245"/>
      <c r="S87" s="245"/>
      <c r="T87" s="245"/>
      <c r="U87" s="245"/>
      <c r="V87" s="246"/>
      <c r="W87" s="30"/>
      <c r="X87" s="2"/>
      <c r="Y87" s="2"/>
      <c r="Z87" s="2"/>
      <c r="AA87" s="2"/>
      <c r="AB87" s="2"/>
      <c r="AC87" s="2"/>
      <c r="AD87" s="2"/>
    </row>
    <row r="88" spans="1:30" ht="12.5" x14ac:dyDescent="0.25">
      <c r="A88" s="2"/>
      <c r="B88" s="2"/>
      <c r="C88" s="11"/>
      <c r="D88" s="337"/>
      <c r="E88" s="277"/>
      <c r="F88" s="277"/>
      <c r="G88" s="277"/>
      <c r="H88" s="277"/>
      <c r="I88" s="338"/>
      <c r="J88" s="111"/>
      <c r="K88" s="316"/>
      <c r="L88" s="232"/>
      <c r="M88" s="316"/>
      <c r="N88" s="232"/>
      <c r="O88" s="317"/>
      <c r="P88" s="232"/>
      <c r="Q88" s="274"/>
      <c r="R88" s="245"/>
      <c r="S88" s="245"/>
      <c r="T88" s="245"/>
      <c r="U88" s="245"/>
      <c r="V88" s="246"/>
      <c r="W88" s="30"/>
      <c r="X88" s="2"/>
      <c r="Y88" s="2"/>
      <c r="Z88" s="2"/>
      <c r="AA88" s="2"/>
      <c r="AB88" s="2"/>
      <c r="AC88" s="2"/>
      <c r="AD88" s="2"/>
    </row>
    <row r="89" spans="1:30" ht="12.5" x14ac:dyDescent="0.25">
      <c r="A89" s="2"/>
      <c r="B89" s="2"/>
      <c r="C89" s="11"/>
      <c r="D89" s="93"/>
      <c r="E89" s="2"/>
      <c r="F89" s="2"/>
      <c r="G89" s="2"/>
      <c r="H89" s="2"/>
      <c r="I89" s="2"/>
      <c r="J89" s="3"/>
      <c r="K89" s="314"/>
      <c r="L89" s="142"/>
      <c r="M89" s="314"/>
      <c r="N89" s="142"/>
      <c r="O89" s="320"/>
      <c r="P89" s="236"/>
      <c r="Q89" s="318"/>
      <c r="R89" s="245"/>
      <c r="S89" s="245"/>
      <c r="T89" s="245"/>
      <c r="U89" s="245"/>
      <c r="V89" s="246"/>
      <c r="W89" s="30"/>
      <c r="X89" s="2"/>
      <c r="Y89" s="2"/>
      <c r="Z89" s="2"/>
      <c r="AA89" s="2"/>
      <c r="AB89" s="2"/>
      <c r="AC89" s="2"/>
      <c r="AD89" s="2"/>
    </row>
    <row r="90" spans="1:30" ht="12.5" x14ac:dyDescent="0.25">
      <c r="A90" s="2"/>
      <c r="B90" s="2"/>
      <c r="C90" s="11"/>
      <c r="D90" s="337"/>
      <c r="E90" s="277"/>
      <c r="F90" s="277"/>
      <c r="G90" s="277"/>
      <c r="H90" s="277"/>
      <c r="I90" s="338"/>
      <c r="J90" s="111"/>
      <c r="K90" s="316"/>
      <c r="L90" s="232"/>
      <c r="M90" s="316"/>
      <c r="N90" s="232"/>
      <c r="O90" s="317"/>
      <c r="P90" s="232"/>
      <c r="Q90" s="274"/>
      <c r="R90" s="245"/>
      <c r="S90" s="245"/>
      <c r="T90" s="245"/>
      <c r="U90" s="245"/>
      <c r="V90" s="246"/>
      <c r="W90" s="30"/>
      <c r="X90" s="2"/>
      <c r="Y90" s="2"/>
      <c r="Z90" s="2"/>
      <c r="AA90" s="2"/>
      <c r="AB90" s="2"/>
      <c r="AC90" s="2"/>
      <c r="AD90" s="2"/>
    </row>
    <row r="91" spans="1:30" ht="12.5" x14ac:dyDescent="0.25">
      <c r="A91" s="2"/>
      <c r="B91" s="2"/>
      <c r="C91" s="11"/>
      <c r="D91" s="93"/>
      <c r="E91" s="2"/>
      <c r="F91" s="2"/>
      <c r="G91" s="2"/>
      <c r="H91" s="2"/>
      <c r="I91" s="2"/>
      <c r="J91" s="3"/>
      <c r="K91" s="314"/>
      <c r="L91" s="142"/>
      <c r="M91" s="314"/>
      <c r="N91" s="142"/>
      <c r="O91" s="320"/>
      <c r="P91" s="236"/>
      <c r="Q91" s="318"/>
      <c r="R91" s="245"/>
      <c r="S91" s="245"/>
      <c r="T91" s="245"/>
      <c r="U91" s="245"/>
      <c r="V91" s="246"/>
      <c r="W91" s="30"/>
      <c r="X91" s="2"/>
      <c r="Y91" s="2"/>
      <c r="Z91" s="2"/>
      <c r="AA91" s="2"/>
      <c r="AB91" s="2"/>
      <c r="AC91" s="2"/>
      <c r="AD91" s="2"/>
    </row>
    <row r="92" spans="1:30" ht="12.5" x14ac:dyDescent="0.25">
      <c r="A92" s="2"/>
      <c r="B92" s="2"/>
      <c r="C92" s="11"/>
      <c r="D92" s="337"/>
      <c r="E92" s="277"/>
      <c r="F92" s="277"/>
      <c r="G92" s="277"/>
      <c r="H92" s="277"/>
      <c r="I92" s="338"/>
      <c r="J92" s="111"/>
      <c r="K92" s="316"/>
      <c r="L92" s="232"/>
      <c r="M92" s="316"/>
      <c r="N92" s="232"/>
      <c r="O92" s="317"/>
      <c r="P92" s="232"/>
      <c r="Q92" s="274"/>
      <c r="R92" s="245"/>
      <c r="S92" s="245"/>
      <c r="T92" s="245"/>
      <c r="U92" s="245"/>
      <c r="V92" s="246"/>
      <c r="W92" s="30"/>
      <c r="X92" s="2"/>
      <c r="Y92" s="2"/>
      <c r="Z92" s="2"/>
      <c r="AA92" s="2"/>
      <c r="AB92" s="2"/>
      <c r="AC92" s="2"/>
      <c r="AD92" s="2"/>
    </row>
    <row r="93" spans="1:30" ht="12.5" x14ac:dyDescent="0.25">
      <c r="A93" s="2"/>
      <c r="B93" s="2"/>
      <c r="C93" s="11"/>
      <c r="D93" s="93"/>
      <c r="E93" s="2"/>
      <c r="F93" s="2"/>
      <c r="G93" s="2"/>
      <c r="H93" s="2"/>
      <c r="I93" s="2"/>
      <c r="J93" s="3"/>
      <c r="K93" s="314"/>
      <c r="L93" s="142"/>
      <c r="M93" s="314"/>
      <c r="N93" s="142"/>
      <c r="O93" s="320"/>
      <c r="P93" s="236"/>
      <c r="Q93" s="318"/>
      <c r="R93" s="245"/>
      <c r="S93" s="245"/>
      <c r="T93" s="245"/>
      <c r="U93" s="245"/>
      <c r="V93" s="246"/>
      <c r="W93" s="30"/>
      <c r="X93" s="2"/>
      <c r="Y93" s="2"/>
      <c r="Z93" s="2"/>
      <c r="AA93" s="2"/>
      <c r="AB93" s="2"/>
      <c r="AC93" s="2"/>
      <c r="AD93" s="2"/>
    </row>
    <row r="94" spans="1:30" ht="12.5" x14ac:dyDescent="0.25">
      <c r="A94" s="2"/>
      <c r="B94" s="2"/>
      <c r="C94" s="11"/>
      <c r="D94" s="337"/>
      <c r="E94" s="277"/>
      <c r="F94" s="277"/>
      <c r="G94" s="277"/>
      <c r="H94" s="277"/>
      <c r="I94" s="338"/>
      <c r="J94" s="111"/>
      <c r="K94" s="316"/>
      <c r="L94" s="232"/>
      <c r="M94" s="316"/>
      <c r="N94" s="232"/>
      <c r="O94" s="317"/>
      <c r="P94" s="232"/>
      <c r="Q94" s="274"/>
      <c r="R94" s="245"/>
      <c r="S94" s="245"/>
      <c r="T94" s="245"/>
      <c r="U94" s="245"/>
      <c r="V94" s="246"/>
      <c r="W94" s="30"/>
      <c r="X94" s="2"/>
      <c r="Y94" s="2"/>
      <c r="Z94" s="2"/>
      <c r="AA94" s="2"/>
      <c r="AB94" s="2"/>
      <c r="AC94" s="2"/>
      <c r="AD94" s="2"/>
    </row>
    <row r="95" spans="1:30" ht="12.5" x14ac:dyDescent="0.25">
      <c r="A95" s="2"/>
      <c r="B95" s="2"/>
      <c r="C95" s="11"/>
      <c r="D95" s="93"/>
      <c r="E95" s="2"/>
      <c r="F95" s="2"/>
      <c r="G95" s="2"/>
      <c r="H95" s="2"/>
      <c r="I95" s="2"/>
      <c r="J95" s="3"/>
      <c r="K95" s="314"/>
      <c r="L95" s="142"/>
      <c r="M95" s="314"/>
      <c r="N95" s="142"/>
      <c r="O95" s="320"/>
      <c r="P95" s="236"/>
      <c r="Q95" s="318"/>
      <c r="R95" s="245"/>
      <c r="S95" s="245"/>
      <c r="T95" s="245"/>
      <c r="U95" s="245"/>
      <c r="V95" s="246"/>
      <c r="W95" s="30"/>
      <c r="X95" s="2"/>
      <c r="Y95" s="2"/>
      <c r="Z95" s="2"/>
      <c r="AA95" s="2"/>
      <c r="AB95" s="2"/>
      <c r="AC95" s="2"/>
      <c r="AD95" s="2"/>
    </row>
    <row r="96" spans="1:30" ht="12.5" x14ac:dyDescent="0.25">
      <c r="A96" s="2"/>
      <c r="B96" s="2"/>
      <c r="C96" s="11"/>
      <c r="D96" s="337"/>
      <c r="E96" s="277"/>
      <c r="F96" s="277"/>
      <c r="G96" s="277"/>
      <c r="H96" s="277"/>
      <c r="I96" s="338"/>
      <c r="J96" s="111"/>
      <c r="K96" s="316"/>
      <c r="L96" s="232"/>
      <c r="M96" s="316"/>
      <c r="N96" s="232"/>
      <c r="O96" s="317"/>
      <c r="P96" s="232"/>
      <c r="Q96" s="274"/>
      <c r="R96" s="245"/>
      <c r="S96" s="245"/>
      <c r="T96" s="245"/>
      <c r="U96" s="245"/>
      <c r="V96" s="246"/>
      <c r="W96" s="30"/>
      <c r="X96" s="2"/>
      <c r="Y96" s="2"/>
      <c r="Z96" s="2"/>
      <c r="AA96" s="2"/>
      <c r="AB96" s="2"/>
      <c r="AC96" s="2"/>
      <c r="AD96" s="2"/>
    </row>
    <row r="97" spans="1:30" ht="12.5" x14ac:dyDescent="0.25">
      <c r="A97" s="2"/>
      <c r="B97" s="2"/>
      <c r="C97" s="11"/>
      <c r="D97" s="93"/>
      <c r="E97" s="2"/>
      <c r="F97" s="2"/>
      <c r="G97" s="2"/>
      <c r="H97" s="2"/>
      <c r="I97" s="2"/>
      <c r="J97" s="3"/>
      <c r="K97" s="314"/>
      <c r="L97" s="142"/>
      <c r="M97" s="314"/>
      <c r="N97" s="142"/>
      <c r="O97" s="320"/>
      <c r="P97" s="236"/>
      <c r="Q97" s="318"/>
      <c r="R97" s="245"/>
      <c r="S97" s="245"/>
      <c r="T97" s="245"/>
      <c r="U97" s="245"/>
      <c r="V97" s="246"/>
      <c r="W97" s="30"/>
      <c r="X97" s="2"/>
      <c r="Y97" s="2"/>
      <c r="Z97" s="2"/>
      <c r="AA97" s="2"/>
      <c r="AB97" s="2"/>
      <c r="AC97" s="2"/>
      <c r="AD97" s="2"/>
    </row>
    <row r="98" spans="1:30" ht="12.5" x14ac:dyDescent="0.25">
      <c r="A98" s="2"/>
      <c r="B98" s="2"/>
      <c r="C98" s="11"/>
      <c r="D98" s="337"/>
      <c r="E98" s="277"/>
      <c r="F98" s="277"/>
      <c r="G98" s="277"/>
      <c r="H98" s="277"/>
      <c r="I98" s="338"/>
      <c r="J98" s="111"/>
      <c r="K98" s="316"/>
      <c r="L98" s="232"/>
      <c r="M98" s="316"/>
      <c r="N98" s="232"/>
      <c r="O98" s="317"/>
      <c r="P98" s="232"/>
      <c r="Q98" s="274"/>
      <c r="R98" s="245"/>
      <c r="S98" s="245"/>
      <c r="T98" s="245"/>
      <c r="U98" s="245"/>
      <c r="V98" s="246"/>
      <c r="W98" s="30"/>
      <c r="X98" s="2"/>
      <c r="Y98" s="2"/>
      <c r="Z98" s="2"/>
      <c r="AA98" s="2"/>
      <c r="AB98" s="2"/>
      <c r="AC98" s="2"/>
      <c r="AD98" s="2"/>
    </row>
    <row r="99" spans="1:30" ht="12.5" x14ac:dyDescent="0.25">
      <c r="A99" s="2"/>
      <c r="B99" s="2"/>
      <c r="C99" s="11"/>
      <c r="D99" s="93"/>
      <c r="E99" s="2"/>
      <c r="F99" s="2"/>
      <c r="G99" s="2"/>
      <c r="H99" s="2"/>
      <c r="I99" s="2"/>
      <c r="J99" s="3"/>
      <c r="K99" s="314"/>
      <c r="L99" s="142"/>
      <c r="M99" s="314"/>
      <c r="N99" s="142"/>
      <c r="O99" s="320"/>
      <c r="P99" s="236"/>
      <c r="Q99" s="318"/>
      <c r="R99" s="245"/>
      <c r="S99" s="245"/>
      <c r="T99" s="245"/>
      <c r="U99" s="245"/>
      <c r="V99" s="246"/>
      <c r="W99" s="30"/>
      <c r="X99" s="2"/>
      <c r="Y99" s="2"/>
      <c r="Z99" s="2"/>
      <c r="AA99" s="2"/>
      <c r="AB99" s="2"/>
      <c r="AC99" s="2"/>
      <c r="AD99" s="2"/>
    </row>
    <row r="100" spans="1:30" ht="12.5" x14ac:dyDescent="0.25">
      <c r="A100" s="2"/>
      <c r="B100" s="2"/>
      <c r="C100" s="11"/>
      <c r="D100" s="337"/>
      <c r="E100" s="277"/>
      <c r="F100" s="277"/>
      <c r="G100" s="277"/>
      <c r="H100" s="277"/>
      <c r="I100" s="338"/>
      <c r="J100" s="111"/>
      <c r="K100" s="316"/>
      <c r="L100" s="232"/>
      <c r="M100" s="316"/>
      <c r="N100" s="232"/>
      <c r="O100" s="317"/>
      <c r="P100" s="232"/>
      <c r="Q100" s="274"/>
      <c r="R100" s="245"/>
      <c r="S100" s="245"/>
      <c r="T100" s="245"/>
      <c r="U100" s="245"/>
      <c r="V100" s="246"/>
      <c r="W100" s="30"/>
      <c r="X100" s="2"/>
      <c r="Y100" s="2"/>
      <c r="Z100" s="2"/>
      <c r="AA100" s="2"/>
      <c r="AB100" s="2"/>
      <c r="AC100" s="2"/>
      <c r="AD100" s="2"/>
    </row>
    <row r="101" spans="1:30" ht="12.5" x14ac:dyDescent="0.25">
      <c r="A101" s="2"/>
      <c r="B101" s="2"/>
      <c r="C101" s="11"/>
      <c r="D101" s="93"/>
      <c r="E101" s="2"/>
      <c r="F101" s="2"/>
      <c r="G101" s="2"/>
      <c r="H101" s="2"/>
      <c r="I101" s="2"/>
      <c r="J101" s="3"/>
      <c r="K101" s="314"/>
      <c r="L101" s="142"/>
      <c r="M101" s="314"/>
      <c r="N101" s="142"/>
      <c r="O101" s="320"/>
      <c r="P101" s="236"/>
      <c r="Q101" s="318"/>
      <c r="R101" s="245"/>
      <c r="S101" s="245"/>
      <c r="T101" s="245"/>
      <c r="U101" s="245"/>
      <c r="V101" s="246"/>
      <c r="W101" s="30"/>
      <c r="X101" s="2"/>
      <c r="Y101" s="2"/>
      <c r="Z101" s="2"/>
      <c r="AA101" s="2"/>
      <c r="AB101" s="2"/>
      <c r="AC101" s="2"/>
      <c r="AD101" s="2"/>
    </row>
    <row r="102" spans="1:30" ht="12.5" x14ac:dyDescent="0.25">
      <c r="A102" s="2"/>
      <c r="B102" s="2"/>
      <c r="C102" s="11"/>
      <c r="D102" s="337"/>
      <c r="E102" s="277"/>
      <c r="F102" s="277"/>
      <c r="G102" s="277"/>
      <c r="H102" s="277"/>
      <c r="I102" s="338"/>
      <c r="J102" s="111"/>
      <c r="K102" s="316"/>
      <c r="L102" s="232"/>
      <c r="M102" s="316"/>
      <c r="N102" s="232"/>
      <c r="O102" s="317"/>
      <c r="P102" s="232"/>
      <c r="Q102" s="274"/>
      <c r="R102" s="245"/>
      <c r="S102" s="245"/>
      <c r="T102" s="245"/>
      <c r="U102" s="245"/>
      <c r="V102" s="246"/>
      <c r="W102" s="30"/>
      <c r="X102" s="2"/>
      <c r="Y102" s="2"/>
      <c r="Z102" s="2"/>
      <c r="AA102" s="2"/>
      <c r="AB102" s="2"/>
      <c r="AC102" s="2"/>
      <c r="AD102" s="2"/>
    </row>
    <row r="103" spans="1:30" ht="12.5" x14ac:dyDescent="0.25">
      <c r="A103" s="2"/>
      <c r="B103" s="2"/>
      <c r="C103" s="11"/>
      <c r="D103" s="93"/>
      <c r="E103" s="2"/>
      <c r="F103" s="2"/>
      <c r="G103" s="2"/>
      <c r="H103" s="2"/>
      <c r="I103" s="2"/>
      <c r="J103" s="3"/>
      <c r="K103" s="314"/>
      <c r="L103" s="142"/>
      <c r="M103" s="314"/>
      <c r="N103" s="142"/>
      <c r="O103" s="320"/>
      <c r="P103" s="236"/>
      <c r="Q103" s="318"/>
      <c r="R103" s="245"/>
      <c r="S103" s="245"/>
      <c r="T103" s="245"/>
      <c r="U103" s="245"/>
      <c r="V103" s="246"/>
      <c r="W103" s="30"/>
      <c r="X103" s="2"/>
      <c r="Y103" s="2"/>
      <c r="Z103" s="2"/>
      <c r="AA103" s="2"/>
      <c r="AB103" s="2"/>
      <c r="AC103" s="2"/>
      <c r="AD103" s="2"/>
    </row>
    <row r="104" spans="1:30" ht="12.5" x14ac:dyDescent="0.25">
      <c r="A104" s="2"/>
      <c r="B104" s="2"/>
      <c r="C104" s="11"/>
      <c r="D104" s="337"/>
      <c r="E104" s="277"/>
      <c r="F104" s="277"/>
      <c r="G104" s="277"/>
      <c r="H104" s="277"/>
      <c r="I104" s="338"/>
      <c r="J104" s="111"/>
      <c r="K104" s="316"/>
      <c r="L104" s="232"/>
      <c r="M104" s="316"/>
      <c r="N104" s="232"/>
      <c r="O104" s="317"/>
      <c r="P104" s="232"/>
      <c r="Q104" s="274"/>
      <c r="R104" s="245"/>
      <c r="S104" s="245"/>
      <c r="T104" s="245"/>
      <c r="U104" s="245"/>
      <c r="V104" s="246"/>
      <c r="W104" s="30"/>
      <c r="X104" s="2"/>
      <c r="Y104" s="2"/>
      <c r="Z104" s="2"/>
      <c r="AA104" s="2"/>
      <c r="AB104" s="2"/>
      <c r="AC104" s="2"/>
      <c r="AD104" s="2"/>
    </row>
    <row r="105" spans="1:30" ht="12.5" x14ac:dyDescent="0.25">
      <c r="A105" s="2"/>
      <c r="B105" s="2"/>
      <c r="C105" s="11"/>
      <c r="D105" s="93"/>
      <c r="E105" s="2"/>
      <c r="F105" s="2"/>
      <c r="G105" s="2"/>
      <c r="H105" s="2"/>
      <c r="I105" s="2"/>
      <c r="J105" s="3"/>
      <c r="K105" s="314"/>
      <c r="L105" s="142"/>
      <c r="M105" s="314"/>
      <c r="N105" s="142"/>
      <c r="O105" s="320"/>
      <c r="P105" s="236"/>
      <c r="Q105" s="318"/>
      <c r="R105" s="245"/>
      <c r="S105" s="245"/>
      <c r="T105" s="245"/>
      <c r="U105" s="245"/>
      <c r="V105" s="246"/>
      <c r="W105" s="30"/>
      <c r="X105" s="2"/>
      <c r="Y105" s="2"/>
      <c r="Z105" s="2"/>
      <c r="AA105" s="2"/>
      <c r="AB105" s="2"/>
      <c r="AC105" s="2"/>
      <c r="AD105" s="2"/>
    </row>
    <row r="106" spans="1:30" ht="12.5" x14ac:dyDescent="0.25">
      <c r="A106" s="2"/>
      <c r="B106" s="2"/>
      <c r="C106" s="11"/>
      <c r="D106" s="337"/>
      <c r="E106" s="277"/>
      <c r="F106" s="277"/>
      <c r="G106" s="277"/>
      <c r="H106" s="277"/>
      <c r="I106" s="338"/>
      <c r="J106" s="111"/>
      <c r="K106" s="316"/>
      <c r="L106" s="232"/>
      <c r="M106" s="316"/>
      <c r="N106" s="232"/>
      <c r="O106" s="317"/>
      <c r="P106" s="232"/>
      <c r="Q106" s="274"/>
      <c r="R106" s="245"/>
      <c r="S106" s="245"/>
      <c r="T106" s="245"/>
      <c r="U106" s="245"/>
      <c r="V106" s="246"/>
      <c r="W106" s="30"/>
      <c r="X106" s="2"/>
      <c r="Y106" s="2"/>
      <c r="Z106" s="2"/>
      <c r="AA106" s="2"/>
      <c r="AB106" s="2"/>
      <c r="AC106" s="2"/>
      <c r="AD106" s="2"/>
    </row>
    <row r="107" spans="1:30" ht="12.5" x14ac:dyDescent="0.25">
      <c r="A107" s="2"/>
      <c r="B107" s="2"/>
      <c r="C107" s="11"/>
      <c r="D107" s="93"/>
      <c r="E107" s="2"/>
      <c r="F107" s="2"/>
      <c r="G107" s="2"/>
      <c r="H107" s="2"/>
      <c r="I107" s="2"/>
      <c r="J107" s="3"/>
      <c r="K107" s="314"/>
      <c r="L107" s="142"/>
      <c r="M107" s="314"/>
      <c r="N107" s="142"/>
      <c r="O107" s="320"/>
      <c r="P107" s="236"/>
      <c r="Q107" s="318"/>
      <c r="R107" s="245"/>
      <c r="S107" s="245"/>
      <c r="T107" s="245"/>
      <c r="U107" s="245"/>
      <c r="V107" s="246"/>
      <c r="W107" s="30"/>
      <c r="X107" s="2"/>
      <c r="Y107" s="2"/>
      <c r="Z107" s="2"/>
      <c r="AA107" s="2"/>
      <c r="AB107" s="2"/>
      <c r="AC107" s="2"/>
      <c r="AD107" s="2"/>
    </row>
    <row r="108" spans="1:30" ht="12.5" x14ac:dyDescent="0.25">
      <c r="A108" s="2"/>
      <c r="B108" s="2"/>
      <c r="C108" s="11"/>
      <c r="D108" s="337"/>
      <c r="E108" s="277"/>
      <c r="F108" s="277"/>
      <c r="G108" s="277"/>
      <c r="H108" s="277"/>
      <c r="I108" s="338"/>
      <c r="J108" s="111"/>
      <c r="K108" s="316"/>
      <c r="L108" s="232"/>
      <c r="M108" s="316"/>
      <c r="N108" s="232"/>
      <c r="O108" s="317"/>
      <c r="P108" s="232"/>
      <c r="Q108" s="274"/>
      <c r="R108" s="245"/>
      <c r="S108" s="245"/>
      <c r="T108" s="245"/>
      <c r="U108" s="245"/>
      <c r="V108" s="246"/>
      <c r="W108" s="30"/>
      <c r="X108" s="2"/>
      <c r="Y108" s="2"/>
      <c r="Z108" s="2"/>
      <c r="AA108" s="2"/>
      <c r="AB108" s="2"/>
      <c r="AC108" s="2"/>
      <c r="AD108" s="2"/>
    </row>
    <row r="109" spans="1:30" ht="12.5" x14ac:dyDescent="0.25">
      <c r="A109" s="2"/>
      <c r="B109" s="2"/>
      <c r="C109" s="11"/>
      <c r="D109" s="93"/>
      <c r="E109" s="2"/>
      <c r="F109" s="2"/>
      <c r="G109" s="2"/>
      <c r="H109" s="2"/>
      <c r="I109" s="2"/>
      <c r="J109" s="3"/>
      <c r="K109" s="314"/>
      <c r="L109" s="142"/>
      <c r="M109" s="314"/>
      <c r="N109" s="142"/>
      <c r="O109" s="320"/>
      <c r="P109" s="236"/>
      <c r="Q109" s="318"/>
      <c r="R109" s="245"/>
      <c r="S109" s="245"/>
      <c r="T109" s="245"/>
      <c r="U109" s="245"/>
      <c r="V109" s="246"/>
      <c r="W109" s="30"/>
      <c r="X109" s="2"/>
      <c r="Y109" s="2"/>
      <c r="Z109" s="2"/>
      <c r="AA109" s="2"/>
      <c r="AB109" s="2"/>
      <c r="AC109" s="2"/>
      <c r="AD109" s="2"/>
    </row>
    <row r="110" spans="1:30" ht="12.5" x14ac:dyDescent="0.25">
      <c r="A110" s="2"/>
      <c r="B110" s="2"/>
      <c r="C110" s="11"/>
      <c r="D110" s="337"/>
      <c r="E110" s="277"/>
      <c r="F110" s="277"/>
      <c r="G110" s="277"/>
      <c r="H110" s="277"/>
      <c r="I110" s="338"/>
      <c r="J110" s="111"/>
      <c r="K110" s="316"/>
      <c r="L110" s="232"/>
      <c r="M110" s="316"/>
      <c r="N110" s="232"/>
      <c r="O110" s="317"/>
      <c r="P110" s="232"/>
      <c r="Q110" s="274"/>
      <c r="R110" s="245"/>
      <c r="S110" s="245"/>
      <c r="T110" s="245"/>
      <c r="U110" s="245"/>
      <c r="V110" s="246"/>
      <c r="W110" s="30"/>
      <c r="X110" s="2"/>
      <c r="Y110" s="2"/>
      <c r="Z110" s="2"/>
      <c r="AA110" s="2"/>
      <c r="AB110" s="2"/>
      <c r="AC110" s="2"/>
      <c r="AD110" s="2"/>
    </row>
    <row r="111" spans="1:30" ht="12.5" x14ac:dyDescent="0.25">
      <c r="A111" s="2"/>
      <c r="B111" s="2"/>
      <c r="C111" s="11"/>
      <c r="D111" s="93"/>
      <c r="E111" s="2"/>
      <c r="F111" s="2"/>
      <c r="G111" s="2"/>
      <c r="H111" s="2"/>
      <c r="I111" s="2"/>
      <c r="J111" s="3"/>
      <c r="K111" s="314"/>
      <c r="L111" s="142"/>
      <c r="M111" s="314"/>
      <c r="N111" s="142"/>
      <c r="O111" s="320"/>
      <c r="P111" s="236"/>
      <c r="Q111" s="318"/>
      <c r="R111" s="245"/>
      <c r="S111" s="245"/>
      <c r="T111" s="245"/>
      <c r="U111" s="245"/>
      <c r="V111" s="246"/>
      <c r="W111" s="30"/>
      <c r="X111" s="2"/>
      <c r="Y111" s="2"/>
      <c r="Z111" s="2"/>
      <c r="AA111" s="2"/>
      <c r="AB111" s="2"/>
      <c r="AC111" s="2"/>
      <c r="AD111" s="2"/>
    </row>
    <row r="112" spans="1:30" ht="12.5" x14ac:dyDescent="0.25">
      <c r="A112" s="2"/>
      <c r="B112" s="2"/>
      <c r="C112" s="11"/>
      <c r="D112" s="337"/>
      <c r="E112" s="277"/>
      <c r="F112" s="277"/>
      <c r="G112" s="277"/>
      <c r="H112" s="277"/>
      <c r="I112" s="338"/>
      <c r="J112" s="111"/>
      <c r="K112" s="316"/>
      <c r="L112" s="232"/>
      <c r="M112" s="316"/>
      <c r="N112" s="232"/>
      <c r="O112" s="317"/>
      <c r="P112" s="232"/>
      <c r="Q112" s="274"/>
      <c r="R112" s="245"/>
      <c r="S112" s="245"/>
      <c r="T112" s="245"/>
      <c r="U112" s="245"/>
      <c r="V112" s="246"/>
      <c r="W112" s="30"/>
      <c r="X112" s="2"/>
      <c r="Y112" s="2"/>
      <c r="Z112" s="2"/>
      <c r="AA112" s="2"/>
      <c r="AB112" s="2"/>
      <c r="AC112" s="2"/>
      <c r="AD112" s="2"/>
    </row>
    <row r="113" spans="1:30" ht="12.5" x14ac:dyDescent="0.25">
      <c r="A113" s="2"/>
      <c r="B113" s="2"/>
      <c r="C113" s="11"/>
      <c r="D113" s="93"/>
      <c r="E113" s="2"/>
      <c r="F113" s="2"/>
      <c r="G113" s="2"/>
      <c r="H113" s="2"/>
      <c r="I113" s="2"/>
      <c r="J113" s="3"/>
      <c r="K113" s="314"/>
      <c r="L113" s="142"/>
      <c r="M113" s="314"/>
      <c r="N113" s="142"/>
      <c r="O113" s="320"/>
      <c r="P113" s="236"/>
      <c r="Q113" s="318"/>
      <c r="R113" s="245"/>
      <c r="S113" s="245"/>
      <c r="T113" s="245"/>
      <c r="U113" s="245"/>
      <c r="V113" s="246"/>
      <c r="W113" s="30"/>
      <c r="X113" s="2"/>
      <c r="Y113" s="2"/>
      <c r="Z113" s="2"/>
      <c r="AA113" s="2"/>
      <c r="AB113" s="2"/>
      <c r="AC113" s="2"/>
      <c r="AD113" s="2"/>
    </row>
    <row r="114" spans="1:30" ht="12.5" x14ac:dyDescent="0.25">
      <c r="A114" s="2"/>
      <c r="B114" s="2"/>
      <c r="C114" s="11"/>
      <c r="D114" s="337"/>
      <c r="E114" s="277"/>
      <c r="F114" s="277"/>
      <c r="G114" s="277"/>
      <c r="H114" s="277"/>
      <c r="I114" s="338"/>
      <c r="J114" s="111"/>
      <c r="K114" s="316"/>
      <c r="L114" s="232"/>
      <c r="M114" s="316"/>
      <c r="N114" s="232"/>
      <c r="O114" s="317"/>
      <c r="P114" s="232"/>
      <c r="Q114" s="274"/>
      <c r="R114" s="245"/>
      <c r="S114" s="245"/>
      <c r="T114" s="245"/>
      <c r="U114" s="245"/>
      <c r="V114" s="246"/>
      <c r="W114" s="30"/>
      <c r="X114" s="2"/>
      <c r="Y114" s="2"/>
      <c r="Z114" s="2"/>
      <c r="AA114" s="2"/>
      <c r="AB114" s="2"/>
      <c r="AC114" s="2"/>
      <c r="AD114" s="2"/>
    </row>
    <row r="115" spans="1:30" ht="12.5" x14ac:dyDescent="0.25">
      <c r="A115" s="2"/>
      <c r="B115" s="2"/>
      <c r="C115" s="11"/>
      <c r="D115" s="93"/>
      <c r="E115" s="2"/>
      <c r="F115" s="2"/>
      <c r="G115" s="2"/>
      <c r="H115" s="2"/>
      <c r="I115" s="2"/>
      <c r="J115" s="3"/>
      <c r="K115" s="314"/>
      <c r="L115" s="142"/>
      <c r="M115" s="314"/>
      <c r="N115" s="142"/>
      <c r="O115" s="320"/>
      <c r="P115" s="236"/>
      <c r="Q115" s="318"/>
      <c r="R115" s="245"/>
      <c r="S115" s="245"/>
      <c r="T115" s="245"/>
      <c r="U115" s="245"/>
      <c r="V115" s="246"/>
      <c r="W115" s="30"/>
      <c r="X115" s="2"/>
      <c r="Y115" s="2"/>
      <c r="Z115" s="2"/>
      <c r="AA115" s="2"/>
      <c r="AB115" s="2"/>
      <c r="AC115" s="2"/>
      <c r="AD115" s="2"/>
    </row>
    <row r="116" spans="1:30" ht="12.5" x14ac:dyDescent="0.25">
      <c r="A116" s="2"/>
      <c r="B116" s="2"/>
      <c r="C116" s="11"/>
      <c r="D116" s="337"/>
      <c r="E116" s="277"/>
      <c r="F116" s="277"/>
      <c r="G116" s="277"/>
      <c r="H116" s="277"/>
      <c r="I116" s="338"/>
      <c r="J116" s="111"/>
      <c r="K116" s="316"/>
      <c r="L116" s="232"/>
      <c r="M116" s="316"/>
      <c r="N116" s="232"/>
      <c r="O116" s="317"/>
      <c r="P116" s="232"/>
      <c r="Q116" s="274"/>
      <c r="R116" s="245"/>
      <c r="S116" s="245"/>
      <c r="T116" s="245"/>
      <c r="U116" s="245"/>
      <c r="V116" s="246"/>
      <c r="W116" s="30"/>
      <c r="X116" s="2"/>
      <c r="Y116" s="2"/>
      <c r="Z116" s="2"/>
      <c r="AA116" s="2"/>
      <c r="AB116" s="2"/>
      <c r="AC116" s="2"/>
      <c r="AD116" s="2"/>
    </row>
    <row r="117" spans="1:30" ht="12.5" x14ac:dyDescent="0.25">
      <c r="A117" s="2"/>
      <c r="B117" s="2"/>
      <c r="C117" s="11"/>
      <c r="D117" s="93"/>
      <c r="E117" s="2"/>
      <c r="F117" s="2"/>
      <c r="G117" s="2"/>
      <c r="H117" s="2"/>
      <c r="I117" s="2"/>
      <c r="J117" s="3"/>
      <c r="K117" s="314"/>
      <c r="L117" s="142"/>
      <c r="M117" s="314"/>
      <c r="N117" s="142"/>
      <c r="O117" s="320"/>
      <c r="P117" s="236"/>
      <c r="Q117" s="318"/>
      <c r="R117" s="245"/>
      <c r="S117" s="245"/>
      <c r="T117" s="245"/>
      <c r="U117" s="245"/>
      <c r="V117" s="246"/>
      <c r="W117" s="30"/>
      <c r="X117" s="2"/>
      <c r="Y117" s="2"/>
      <c r="Z117" s="2"/>
      <c r="AA117" s="2"/>
      <c r="AB117" s="2"/>
      <c r="AC117" s="2"/>
      <c r="AD117" s="2"/>
    </row>
    <row r="118" spans="1:30" ht="12.5" x14ac:dyDescent="0.25">
      <c r="A118" s="2"/>
      <c r="B118" s="2"/>
      <c r="C118" s="11"/>
      <c r="D118" s="337"/>
      <c r="E118" s="277"/>
      <c r="F118" s="277"/>
      <c r="G118" s="277"/>
      <c r="H118" s="277"/>
      <c r="I118" s="338"/>
      <c r="J118" s="111"/>
      <c r="K118" s="316"/>
      <c r="L118" s="232"/>
      <c r="M118" s="316"/>
      <c r="N118" s="232"/>
      <c r="O118" s="317"/>
      <c r="P118" s="232"/>
      <c r="Q118" s="274"/>
      <c r="R118" s="245"/>
      <c r="S118" s="245"/>
      <c r="T118" s="245"/>
      <c r="U118" s="245"/>
      <c r="V118" s="246"/>
      <c r="W118" s="30"/>
      <c r="X118" s="2"/>
      <c r="Y118" s="2"/>
      <c r="Z118" s="2"/>
      <c r="AA118" s="2"/>
      <c r="AB118" s="2"/>
      <c r="AC118" s="2"/>
      <c r="AD118" s="2"/>
    </row>
    <row r="119" spans="1:30" ht="12.5" x14ac:dyDescent="0.25">
      <c r="A119" s="2"/>
      <c r="B119" s="2"/>
      <c r="C119" s="11"/>
      <c r="D119" s="112"/>
      <c r="E119" s="28"/>
      <c r="F119" s="28"/>
      <c r="G119" s="28"/>
      <c r="H119" s="28"/>
      <c r="I119" s="28"/>
      <c r="J119" s="5"/>
      <c r="K119" s="339"/>
      <c r="L119" s="198"/>
      <c r="M119" s="339"/>
      <c r="N119" s="198"/>
      <c r="O119" s="320"/>
      <c r="P119" s="236"/>
      <c r="Q119" s="322"/>
      <c r="R119" s="194"/>
      <c r="S119" s="194"/>
      <c r="T119" s="194"/>
      <c r="U119" s="194"/>
      <c r="V119" s="323"/>
      <c r="W119" s="30"/>
      <c r="X119" s="2"/>
      <c r="Y119" s="2"/>
      <c r="Z119" s="2"/>
      <c r="AA119" s="2"/>
      <c r="AB119" s="2"/>
      <c r="AC119" s="2"/>
      <c r="AD119" s="2"/>
    </row>
    <row r="120" spans="1:30" ht="13" x14ac:dyDescent="0.3">
      <c r="A120" s="2"/>
      <c r="B120" s="2"/>
      <c r="C120" s="11"/>
      <c r="D120" s="335" t="s">
        <v>14</v>
      </c>
      <c r="E120" s="224"/>
      <c r="F120" s="224"/>
      <c r="G120" s="224"/>
      <c r="H120" s="224"/>
      <c r="I120" s="224"/>
      <c r="J120" s="224"/>
      <c r="K120" s="224"/>
      <c r="L120" s="224"/>
      <c r="M120" s="224"/>
      <c r="N120" s="273"/>
      <c r="O120" s="340">
        <f>SUM(O59:P119)</f>
        <v>0</v>
      </c>
      <c r="P120" s="273"/>
      <c r="Q120" s="113"/>
      <c r="R120" s="113"/>
      <c r="S120" s="113"/>
      <c r="T120" s="113"/>
      <c r="U120" s="113"/>
      <c r="V120" s="114"/>
      <c r="W120" s="30"/>
      <c r="X120" s="2"/>
      <c r="Y120" s="2"/>
      <c r="Z120" s="2"/>
      <c r="AA120" s="2"/>
      <c r="AB120" s="2"/>
      <c r="AC120" s="2"/>
      <c r="AD120" s="2"/>
    </row>
    <row r="121" spans="1:30" ht="12.5" x14ac:dyDescent="0.25">
      <c r="A121" s="2"/>
      <c r="B121" s="2"/>
      <c r="C121" s="2"/>
      <c r="D121" s="35"/>
      <c r="E121" s="35"/>
      <c r="F121" s="35"/>
      <c r="G121" s="35"/>
      <c r="H121" s="35"/>
      <c r="I121" s="35"/>
      <c r="J121" s="4"/>
      <c r="K121" s="4"/>
      <c r="L121" s="4"/>
      <c r="M121" s="4"/>
      <c r="N121" s="4"/>
      <c r="O121" s="4"/>
      <c r="P121" s="4"/>
      <c r="Q121" s="35"/>
      <c r="R121" s="35"/>
      <c r="S121" s="35"/>
      <c r="T121" s="35"/>
      <c r="U121" s="35"/>
      <c r="V121" s="35"/>
      <c r="W121" s="2"/>
      <c r="X121" s="2"/>
      <c r="Y121" s="2"/>
      <c r="Z121" s="2"/>
      <c r="AA121" s="2"/>
      <c r="AB121" s="2"/>
      <c r="AC121" s="2"/>
      <c r="AD121" s="2"/>
    </row>
    <row r="122" spans="1:30" ht="12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3"/>
      <c r="K122" s="3"/>
      <c r="L122" s="3"/>
      <c r="M122" s="3"/>
      <c r="N122" s="3"/>
      <c r="O122" s="3"/>
      <c r="P122" s="3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2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3"/>
      <c r="K123" s="3"/>
      <c r="L123" s="3"/>
      <c r="M123" s="3"/>
      <c r="N123" s="3"/>
      <c r="O123" s="3"/>
      <c r="P123" s="3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2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3"/>
      <c r="K124" s="3"/>
      <c r="L124" s="3"/>
      <c r="M124" s="3"/>
      <c r="N124" s="3"/>
      <c r="O124" s="3"/>
      <c r="P124" s="3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2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3"/>
      <c r="K125" s="3"/>
      <c r="L125" s="3"/>
      <c r="M125" s="3"/>
      <c r="N125" s="3"/>
      <c r="O125" s="3"/>
      <c r="P125" s="3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2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3"/>
      <c r="K126" s="3"/>
      <c r="L126" s="3"/>
      <c r="M126" s="3"/>
      <c r="N126" s="3"/>
      <c r="O126" s="3"/>
      <c r="P126" s="3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2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3"/>
      <c r="K127" s="3"/>
      <c r="L127" s="3"/>
      <c r="M127" s="3"/>
      <c r="N127" s="3"/>
      <c r="O127" s="3"/>
      <c r="P127" s="3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2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3"/>
      <c r="K128" s="3"/>
      <c r="L128" s="3"/>
      <c r="M128" s="3"/>
      <c r="N128" s="3"/>
      <c r="O128" s="3"/>
      <c r="P128" s="3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2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3"/>
      <c r="K129" s="3"/>
      <c r="L129" s="3"/>
      <c r="M129" s="3"/>
      <c r="N129" s="3"/>
      <c r="O129" s="3"/>
      <c r="P129" s="3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2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3"/>
      <c r="K130" s="3"/>
      <c r="L130" s="3"/>
      <c r="M130" s="3"/>
      <c r="N130" s="3"/>
      <c r="O130" s="3"/>
      <c r="P130" s="3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2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3"/>
      <c r="K131" s="3"/>
      <c r="L131" s="3"/>
      <c r="M131" s="3"/>
      <c r="N131" s="3"/>
      <c r="O131" s="3"/>
      <c r="P131" s="3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2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3"/>
      <c r="K132" s="3"/>
      <c r="L132" s="3"/>
      <c r="M132" s="3"/>
      <c r="N132" s="3"/>
      <c r="O132" s="3"/>
      <c r="P132" s="3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2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3"/>
      <c r="K133" s="3"/>
      <c r="L133" s="3"/>
      <c r="M133" s="3"/>
      <c r="N133" s="3"/>
      <c r="O133" s="3"/>
      <c r="P133" s="3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2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3"/>
      <c r="K134" s="3"/>
      <c r="L134" s="3"/>
      <c r="M134" s="3"/>
      <c r="N134" s="3"/>
      <c r="O134" s="3"/>
      <c r="P134" s="3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2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3"/>
      <c r="K135" s="3"/>
      <c r="L135" s="3"/>
      <c r="M135" s="3"/>
      <c r="N135" s="3"/>
      <c r="O135" s="3"/>
      <c r="P135" s="3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2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3"/>
      <c r="K136" s="3"/>
      <c r="L136" s="3"/>
      <c r="M136" s="3"/>
      <c r="N136" s="3"/>
      <c r="O136" s="3"/>
      <c r="P136" s="3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2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3"/>
      <c r="K137" s="3"/>
      <c r="L137" s="3"/>
      <c r="M137" s="3"/>
      <c r="N137" s="3"/>
      <c r="O137" s="3"/>
      <c r="P137" s="3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2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3"/>
      <c r="K138" s="3"/>
      <c r="L138" s="3"/>
      <c r="M138" s="3"/>
      <c r="N138" s="3"/>
      <c r="O138" s="3"/>
      <c r="P138" s="3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2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3"/>
      <c r="K139" s="3"/>
      <c r="L139" s="3"/>
      <c r="M139" s="3"/>
      <c r="N139" s="3"/>
      <c r="O139" s="3"/>
      <c r="P139" s="3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2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3"/>
      <c r="K140" s="3"/>
      <c r="L140" s="3"/>
      <c r="M140" s="3"/>
      <c r="N140" s="3"/>
      <c r="O140" s="3"/>
      <c r="P140" s="3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2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3"/>
      <c r="K141" s="3"/>
      <c r="L141" s="3"/>
      <c r="M141" s="3"/>
      <c r="N141" s="3"/>
      <c r="O141" s="3"/>
      <c r="P141" s="3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2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3"/>
      <c r="K142" s="3"/>
      <c r="L142" s="3"/>
      <c r="M142" s="3"/>
      <c r="N142" s="3"/>
      <c r="O142" s="3"/>
      <c r="P142" s="3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2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3"/>
      <c r="K143" s="3"/>
      <c r="L143" s="3"/>
      <c r="M143" s="3"/>
      <c r="N143" s="3"/>
      <c r="O143" s="3"/>
      <c r="P143" s="3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2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3"/>
      <c r="K144" s="3"/>
      <c r="L144" s="3"/>
      <c r="M144" s="3"/>
      <c r="N144" s="3"/>
      <c r="O144" s="3"/>
      <c r="P144" s="3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2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3"/>
      <c r="K145" s="3"/>
      <c r="L145" s="3"/>
      <c r="M145" s="3"/>
      <c r="N145" s="3"/>
      <c r="O145" s="3"/>
      <c r="P145" s="3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2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3"/>
      <c r="K146" s="3"/>
      <c r="L146" s="3"/>
      <c r="M146" s="3"/>
      <c r="N146" s="3"/>
      <c r="O146" s="3"/>
      <c r="P146" s="3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2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3"/>
      <c r="K147" s="3"/>
      <c r="L147" s="3"/>
      <c r="M147" s="3"/>
      <c r="N147" s="3"/>
      <c r="O147" s="3"/>
      <c r="P147" s="3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2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3"/>
      <c r="K148" s="3"/>
      <c r="L148" s="3"/>
      <c r="M148" s="3"/>
      <c r="N148" s="3"/>
      <c r="O148" s="3"/>
      <c r="P148" s="3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2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3"/>
      <c r="K149" s="3"/>
      <c r="L149" s="3"/>
      <c r="M149" s="3"/>
      <c r="N149" s="3"/>
      <c r="O149" s="3"/>
      <c r="P149" s="3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2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3"/>
      <c r="K150" s="3"/>
      <c r="L150" s="3"/>
      <c r="M150" s="3"/>
      <c r="N150" s="3"/>
      <c r="O150" s="3"/>
      <c r="P150" s="3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2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3"/>
      <c r="K151" s="3"/>
      <c r="L151" s="3"/>
      <c r="M151" s="3"/>
      <c r="N151" s="3"/>
      <c r="O151" s="3"/>
      <c r="P151" s="3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2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3"/>
      <c r="K152" s="3"/>
      <c r="L152" s="3"/>
      <c r="M152" s="3"/>
      <c r="N152" s="3"/>
      <c r="O152" s="3"/>
      <c r="P152" s="3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2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3"/>
      <c r="K153" s="3"/>
      <c r="L153" s="3"/>
      <c r="M153" s="3"/>
      <c r="N153" s="3"/>
      <c r="O153" s="3"/>
      <c r="P153" s="3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2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3"/>
      <c r="K154" s="3"/>
      <c r="L154" s="3"/>
      <c r="M154" s="3"/>
      <c r="N154" s="3"/>
      <c r="O154" s="3"/>
      <c r="P154" s="3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2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3"/>
      <c r="K155" s="3"/>
      <c r="L155" s="3"/>
      <c r="M155" s="3"/>
      <c r="N155" s="3"/>
      <c r="O155" s="3"/>
      <c r="P155" s="3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2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3"/>
      <c r="K156" s="3"/>
      <c r="L156" s="3"/>
      <c r="M156" s="3"/>
      <c r="N156" s="3"/>
      <c r="O156" s="3"/>
      <c r="P156" s="3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2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3"/>
      <c r="K157" s="3"/>
      <c r="L157" s="3"/>
      <c r="M157" s="3"/>
      <c r="N157" s="3"/>
      <c r="O157" s="3"/>
      <c r="P157" s="3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2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3"/>
      <c r="K158" s="3"/>
      <c r="L158" s="3"/>
      <c r="M158" s="3"/>
      <c r="N158" s="3"/>
      <c r="O158" s="3"/>
      <c r="P158" s="3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2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3"/>
      <c r="K159" s="3"/>
      <c r="L159" s="3"/>
      <c r="M159" s="3"/>
      <c r="N159" s="3"/>
      <c r="O159" s="3"/>
      <c r="P159" s="3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2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3"/>
      <c r="K160" s="3"/>
      <c r="L160" s="3"/>
      <c r="M160" s="3"/>
      <c r="N160" s="3"/>
      <c r="O160" s="3"/>
      <c r="P160" s="3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2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3"/>
      <c r="K161" s="3"/>
      <c r="L161" s="3"/>
      <c r="M161" s="3"/>
      <c r="N161" s="3"/>
      <c r="O161" s="3"/>
      <c r="P161" s="3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2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3"/>
      <c r="K162" s="3"/>
      <c r="L162" s="3"/>
      <c r="M162" s="3"/>
      <c r="N162" s="3"/>
      <c r="O162" s="3"/>
      <c r="P162" s="3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2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3"/>
      <c r="K163" s="3"/>
      <c r="L163" s="3"/>
      <c r="M163" s="3"/>
      <c r="N163" s="3"/>
      <c r="O163" s="3"/>
      <c r="P163" s="3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2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3"/>
      <c r="K164" s="3"/>
      <c r="L164" s="3"/>
      <c r="M164" s="3"/>
      <c r="N164" s="3"/>
      <c r="O164" s="3"/>
      <c r="P164" s="3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2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3"/>
      <c r="K165" s="3"/>
      <c r="L165" s="3"/>
      <c r="M165" s="3"/>
      <c r="N165" s="3"/>
      <c r="O165" s="3"/>
      <c r="P165" s="3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2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3"/>
      <c r="K166" s="3"/>
      <c r="L166" s="3"/>
      <c r="M166" s="3"/>
      <c r="N166" s="3"/>
      <c r="O166" s="3"/>
      <c r="P166" s="3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2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3"/>
      <c r="K167" s="3"/>
      <c r="L167" s="3"/>
      <c r="M167" s="3"/>
      <c r="N167" s="3"/>
      <c r="O167" s="3"/>
      <c r="P167" s="3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2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3"/>
      <c r="K168" s="3"/>
      <c r="L168" s="3"/>
      <c r="M168" s="3"/>
      <c r="N168" s="3"/>
      <c r="O168" s="3"/>
      <c r="P168" s="3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2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3"/>
      <c r="K169" s="3"/>
      <c r="L169" s="3"/>
      <c r="M169" s="3"/>
      <c r="N169" s="3"/>
      <c r="O169" s="3"/>
      <c r="P169" s="3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2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3"/>
      <c r="K170" s="3"/>
      <c r="L170" s="3"/>
      <c r="M170" s="3"/>
      <c r="N170" s="3"/>
      <c r="O170" s="3"/>
      <c r="P170" s="3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2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3"/>
      <c r="K171" s="3"/>
      <c r="L171" s="3"/>
      <c r="M171" s="3"/>
      <c r="N171" s="3"/>
      <c r="O171" s="3"/>
      <c r="P171" s="3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2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3"/>
      <c r="K172" s="3"/>
      <c r="L172" s="3"/>
      <c r="M172" s="3"/>
      <c r="N172" s="3"/>
      <c r="O172" s="3"/>
      <c r="P172" s="3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2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3"/>
      <c r="K173" s="3"/>
      <c r="L173" s="3"/>
      <c r="M173" s="3"/>
      <c r="N173" s="3"/>
      <c r="O173" s="3"/>
      <c r="P173" s="3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2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3"/>
      <c r="K174" s="3"/>
      <c r="L174" s="3"/>
      <c r="M174" s="3"/>
      <c r="N174" s="3"/>
      <c r="O174" s="3"/>
      <c r="P174" s="3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2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3"/>
      <c r="K175" s="3"/>
      <c r="L175" s="3"/>
      <c r="M175" s="3"/>
      <c r="N175" s="3"/>
      <c r="O175" s="3"/>
      <c r="P175" s="3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2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3"/>
      <c r="K176" s="3"/>
      <c r="L176" s="3"/>
      <c r="M176" s="3"/>
      <c r="N176" s="3"/>
      <c r="O176" s="3"/>
      <c r="P176" s="3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2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3"/>
      <c r="K177" s="3"/>
      <c r="L177" s="3"/>
      <c r="M177" s="3"/>
      <c r="N177" s="3"/>
      <c r="O177" s="3"/>
      <c r="P177" s="3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2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3"/>
      <c r="K178" s="3"/>
      <c r="L178" s="3"/>
      <c r="M178" s="3"/>
      <c r="N178" s="3"/>
      <c r="O178" s="3"/>
      <c r="P178" s="3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2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3"/>
      <c r="K179" s="3"/>
      <c r="L179" s="3"/>
      <c r="M179" s="3"/>
      <c r="N179" s="3"/>
      <c r="O179" s="3"/>
      <c r="P179" s="3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2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3"/>
      <c r="K180" s="3"/>
      <c r="L180" s="3"/>
      <c r="M180" s="3"/>
      <c r="N180" s="3"/>
      <c r="O180" s="3"/>
      <c r="P180" s="3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2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3"/>
      <c r="K181" s="3"/>
      <c r="L181" s="3"/>
      <c r="M181" s="3"/>
      <c r="N181" s="3"/>
      <c r="O181" s="3"/>
      <c r="P181" s="3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2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3"/>
      <c r="K182" s="3"/>
      <c r="L182" s="3"/>
      <c r="M182" s="3"/>
      <c r="N182" s="3"/>
      <c r="O182" s="3"/>
      <c r="P182" s="3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2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3"/>
      <c r="K183" s="3"/>
      <c r="L183" s="3"/>
      <c r="M183" s="3"/>
      <c r="N183" s="3"/>
      <c r="O183" s="3"/>
      <c r="P183" s="3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2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3"/>
      <c r="K184" s="3"/>
      <c r="L184" s="3"/>
      <c r="M184" s="3"/>
      <c r="N184" s="3"/>
      <c r="O184" s="3"/>
      <c r="P184" s="3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2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3"/>
      <c r="K185" s="3"/>
      <c r="L185" s="3"/>
      <c r="M185" s="3"/>
      <c r="N185" s="3"/>
      <c r="O185" s="3"/>
      <c r="P185" s="3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2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3"/>
      <c r="K186" s="3"/>
      <c r="L186" s="3"/>
      <c r="M186" s="3"/>
      <c r="N186" s="3"/>
      <c r="O186" s="3"/>
      <c r="P186" s="3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2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3"/>
      <c r="K187" s="3"/>
      <c r="L187" s="3"/>
      <c r="M187" s="3"/>
      <c r="N187" s="3"/>
      <c r="O187" s="3"/>
      <c r="P187" s="3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2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3"/>
      <c r="K188" s="3"/>
      <c r="L188" s="3"/>
      <c r="M188" s="3"/>
      <c r="N188" s="3"/>
      <c r="O188" s="3"/>
      <c r="P188" s="3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2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3"/>
      <c r="K189" s="3"/>
      <c r="L189" s="3"/>
      <c r="M189" s="3"/>
      <c r="N189" s="3"/>
      <c r="O189" s="3"/>
      <c r="P189" s="3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2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3"/>
      <c r="K190" s="3"/>
      <c r="L190" s="3"/>
      <c r="M190" s="3"/>
      <c r="N190" s="3"/>
      <c r="O190" s="3"/>
      <c r="P190" s="3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2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3"/>
      <c r="K191" s="3"/>
      <c r="L191" s="3"/>
      <c r="M191" s="3"/>
      <c r="N191" s="3"/>
      <c r="O191" s="3"/>
      <c r="P191" s="3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3"/>
      <c r="K192" s="3"/>
      <c r="L192" s="3"/>
      <c r="M192" s="3"/>
      <c r="N192" s="3"/>
      <c r="O192" s="3"/>
      <c r="P192" s="3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3"/>
      <c r="K193" s="3"/>
      <c r="L193" s="3"/>
      <c r="M193" s="3"/>
      <c r="N193" s="3"/>
      <c r="O193" s="3"/>
      <c r="P193" s="3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3"/>
      <c r="K194" s="3"/>
      <c r="L194" s="3"/>
      <c r="M194" s="3"/>
      <c r="N194" s="3"/>
      <c r="O194" s="3"/>
      <c r="P194" s="3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3"/>
      <c r="K195" s="3"/>
      <c r="L195" s="3"/>
      <c r="M195" s="3"/>
      <c r="N195" s="3"/>
      <c r="O195" s="3"/>
      <c r="P195" s="3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3"/>
      <c r="K196" s="3"/>
      <c r="L196" s="3"/>
      <c r="M196" s="3"/>
      <c r="N196" s="3"/>
      <c r="O196" s="3"/>
      <c r="P196" s="3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3"/>
      <c r="K197" s="3"/>
      <c r="L197" s="3"/>
      <c r="M197" s="3"/>
      <c r="N197" s="3"/>
      <c r="O197" s="3"/>
      <c r="P197" s="3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3"/>
      <c r="K198" s="3"/>
      <c r="L198" s="3"/>
      <c r="M198" s="3"/>
      <c r="N198" s="3"/>
      <c r="O198" s="3"/>
      <c r="P198" s="3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3"/>
      <c r="K199" s="3"/>
      <c r="L199" s="3"/>
      <c r="M199" s="3"/>
      <c r="N199" s="3"/>
      <c r="O199" s="3"/>
      <c r="P199" s="3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3"/>
      <c r="K200" s="3"/>
      <c r="L200" s="3"/>
      <c r="M200" s="3"/>
      <c r="N200" s="3"/>
      <c r="O200" s="3"/>
      <c r="P200" s="3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3"/>
      <c r="K201" s="3"/>
      <c r="L201" s="3"/>
      <c r="M201" s="3"/>
      <c r="N201" s="3"/>
      <c r="O201" s="3"/>
      <c r="P201" s="3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3"/>
      <c r="K202" s="3"/>
      <c r="L202" s="3"/>
      <c r="M202" s="3"/>
      <c r="N202" s="3"/>
      <c r="O202" s="3"/>
      <c r="P202" s="3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3"/>
      <c r="K203" s="3"/>
      <c r="L203" s="3"/>
      <c r="M203" s="3"/>
      <c r="N203" s="3"/>
      <c r="O203" s="3"/>
      <c r="P203" s="3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3"/>
      <c r="K204" s="3"/>
      <c r="L204" s="3"/>
      <c r="M204" s="3"/>
      <c r="N204" s="3"/>
      <c r="O204" s="3"/>
      <c r="P204" s="3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3"/>
      <c r="K205" s="3"/>
      <c r="L205" s="3"/>
      <c r="M205" s="3"/>
      <c r="N205" s="3"/>
      <c r="O205" s="3"/>
      <c r="P205" s="3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3"/>
      <c r="K206" s="3"/>
      <c r="L206" s="3"/>
      <c r="M206" s="3"/>
      <c r="N206" s="3"/>
      <c r="O206" s="3"/>
      <c r="P206" s="3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3"/>
      <c r="K207" s="3"/>
      <c r="L207" s="3"/>
      <c r="M207" s="3"/>
      <c r="N207" s="3"/>
      <c r="O207" s="3"/>
      <c r="P207" s="3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3"/>
      <c r="K208" s="3"/>
      <c r="L208" s="3"/>
      <c r="M208" s="3"/>
      <c r="N208" s="3"/>
      <c r="O208" s="3"/>
      <c r="P208" s="3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3"/>
      <c r="K209" s="3"/>
      <c r="L209" s="3"/>
      <c r="M209" s="3"/>
      <c r="N209" s="3"/>
      <c r="O209" s="3"/>
      <c r="P209" s="3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3"/>
      <c r="K210" s="3"/>
      <c r="L210" s="3"/>
      <c r="M210" s="3"/>
      <c r="N210" s="3"/>
      <c r="O210" s="3"/>
      <c r="P210" s="3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3"/>
      <c r="K211" s="3"/>
      <c r="L211" s="3"/>
      <c r="M211" s="3"/>
      <c r="N211" s="3"/>
      <c r="O211" s="3"/>
      <c r="P211" s="3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3"/>
      <c r="K212" s="3"/>
      <c r="L212" s="3"/>
      <c r="M212" s="3"/>
      <c r="N212" s="3"/>
      <c r="O212" s="3"/>
      <c r="P212" s="3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3"/>
      <c r="K213" s="3"/>
      <c r="L213" s="3"/>
      <c r="M213" s="3"/>
      <c r="N213" s="3"/>
      <c r="O213" s="3"/>
      <c r="P213" s="3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3"/>
      <c r="K214" s="3"/>
      <c r="L214" s="3"/>
      <c r="M214" s="3"/>
      <c r="N214" s="3"/>
      <c r="O214" s="3"/>
      <c r="P214" s="3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3"/>
      <c r="K215" s="3"/>
      <c r="L215" s="3"/>
      <c r="M215" s="3"/>
      <c r="N215" s="3"/>
      <c r="O215" s="3"/>
      <c r="P215" s="3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3"/>
      <c r="K216" s="3"/>
      <c r="L216" s="3"/>
      <c r="M216" s="3"/>
      <c r="N216" s="3"/>
      <c r="O216" s="3"/>
      <c r="P216" s="3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3"/>
      <c r="K217" s="3"/>
      <c r="L217" s="3"/>
      <c r="M217" s="3"/>
      <c r="N217" s="3"/>
      <c r="O217" s="3"/>
      <c r="P217" s="3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3"/>
      <c r="K218" s="3"/>
      <c r="L218" s="3"/>
      <c r="M218" s="3"/>
      <c r="N218" s="3"/>
      <c r="O218" s="3"/>
      <c r="P218" s="3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3"/>
      <c r="K219" s="3"/>
      <c r="L219" s="3"/>
      <c r="M219" s="3"/>
      <c r="N219" s="3"/>
      <c r="O219" s="3"/>
      <c r="P219" s="3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3"/>
      <c r="K220" s="3"/>
      <c r="L220" s="3"/>
      <c r="M220" s="3"/>
      <c r="N220" s="3"/>
      <c r="O220" s="3"/>
      <c r="P220" s="3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3"/>
      <c r="K221" s="3"/>
      <c r="L221" s="3"/>
      <c r="M221" s="3"/>
      <c r="N221" s="3"/>
      <c r="O221" s="3"/>
      <c r="P221" s="3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3"/>
      <c r="K222" s="3"/>
      <c r="L222" s="3"/>
      <c r="M222" s="3"/>
      <c r="N222" s="3"/>
      <c r="O222" s="3"/>
      <c r="P222" s="3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3"/>
      <c r="K223" s="3"/>
      <c r="L223" s="3"/>
      <c r="M223" s="3"/>
      <c r="N223" s="3"/>
      <c r="O223" s="3"/>
      <c r="P223" s="3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3"/>
      <c r="K224" s="3"/>
      <c r="L224" s="3"/>
      <c r="M224" s="3"/>
      <c r="N224" s="3"/>
      <c r="O224" s="3"/>
      <c r="P224" s="3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3"/>
      <c r="K225" s="3"/>
      <c r="L225" s="3"/>
      <c r="M225" s="3"/>
      <c r="N225" s="3"/>
      <c r="O225" s="3"/>
      <c r="P225" s="3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3"/>
      <c r="K226" s="3"/>
      <c r="L226" s="3"/>
      <c r="M226" s="3"/>
      <c r="N226" s="3"/>
      <c r="O226" s="3"/>
      <c r="P226" s="3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3"/>
      <c r="K227" s="3"/>
      <c r="L227" s="3"/>
      <c r="M227" s="3"/>
      <c r="N227" s="3"/>
      <c r="O227" s="3"/>
      <c r="P227" s="3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3"/>
      <c r="K228" s="3"/>
      <c r="L228" s="3"/>
      <c r="M228" s="3"/>
      <c r="N228" s="3"/>
      <c r="O228" s="3"/>
      <c r="P228" s="3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3"/>
      <c r="K229" s="3"/>
      <c r="L229" s="3"/>
      <c r="M229" s="3"/>
      <c r="N229" s="3"/>
      <c r="O229" s="3"/>
      <c r="P229" s="3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3"/>
      <c r="K230" s="3"/>
      <c r="L230" s="3"/>
      <c r="M230" s="3"/>
      <c r="N230" s="3"/>
      <c r="O230" s="3"/>
      <c r="P230" s="3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3"/>
      <c r="K231" s="3"/>
      <c r="L231" s="3"/>
      <c r="M231" s="3"/>
      <c r="N231" s="3"/>
      <c r="O231" s="3"/>
      <c r="P231" s="3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3"/>
      <c r="K232" s="3"/>
      <c r="L232" s="3"/>
      <c r="M232" s="3"/>
      <c r="N232" s="3"/>
      <c r="O232" s="3"/>
      <c r="P232" s="3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3"/>
      <c r="K233" s="3"/>
      <c r="L233" s="3"/>
      <c r="M233" s="3"/>
      <c r="N233" s="3"/>
      <c r="O233" s="3"/>
      <c r="P233" s="3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3"/>
      <c r="K234" s="3"/>
      <c r="L234" s="3"/>
      <c r="M234" s="3"/>
      <c r="N234" s="3"/>
      <c r="O234" s="3"/>
      <c r="P234" s="3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3"/>
      <c r="K235" s="3"/>
      <c r="L235" s="3"/>
      <c r="M235" s="3"/>
      <c r="N235" s="3"/>
      <c r="O235" s="3"/>
      <c r="P235" s="3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3"/>
      <c r="K236" s="3"/>
      <c r="L236" s="3"/>
      <c r="M236" s="3"/>
      <c r="N236" s="3"/>
      <c r="O236" s="3"/>
      <c r="P236" s="3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3"/>
      <c r="K237" s="3"/>
      <c r="L237" s="3"/>
      <c r="M237" s="3"/>
      <c r="N237" s="3"/>
      <c r="O237" s="3"/>
      <c r="P237" s="3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3"/>
      <c r="K238" s="3"/>
      <c r="L238" s="3"/>
      <c r="M238" s="3"/>
      <c r="N238" s="3"/>
      <c r="O238" s="3"/>
      <c r="P238" s="3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3"/>
      <c r="K239" s="3"/>
      <c r="L239" s="3"/>
      <c r="M239" s="3"/>
      <c r="N239" s="3"/>
      <c r="O239" s="3"/>
      <c r="P239" s="3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3"/>
      <c r="K240" s="3"/>
      <c r="L240" s="3"/>
      <c r="M240" s="3"/>
      <c r="N240" s="3"/>
      <c r="O240" s="3"/>
      <c r="P240" s="3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3"/>
      <c r="K241" s="3"/>
      <c r="L241" s="3"/>
      <c r="M241" s="3"/>
      <c r="N241" s="3"/>
      <c r="O241" s="3"/>
      <c r="P241" s="3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3"/>
      <c r="K242" s="3"/>
      <c r="L242" s="3"/>
      <c r="M242" s="3"/>
      <c r="N242" s="3"/>
      <c r="O242" s="3"/>
      <c r="P242" s="3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3"/>
      <c r="K243" s="3"/>
      <c r="L243" s="3"/>
      <c r="M243" s="3"/>
      <c r="N243" s="3"/>
      <c r="O243" s="3"/>
      <c r="P243" s="3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3"/>
      <c r="K244" s="3"/>
      <c r="L244" s="3"/>
      <c r="M244" s="3"/>
      <c r="N244" s="3"/>
      <c r="O244" s="3"/>
      <c r="P244" s="3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3"/>
      <c r="K245" s="3"/>
      <c r="L245" s="3"/>
      <c r="M245" s="3"/>
      <c r="N245" s="3"/>
      <c r="O245" s="3"/>
      <c r="P245" s="3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3"/>
      <c r="K246" s="3"/>
      <c r="L246" s="3"/>
      <c r="M246" s="3"/>
      <c r="N246" s="3"/>
      <c r="O246" s="3"/>
      <c r="P246" s="3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3"/>
      <c r="K247" s="3"/>
      <c r="L247" s="3"/>
      <c r="M247" s="3"/>
      <c r="N247" s="3"/>
      <c r="O247" s="3"/>
      <c r="P247" s="3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3"/>
      <c r="K248" s="3"/>
      <c r="L248" s="3"/>
      <c r="M248" s="3"/>
      <c r="N248" s="3"/>
      <c r="O248" s="3"/>
      <c r="P248" s="3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3"/>
      <c r="K249" s="3"/>
      <c r="L249" s="3"/>
      <c r="M249" s="3"/>
      <c r="N249" s="3"/>
      <c r="O249" s="3"/>
      <c r="P249" s="3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3"/>
      <c r="K250" s="3"/>
      <c r="L250" s="3"/>
      <c r="M250" s="3"/>
      <c r="N250" s="3"/>
      <c r="O250" s="3"/>
      <c r="P250" s="3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3"/>
      <c r="K251" s="3"/>
      <c r="L251" s="3"/>
      <c r="M251" s="3"/>
      <c r="N251" s="3"/>
      <c r="O251" s="3"/>
      <c r="P251" s="3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3"/>
      <c r="K252" s="3"/>
      <c r="L252" s="3"/>
      <c r="M252" s="3"/>
      <c r="N252" s="3"/>
      <c r="O252" s="3"/>
      <c r="P252" s="3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3"/>
      <c r="K253" s="3"/>
      <c r="L253" s="3"/>
      <c r="M253" s="3"/>
      <c r="N253" s="3"/>
      <c r="O253" s="3"/>
      <c r="P253" s="3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3"/>
      <c r="K254" s="3"/>
      <c r="L254" s="3"/>
      <c r="M254" s="3"/>
      <c r="N254" s="3"/>
      <c r="O254" s="3"/>
      <c r="P254" s="3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3"/>
      <c r="K255" s="3"/>
      <c r="L255" s="3"/>
      <c r="M255" s="3"/>
      <c r="N255" s="3"/>
      <c r="O255" s="3"/>
      <c r="P255" s="3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3"/>
      <c r="K256" s="3"/>
      <c r="L256" s="3"/>
      <c r="M256" s="3"/>
      <c r="N256" s="3"/>
      <c r="O256" s="3"/>
      <c r="P256" s="3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3"/>
      <c r="K257" s="3"/>
      <c r="L257" s="3"/>
      <c r="M257" s="3"/>
      <c r="N257" s="3"/>
      <c r="O257" s="3"/>
      <c r="P257" s="3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3"/>
      <c r="K258" s="3"/>
      <c r="L258" s="3"/>
      <c r="M258" s="3"/>
      <c r="N258" s="3"/>
      <c r="O258" s="3"/>
      <c r="P258" s="3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3"/>
      <c r="K259" s="3"/>
      <c r="L259" s="3"/>
      <c r="M259" s="3"/>
      <c r="N259" s="3"/>
      <c r="O259" s="3"/>
      <c r="P259" s="3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3"/>
      <c r="K260" s="3"/>
      <c r="L260" s="3"/>
      <c r="M260" s="3"/>
      <c r="N260" s="3"/>
      <c r="O260" s="3"/>
      <c r="P260" s="3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3"/>
      <c r="K261" s="3"/>
      <c r="L261" s="3"/>
      <c r="M261" s="3"/>
      <c r="N261" s="3"/>
      <c r="O261" s="3"/>
      <c r="P261" s="3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3"/>
      <c r="K262" s="3"/>
      <c r="L262" s="3"/>
      <c r="M262" s="3"/>
      <c r="N262" s="3"/>
      <c r="O262" s="3"/>
      <c r="P262" s="3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3"/>
      <c r="K263" s="3"/>
      <c r="L263" s="3"/>
      <c r="M263" s="3"/>
      <c r="N263" s="3"/>
      <c r="O263" s="3"/>
      <c r="P263" s="3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3"/>
      <c r="K264" s="3"/>
      <c r="L264" s="3"/>
      <c r="M264" s="3"/>
      <c r="N264" s="3"/>
      <c r="O264" s="3"/>
      <c r="P264" s="3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3"/>
      <c r="K265" s="3"/>
      <c r="L265" s="3"/>
      <c r="M265" s="3"/>
      <c r="N265" s="3"/>
      <c r="O265" s="3"/>
      <c r="P265" s="3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3"/>
      <c r="K266" s="3"/>
      <c r="L266" s="3"/>
      <c r="M266" s="3"/>
      <c r="N266" s="3"/>
      <c r="O266" s="3"/>
      <c r="P266" s="3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3"/>
      <c r="K267" s="3"/>
      <c r="L267" s="3"/>
      <c r="M267" s="3"/>
      <c r="N267" s="3"/>
      <c r="O267" s="3"/>
      <c r="P267" s="3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3"/>
      <c r="K268" s="3"/>
      <c r="L268" s="3"/>
      <c r="M268" s="3"/>
      <c r="N268" s="3"/>
      <c r="O268" s="3"/>
      <c r="P268" s="3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3"/>
      <c r="K269" s="3"/>
      <c r="L269" s="3"/>
      <c r="M269" s="3"/>
      <c r="N269" s="3"/>
      <c r="O269" s="3"/>
      <c r="P269" s="3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3"/>
      <c r="K270" s="3"/>
      <c r="L270" s="3"/>
      <c r="M270" s="3"/>
      <c r="N270" s="3"/>
      <c r="O270" s="3"/>
      <c r="P270" s="3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3"/>
      <c r="K271" s="3"/>
      <c r="L271" s="3"/>
      <c r="M271" s="3"/>
      <c r="N271" s="3"/>
      <c r="O271" s="3"/>
      <c r="P271" s="3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3"/>
      <c r="K272" s="3"/>
      <c r="L272" s="3"/>
      <c r="M272" s="3"/>
      <c r="N272" s="3"/>
      <c r="O272" s="3"/>
      <c r="P272" s="3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3"/>
      <c r="K273" s="3"/>
      <c r="L273" s="3"/>
      <c r="M273" s="3"/>
      <c r="N273" s="3"/>
      <c r="O273" s="3"/>
      <c r="P273" s="3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3"/>
      <c r="K274" s="3"/>
      <c r="L274" s="3"/>
      <c r="M274" s="3"/>
      <c r="N274" s="3"/>
      <c r="O274" s="3"/>
      <c r="P274" s="3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3"/>
      <c r="K275" s="3"/>
      <c r="L275" s="3"/>
      <c r="M275" s="3"/>
      <c r="N275" s="3"/>
      <c r="O275" s="3"/>
      <c r="P275" s="3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3"/>
      <c r="K276" s="3"/>
      <c r="L276" s="3"/>
      <c r="M276" s="3"/>
      <c r="N276" s="3"/>
      <c r="O276" s="3"/>
      <c r="P276" s="3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3"/>
      <c r="K277" s="3"/>
      <c r="L277" s="3"/>
      <c r="M277" s="3"/>
      <c r="N277" s="3"/>
      <c r="O277" s="3"/>
      <c r="P277" s="3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3"/>
      <c r="K278" s="3"/>
      <c r="L278" s="3"/>
      <c r="M278" s="3"/>
      <c r="N278" s="3"/>
      <c r="O278" s="3"/>
      <c r="P278" s="3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3"/>
      <c r="K279" s="3"/>
      <c r="L279" s="3"/>
      <c r="M279" s="3"/>
      <c r="N279" s="3"/>
      <c r="O279" s="3"/>
      <c r="P279" s="3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3"/>
      <c r="K280" s="3"/>
      <c r="L280" s="3"/>
      <c r="M280" s="3"/>
      <c r="N280" s="3"/>
      <c r="O280" s="3"/>
      <c r="P280" s="3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3"/>
      <c r="K281" s="3"/>
      <c r="L281" s="3"/>
      <c r="M281" s="3"/>
      <c r="N281" s="3"/>
      <c r="O281" s="3"/>
      <c r="P281" s="3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3"/>
      <c r="K282" s="3"/>
      <c r="L282" s="3"/>
      <c r="M282" s="3"/>
      <c r="N282" s="3"/>
      <c r="O282" s="3"/>
      <c r="P282" s="3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3"/>
      <c r="K283" s="3"/>
      <c r="L283" s="3"/>
      <c r="M283" s="3"/>
      <c r="N283" s="3"/>
      <c r="O283" s="3"/>
      <c r="P283" s="3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3"/>
      <c r="K284" s="3"/>
      <c r="L284" s="3"/>
      <c r="M284" s="3"/>
      <c r="N284" s="3"/>
      <c r="O284" s="3"/>
      <c r="P284" s="3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3"/>
      <c r="K285" s="3"/>
      <c r="L285" s="3"/>
      <c r="M285" s="3"/>
      <c r="N285" s="3"/>
      <c r="O285" s="3"/>
      <c r="P285" s="3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3"/>
      <c r="K286" s="3"/>
      <c r="L286" s="3"/>
      <c r="M286" s="3"/>
      <c r="N286" s="3"/>
      <c r="O286" s="3"/>
      <c r="P286" s="3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3"/>
      <c r="K287" s="3"/>
      <c r="L287" s="3"/>
      <c r="M287" s="3"/>
      <c r="N287" s="3"/>
      <c r="O287" s="3"/>
      <c r="P287" s="3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3"/>
      <c r="K288" s="3"/>
      <c r="L288" s="3"/>
      <c r="M288" s="3"/>
      <c r="N288" s="3"/>
      <c r="O288" s="3"/>
      <c r="P288" s="3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3"/>
      <c r="K289" s="3"/>
      <c r="L289" s="3"/>
      <c r="M289" s="3"/>
      <c r="N289" s="3"/>
      <c r="O289" s="3"/>
      <c r="P289" s="3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3"/>
      <c r="K290" s="3"/>
      <c r="L290" s="3"/>
      <c r="M290" s="3"/>
      <c r="N290" s="3"/>
      <c r="O290" s="3"/>
      <c r="P290" s="3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3"/>
      <c r="K291" s="3"/>
      <c r="L291" s="3"/>
      <c r="M291" s="3"/>
      <c r="N291" s="3"/>
      <c r="O291" s="3"/>
      <c r="P291" s="3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3"/>
      <c r="K292" s="3"/>
      <c r="L292" s="3"/>
      <c r="M292" s="3"/>
      <c r="N292" s="3"/>
      <c r="O292" s="3"/>
      <c r="P292" s="3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3"/>
      <c r="K293" s="3"/>
      <c r="L293" s="3"/>
      <c r="M293" s="3"/>
      <c r="N293" s="3"/>
      <c r="O293" s="3"/>
      <c r="P293" s="3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3"/>
      <c r="K294" s="3"/>
      <c r="L294" s="3"/>
      <c r="M294" s="3"/>
      <c r="N294" s="3"/>
      <c r="O294" s="3"/>
      <c r="P294" s="3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3"/>
      <c r="K295" s="3"/>
      <c r="L295" s="3"/>
      <c r="M295" s="3"/>
      <c r="N295" s="3"/>
      <c r="O295" s="3"/>
      <c r="P295" s="3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3"/>
      <c r="K296" s="3"/>
      <c r="L296" s="3"/>
      <c r="M296" s="3"/>
      <c r="N296" s="3"/>
      <c r="O296" s="3"/>
      <c r="P296" s="3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3"/>
      <c r="K297" s="3"/>
      <c r="L297" s="3"/>
      <c r="M297" s="3"/>
      <c r="N297" s="3"/>
      <c r="O297" s="3"/>
      <c r="P297" s="3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3"/>
      <c r="K298" s="3"/>
      <c r="L298" s="3"/>
      <c r="M298" s="3"/>
      <c r="N298" s="3"/>
      <c r="O298" s="3"/>
      <c r="P298" s="3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3"/>
      <c r="K299" s="3"/>
      <c r="L299" s="3"/>
      <c r="M299" s="3"/>
      <c r="N299" s="3"/>
      <c r="O299" s="3"/>
      <c r="P299" s="3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3"/>
      <c r="K300" s="3"/>
      <c r="L300" s="3"/>
      <c r="M300" s="3"/>
      <c r="N300" s="3"/>
      <c r="O300" s="3"/>
      <c r="P300" s="3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3"/>
      <c r="K301" s="3"/>
      <c r="L301" s="3"/>
      <c r="M301" s="3"/>
      <c r="N301" s="3"/>
      <c r="O301" s="3"/>
      <c r="P301" s="3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3"/>
      <c r="K302" s="3"/>
      <c r="L302" s="3"/>
      <c r="M302" s="3"/>
      <c r="N302" s="3"/>
      <c r="O302" s="3"/>
      <c r="P302" s="3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3"/>
      <c r="K303" s="3"/>
      <c r="L303" s="3"/>
      <c r="M303" s="3"/>
      <c r="N303" s="3"/>
      <c r="O303" s="3"/>
      <c r="P303" s="3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3"/>
      <c r="K304" s="3"/>
      <c r="L304" s="3"/>
      <c r="M304" s="3"/>
      <c r="N304" s="3"/>
      <c r="O304" s="3"/>
      <c r="P304" s="3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3"/>
      <c r="K305" s="3"/>
      <c r="L305" s="3"/>
      <c r="M305" s="3"/>
      <c r="N305" s="3"/>
      <c r="O305" s="3"/>
      <c r="P305" s="3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3"/>
      <c r="K306" s="3"/>
      <c r="L306" s="3"/>
      <c r="M306" s="3"/>
      <c r="N306" s="3"/>
      <c r="O306" s="3"/>
      <c r="P306" s="3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3"/>
      <c r="K307" s="3"/>
      <c r="L307" s="3"/>
      <c r="M307" s="3"/>
      <c r="N307" s="3"/>
      <c r="O307" s="3"/>
      <c r="P307" s="3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3"/>
      <c r="K308" s="3"/>
      <c r="L308" s="3"/>
      <c r="M308" s="3"/>
      <c r="N308" s="3"/>
      <c r="O308" s="3"/>
      <c r="P308" s="3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3"/>
      <c r="K309" s="3"/>
      <c r="L309" s="3"/>
      <c r="M309" s="3"/>
      <c r="N309" s="3"/>
      <c r="O309" s="3"/>
      <c r="P309" s="3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3"/>
      <c r="K310" s="3"/>
      <c r="L310" s="3"/>
      <c r="M310" s="3"/>
      <c r="N310" s="3"/>
      <c r="O310" s="3"/>
      <c r="P310" s="3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3"/>
      <c r="K311" s="3"/>
      <c r="L311" s="3"/>
      <c r="M311" s="3"/>
      <c r="N311" s="3"/>
      <c r="O311" s="3"/>
      <c r="P311" s="3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3"/>
      <c r="K312" s="3"/>
      <c r="L312" s="3"/>
      <c r="M312" s="3"/>
      <c r="N312" s="3"/>
      <c r="O312" s="3"/>
      <c r="P312" s="3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3"/>
      <c r="K313" s="3"/>
      <c r="L313" s="3"/>
      <c r="M313" s="3"/>
      <c r="N313" s="3"/>
      <c r="O313" s="3"/>
      <c r="P313" s="3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3"/>
      <c r="K314" s="3"/>
      <c r="L314" s="3"/>
      <c r="M314" s="3"/>
      <c r="N314" s="3"/>
      <c r="O314" s="3"/>
      <c r="P314" s="3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3"/>
      <c r="K315" s="3"/>
      <c r="L315" s="3"/>
      <c r="M315" s="3"/>
      <c r="N315" s="3"/>
      <c r="O315" s="3"/>
      <c r="P315" s="3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3"/>
      <c r="K316" s="3"/>
      <c r="L316" s="3"/>
      <c r="M316" s="3"/>
      <c r="N316" s="3"/>
      <c r="O316" s="3"/>
      <c r="P316" s="3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3"/>
      <c r="K317" s="3"/>
      <c r="L317" s="3"/>
      <c r="M317" s="3"/>
      <c r="N317" s="3"/>
      <c r="O317" s="3"/>
      <c r="P317" s="3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3"/>
      <c r="K318" s="3"/>
      <c r="L318" s="3"/>
      <c r="M318" s="3"/>
      <c r="N318" s="3"/>
      <c r="O318" s="3"/>
      <c r="P318" s="3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3"/>
      <c r="K319" s="3"/>
      <c r="L319" s="3"/>
      <c r="M319" s="3"/>
      <c r="N319" s="3"/>
      <c r="O319" s="3"/>
      <c r="P319" s="3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3"/>
      <c r="K320" s="3"/>
      <c r="L320" s="3"/>
      <c r="M320" s="3"/>
      <c r="N320" s="3"/>
      <c r="O320" s="3"/>
      <c r="P320" s="3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3"/>
      <c r="K321" s="3"/>
      <c r="L321" s="3"/>
      <c r="M321" s="3"/>
      <c r="N321" s="3"/>
      <c r="O321" s="3"/>
      <c r="P321" s="3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3"/>
      <c r="K322" s="3"/>
      <c r="L322" s="3"/>
      <c r="M322" s="3"/>
      <c r="N322" s="3"/>
      <c r="O322" s="3"/>
      <c r="P322" s="3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3"/>
      <c r="K323" s="3"/>
      <c r="L323" s="3"/>
      <c r="M323" s="3"/>
      <c r="N323" s="3"/>
      <c r="O323" s="3"/>
      <c r="P323" s="3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3"/>
      <c r="K324" s="3"/>
      <c r="L324" s="3"/>
      <c r="M324" s="3"/>
      <c r="N324" s="3"/>
      <c r="O324" s="3"/>
      <c r="P324" s="3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3"/>
      <c r="K325" s="3"/>
      <c r="L325" s="3"/>
      <c r="M325" s="3"/>
      <c r="N325" s="3"/>
      <c r="O325" s="3"/>
      <c r="P325" s="3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2.5" x14ac:dyDescent="0.25">
      <c r="J326" s="115"/>
      <c r="K326" s="115"/>
      <c r="L326" s="115"/>
      <c r="M326" s="115"/>
      <c r="N326" s="115"/>
      <c r="O326" s="115"/>
      <c r="P326" s="115"/>
    </row>
    <row r="327" spans="1:30" ht="12.5" x14ac:dyDescent="0.25">
      <c r="J327" s="115"/>
      <c r="K327" s="115"/>
      <c r="L327" s="115"/>
      <c r="M327" s="115"/>
      <c r="N327" s="115"/>
      <c r="O327" s="115"/>
      <c r="P327" s="115"/>
    </row>
    <row r="328" spans="1:30" ht="12.5" x14ac:dyDescent="0.25">
      <c r="J328" s="115"/>
      <c r="K328" s="115"/>
      <c r="L328" s="115"/>
      <c r="M328" s="115"/>
      <c r="N328" s="115"/>
      <c r="O328" s="115"/>
      <c r="P328" s="115"/>
    </row>
    <row r="329" spans="1:30" ht="12.5" x14ac:dyDescent="0.25">
      <c r="J329" s="115"/>
      <c r="K329" s="115"/>
      <c r="L329" s="115"/>
      <c r="M329" s="115"/>
      <c r="N329" s="115"/>
      <c r="O329" s="115"/>
      <c r="P329" s="115"/>
    </row>
    <row r="330" spans="1:30" ht="12.5" x14ac:dyDescent="0.25">
      <c r="J330" s="115"/>
      <c r="K330" s="115"/>
      <c r="L330" s="115"/>
      <c r="M330" s="115"/>
      <c r="N330" s="115"/>
      <c r="O330" s="115"/>
      <c r="P330" s="115"/>
    </row>
    <row r="331" spans="1:30" ht="12.5" x14ac:dyDescent="0.25">
      <c r="J331" s="115"/>
      <c r="K331" s="115"/>
      <c r="L331" s="115"/>
      <c r="M331" s="115"/>
      <c r="N331" s="115"/>
      <c r="O331" s="115"/>
      <c r="P331" s="115"/>
    </row>
    <row r="332" spans="1:30" ht="12.5" x14ac:dyDescent="0.25">
      <c r="J332" s="115"/>
      <c r="K332" s="115"/>
      <c r="L332" s="115"/>
      <c r="M332" s="115"/>
      <c r="N332" s="115"/>
      <c r="O332" s="115"/>
      <c r="P332" s="115"/>
    </row>
    <row r="333" spans="1:30" ht="12.5" x14ac:dyDescent="0.25">
      <c r="J333" s="115"/>
      <c r="K333" s="115"/>
      <c r="L333" s="115"/>
      <c r="M333" s="115"/>
      <c r="N333" s="115"/>
      <c r="O333" s="115"/>
      <c r="P333" s="115"/>
    </row>
    <row r="334" spans="1:30" ht="12.5" x14ac:dyDescent="0.25">
      <c r="J334" s="115"/>
      <c r="K334" s="115"/>
      <c r="L334" s="115"/>
      <c r="M334" s="115"/>
      <c r="N334" s="115"/>
      <c r="O334" s="115"/>
      <c r="P334" s="115"/>
    </row>
    <row r="335" spans="1:30" ht="12.5" x14ac:dyDescent="0.25">
      <c r="J335" s="115"/>
      <c r="K335" s="115"/>
      <c r="L335" s="115"/>
      <c r="M335" s="115"/>
      <c r="N335" s="115"/>
      <c r="O335" s="115"/>
      <c r="P335" s="115"/>
    </row>
    <row r="336" spans="1:30" ht="12.5" x14ac:dyDescent="0.25">
      <c r="J336" s="115"/>
      <c r="K336" s="115"/>
      <c r="L336" s="115"/>
      <c r="M336" s="115"/>
      <c r="N336" s="115"/>
      <c r="O336" s="115"/>
      <c r="P336" s="115"/>
    </row>
    <row r="337" spans="10:16" ht="12.5" x14ac:dyDescent="0.25">
      <c r="J337" s="115"/>
      <c r="K337" s="115"/>
      <c r="L337" s="115"/>
      <c r="M337" s="115"/>
      <c r="N337" s="115"/>
      <c r="O337" s="115"/>
      <c r="P337" s="115"/>
    </row>
    <row r="338" spans="10:16" ht="12.5" x14ac:dyDescent="0.25">
      <c r="J338" s="115"/>
      <c r="K338" s="115"/>
      <c r="L338" s="115"/>
      <c r="M338" s="115"/>
      <c r="N338" s="115"/>
      <c r="O338" s="115"/>
      <c r="P338" s="115"/>
    </row>
    <row r="339" spans="10:16" ht="12.5" x14ac:dyDescent="0.25">
      <c r="J339" s="115"/>
      <c r="K339" s="115"/>
      <c r="L339" s="115"/>
      <c r="M339" s="115"/>
      <c r="N339" s="115"/>
      <c r="O339" s="115"/>
      <c r="P339" s="115"/>
    </row>
    <row r="340" spans="10:16" ht="12.5" x14ac:dyDescent="0.25">
      <c r="J340" s="115"/>
      <c r="K340" s="115"/>
      <c r="L340" s="115"/>
      <c r="M340" s="115"/>
      <c r="N340" s="115"/>
      <c r="O340" s="115"/>
      <c r="P340" s="115"/>
    </row>
    <row r="341" spans="10:16" ht="12.5" x14ac:dyDescent="0.25">
      <c r="J341" s="115"/>
      <c r="K341" s="115"/>
      <c r="L341" s="115"/>
      <c r="M341" s="115"/>
      <c r="N341" s="115"/>
      <c r="O341" s="115"/>
      <c r="P341" s="115"/>
    </row>
    <row r="342" spans="10:16" ht="12.5" x14ac:dyDescent="0.25">
      <c r="J342" s="115"/>
      <c r="K342" s="115"/>
      <c r="L342" s="115"/>
      <c r="M342" s="115"/>
      <c r="N342" s="115"/>
      <c r="O342" s="115"/>
      <c r="P342" s="115"/>
    </row>
    <row r="343" spans="10:16" ht="12.5" x14ac:dyDescent="0.25">
      <c r="J343" s="115"/>
      <c r="K343" s="115"/>
      <c r="L343" s="115"/>
      <c r="M343" s="115"/>
      <c r="N343" s="115"/>
      <c r="O343" s="115"/>
      <c r="P343" s="115"/>
    </row>
    <row r="344" spans="10:16" ht="12.5" x14ac:dyDescent="0.25">
      <c r="J344" s="115"/>
      <c r="K344" s="115"/>
      <c r="L344" s="115"/>
      <c r="M344" s="115"/>
      <c r="N344" s="115"/>
      <c r="O344" s="115"/>
      <c r="P344" s="115"/>
    </row>
    <row r="345" spans="10:16" ht="12.5" x14ac:dyDescent="0.25">
      <c r="J345" s="115"/>
      <c r="K345" s="115"/>
      <c r="L345" s="115"/>
      <c r="M345" s="115"/>
      <c r="N345" s="115"/>
      <c r="O345" s="115"/>
      <c r="P345" s="115"/>
    </row>
    <row r="346" spans="10:16" ht="12.5" x14ac:dyDescent="0.25">
      <c r="J346" s="115"/>
      <c r="K346" s="115"/>
      <c r="L346" s="115"/>
      <c r="M346" s="115"/>
      <c r="N346" s="115"/>
      <c r="O346" s="115"/>
      <c r="P346" s="115"/>
    </row>
    <row r="347" spans="10:16" ht="12.5" x14ac:dyDescent="0.25">
      <c r="J347" s="115"/>
      <c r="K347" s="115"/>
      <c r="L347" s="115"/>
      <c r="M347" s="115"/>
      <c r="N347" s="115"/>
      <c r="O347" s="115"/>
      <c r="P347" s="115"/>
    </row>
    <row r="348" spans="10:16" ht="12.5" x14ac:dyDescent="0.25">
      <c r="J348" s="115"/>
      <c r="K348" s="115"/>
      <c r="L348" s="115"/>
      <c r="M348" s="115"/>
      <c r="N348" s="115"/>
      <c r="O348" s="115"/>
      <c r="P348" s="115"/>
    </row>
    <row r="349" spans="10:16" ht="12.5" x14ac:dyDescent="0.25">
      <c r="J349" s="115"/>
      <c r="K349" s="115"/>
      <c r="L349" s="115"/>
      <c r="M349" s="115"/>
      <c r="N349" s="115"/>
      <c r="O349" s="115"/>
      <c r="P349" s="115"/>
    </row>
    <row r="350" spans="10:16" ht="12.5" x14ac:dyDescent="0.25">
      <c r="J350" s="115"/>
      <c r="K350" s="115"/>
      <c r="L350" s="115"/>
      <c r="M350" s="115"/>
      <c r="N350" s="115"/>
      <c r="O350" s="115"/>
      <c r="P350" s="115"/>
    </row>
    <row r="351" spans="10:16" ht="12.5" x14ac:dyDescent="0.25">
      <c r="J351" s="115"/>
      <c r="K351" s="115"/>
      <c r="L351" s="115"/>
      <c r="M351" s="115"/>
      <c r="N351" s="115"/>
      <c r="O351" s="115"/>
      <c r="P351" s="115"/>
    </row>
    <row r="352" spans="10:16" ht="12.5" x14ac:dyDescent="0.25">
      <c r="J352" s="115"/>
      <c r="K352" s="115"/>
      <c r="L352" s="115"/>
      <c r="M352" s="115"/>
      <c r="N352" s="115"/>
      <c r="O352" s="115"/>
      <c r="P352" s="115"/>
    </row>
    <row r="353" spans="10:16" ht="12.5" x14ac:dyDescent="0.25">
      <c r="J353" s="115"/>
      <c r="K353" s="115"/>
      <c r="L353" s="115"/>
      <c r="M353" s="115"/>
      <c r="N353" s="115"/>
      <c r="O353" s="115"/>
      <c r="P353" s="115"/>
    </row>
    <row r="354" spans="10:16" ht="12.5" x14ac:dyDescent="0.25">
      <c r="J354" s="115"/>
      <c r="K354" s="115"/>
      <c r="L354" s="115"/>
      <c r="M354" s="115"/>
      <c r="N354" s="115"/>
      <c r="O354" s="115"/>
      <c r="P354" s="115"/>
    </row>
    <row r="355" spans="10:16" ht="12.5" x14ac:dyDescent="0.25">
      <c r="J355" s="115"/>
      <c r="K355" s="115"/>
      <c r="L355" s="115"/>
      <c r="M355" s="115"/>
      <c r="N355" s="115"/>
      <c r="O355" s="115"/>
      <c r="P355" s="115"/>
    </row>
    <row r="356" spans="10:16" ht="12.5" x14ac:dyDescent="0.25">
      <c r="J356" s="115"/>
      <c r="K356" s="115"/>
      <c r="L356" s="115"/>
      <c r="M356" s="115"/>
      <c r="N356" s="115"/>
      <c r="O356" s="115"/>
      <c r="P356" s="115"/>
    </row>
    <row r="357" spans="10:16" ht="12.5" x14ac:dyDescent="0.25">
      <c r="J357" s="115"/>
      <c r="K357" s="115"/>
      <c r="L357" s="115"/>
      <c r="M357" s="115"/>
      <c r="N357" s="115"/>
      <c r="O357" s="115"/>
      <c r="P357" s="115"/>
    </row>
    <row r="358" spans="10:16" ht="12.5" x14ac:dyDescent="0.25">
      <c r="J358" s="115"/>
      <c r="K358" s="115"/>
      <c r="L358" s="115"/>
      <c r="M358" s="115"/>
      <c r="N358" s="115"/>
      <c r="O358" s="115"/>
      <c r="P358" s="115"/>
    </row>
    <row r="359" spans="10:16" ht="12.5" x14ac:dyDescent="0.25">
      <c r="J359" s="115"/>
      <c r="K359" s="115"/>
      <c r="L359" s="115"/>
      <c r="M359" s="115"/>
      <c r="N359" s="115"/>
      <c r="O359" s="115"/>
      <c r="P359" s="115"/>
    </row>
    <row r="360" spans="10:16" ht="12.5" x14ac:dyDescent="0.25">
      <c r="J360" s="115"/>
      <c r="K360" s="115"/>
      <c r="L360" s="115"/>
      <c r="M360" s="115"/>
      <c r="N360" s="115"/>
      <c r="O360" s="115"/>
      <c r="P360" s="115"/>
    </row>
    <row r="361" spans="10:16" ht="12.5" x14ac:dyDescent="0.25">
      <c r="J361" s="115"/>
      <c r="K361" s="115"/>
      <c r="L361" s="115"/>
      <c r="M361" s="115"/>
      <c r="N361" s="115"/>
      <c r="O361" s="115"/>
      <c r="P361" s="115"/>
    </row>
    <row r="362" spans="10:16" ht="12.5" x14ac:dyDescent="0.25">
      <c r="J362" s="115"/>
      <c r="K362" s="115"/>
      <c r="L362" s="115"/>
      <c r="M362" s="115"/>
      <c r="N362" s="115"/>
      <c r="O362" s="115"/>
      <c r="P362" s="115"/>
    </row>
    <row r="363" spans="10:16" ht="12.5" x14ac:dyDescent="0.25">
      <c r="J363" s="115"/>
      <c r="K363" s="115"/>
      <c r="L363" s="115"/>
      <c r="M363" s="115"/>
      <c r="N363" s="115"/>
      <c r="O363" s="115"/>
      <c r="P363" s="115"/>
    </row>
    <row r="364" spans="10:16" ht="12.5" x14ac:dyDescent="0.25">
      <c r="J364" s="115"/>
      <c r="K364" s="115"/>
      <c r="L364" s="115"/>
      <c r="M364" s="115"/>
      <c r="N364" s="115"/>
      <c r="O364" s="115"/>
      <c r="P364" s="115"/>
    </row>
    <row r="365" spans="10:16" ht="12.5" x14ac:dyDescent="0.25">
      <c r="J365" s="115"/>
      <c r="K365" s="115"/>
      <c r="L365" s="115"/>
      <c r="M365" s="115"/>
      <c r="N365" s="115"/>
      <c r="O365" s="115"/>
      <c r="P365" s="115"/>
    </row>
    <row r="366" spans="10:16" ht="12.5" x14ac:dyDescent="0.25">
      <c r="J366" s="115"/>
      <c r="K366" s="115"/>
      <c r="L366" s="115"/>
      <c r="M366" s="115"/>
      <c r="N366" s="115"/>
      <c r="O366" s="115"/>
      <c r="P366" s="115"/>
    </row>
    <row r="367" spans="10:16" ht="12.5" x14ac:dyDescent="0.25">
      <c r="J367" s="115"/>
      <c r="K367" s="115"/>
      <c r="L367" s="115"/>
      <c r="M367" s="115"/>
      <c r="N367" s="115"/>
      <c r="O367" s="115"/>
      <c r="P367" s="115"/>
    </row>
    <row r="368" spans="10:16" ht="12.5" x14ac:dyDescent="0.25">
      <c r="J368" s="115"/>
      <c r="K368" s="115"/>
      <c r="L368" s="115"/>
      <c r="M368" s="115"/>
      <c r="N368" s="115"/>
      <c r="O368" s="115"/>
      <c r="P368" s="115"/>
    </row>
    <row r="369" spans="10:16" ht="12.5" x14ac:dyDescent="0.25">
      <c r="J369" s="115"/>
      <c r="K369" s="115"/>
      <c r="L369" s="115"/>
      <c r="M369" s="115"/>
      <c r="N369" s="115"/>
      <c r="O369" s="115"/>
      <c r="P369" s="115"/>
    </row>
    <row r="370" spans="10:16" ht="12.5" x14ac:dyDescent="0.25">
      <c r="J370" s="115"/>
      <c r="K370" s="115"/>
      <c r="L370" s="115"/>
      <c r="M370" s="115"/>
      <c r="N370" s="115"/>
      <c r="O370" s="115"/>
      <c r="P370" s="115"/>
    </row>
    <row r="371" spans="10:16" ht="12.5" x14ac:dyDescent="0.25">
      <c r="J371" s="115"/>
      <c r="K371" s="115"/>
      <c r="L371" s="115"/>
      <c r="M371" s="115"/>
      <c r="N371" s="115"/>
      <c r="O371" s="115"/>
      <c r="P371" s="115"/>
    </row>
    <row r="372" spans="10:16" ht="12.5" x14ac:dyDescent="0.25">
      <c r="J372" s="115"/>
      <c r="K372" s="115"/>
      <c r="L372" s="115"/>
      <c r="M372" s="115"/>
      <c r="N372" s="115"/>
      <c r="O372" s="115"/>
      <c r="P372" s="115"/>
    </row>
    <row r="373" spans="10:16" ht="12.5" x14ac:dyDescent="0.25">
      <c r="J373" s="115"/>
      <c r="K373" s="115"/>
      <c r="L373" s="115"/>
      <c r="M373" s="115"/>
      <c r="N373" s="115"/>
      <c r="O373" s="115"/>
      <c r="P373" s="115"/>
    </row>
    <row r="374" spans="10:16" ht="12.5" x14ac:dyDescent="0.25">
      <c r="J374" s="115"/>
      <c r="K374" s="115"/>
      <c r="L374" s="115"/>
      <c r="M374" s="115"/>
      <c r="N374" s="115"/>
      <c r="O374" s="115"/>
      <c r="P374" s="115"/>
    </row>
    <row r="375" spans="10:16" ht="12.5" x14ac:dyDescent="0.25">
      <c r="J375" s="115"/>
      <c r="K375" s="115"/>
      <c r="L375" s="115"/>
      <c r="M375" s="115"/>
      <c r="N375" s="115"/>
      <c r="O375" s="115"/>
      <c r="P375" s="115"/>
    </row>
    <row r="376" spans="10:16" ht="12.5" x14ac:dyDescent="0.25">
      <c r="J376" s="115"/>
      <c r="K376" s="115"/>
      <c r="L376" s="115"/>
      <c r="M376" s="115"/>
      <c r="N376" s="115"/>
      <c r="O376" s="115"/>
      <c r="P376" s="115"/>
    </row>
    <row r="377" spans="10:16" ht="12.5" x14ac:dyDescent="0.25">
      <c r="J377" s="115"/>
      <c r="K377" s="115"/>
      <c r="L377" s="115"/>
      <c r="M377" s="115"/>
      <c r="N377" s="115"/>
      <c r="O377" s="115"/>
      <c r="P377" s="115"/>
    </row>
    <row r="378" spans="10:16" ht="12.5" x14ac:dyDescent="0.25">
      <c r="J378" s="115"/>
      <c r="K378" s="115"/>
      <c r="L378" s="115"/>
      <c r="M378" s="115"/>
      <c r="N378" s="115"/>
      <c r="O378" s="115"/>
      <c r="P378" s="115"/>
    </row>
    <row r="379" spans="10:16" ht="12.5" x14ac:dyDescent="0.25">
      <c r="J379" s="115"/>
      <c r="K379" s="115"/>
      <c r="L379" s="115"/>
      <c r="M379" s="115"/>
      <c r="N379" s="115"/>
      <c r="O379" s="115"/>
      <c r="P379" s="115"/>
    </row>
    <row r="380" spans="10:16" ht="12.5" x14ac:dyDescent="0.25">
      <c r="J380" s="115"/>
      <c r="K380" s="115"/>
      <c r="L380" s="115"/>
      <c r="M380" s="115"/>
      <c r="N380" s="115"/>
      <c r="O380" s="115"/>
      <c r="P380" s="115"/>
    </row>
    <row r="381" spans="10:16" ht="12.5" x14ac:dyDescent="0.25">
      <c r="J381" s="115"/>
      <c r="K381" s="115"/>
      <c r="L381" s="115"/>
      <c r="M381" s="115"/>
      <c r="N381" s="115"/>
      <c r="O381" s="115"/>
      <c r="P381" s="115"/>
    </row>
    <row r="382" spans="10:16" ht="12.5" x14ac:dyDescent="0.25">
      <c r="J382" s="115"/>
      <c r="K382" s="115"/>
      <c r="L382" s="115"/>
      <c r="M382" s="115"/>
      <c r="N382" s="115"/>
      <c r="O382" s="115"/>
      <c r="P382" s="115"/>
    </row>
    <row r="383" spans="10:16" ht="12.5" x14ac:dyDescent="0.25">
      <c r="J383" s="115"/>
      <c r="K383" s="115"/>
      <c r="L383" s="115"/>
      <c r="M383" s="115"/>
      <c r="N383" s="115"/>
      <c r="O383" s="115"/>
      <c r="P383" s="115"/>
    </row>
    <row r="384" spans="10:16" ht="12.5" x14ac:dyDescent="0.25">
      <c r="J384" s="115"/>
      <c r="K384" s="115"/>
      <c r="L384" s="115"/>
      <c r="M384" s="115"/>
      <c r="N384" s="115"/>
      <c r="O384" s="115"/>
      <c r="P384" s="115"/>
    </row>
    <row r="385" spans="10:16" ht="12.5" x14ac:dyDescent="0.25">
      <c r="J385" s="115"/>
      <c r="K385" s="115"/>
      <c r="L385" s="115"/>
      <c r="M385" s="115"/>
      <c r="N385" s="115"/>
      <c r="O385" s="115"/>
      <c r="P385" s="115"/>
    </row>
    <row r="386" spans="10:16" ht="12.5" x14ac:dyDescent="0.25">
      <c r="J386" s="115"/>
      <c r="K386" s="115"/>
      <c r="L386" s="115"/>
      <c r="M386" s="115"/>
      <c r="N386" s="115"/>
      <c r="O386" s="115"/>
      <c r="P386" s="115"/>
    </row>
    <row r="387" spans="10:16" ht="12.5" x14ac:dyDescent="0.25">
      <c r="J387" s="115"/>
      <c r="K387" s="115"/>
      <c r="L387" s="115"/>
      <c r="M387" s="115"/>
      <c r="N387" s="115"/>
      <c r="O387" s="115"/>
      <c r="P387" s="115"/>
    </row>
    <row r="388" spans="10:16" ht="12.5" x14ac:dyDescent="0.25">
      <c r="J388" s="115"/>
      <c r="K388" s="115"/>
      <c r="L388" s="115"/>
      <c r="M388" s="115"/>
      <c r="N388" s="115"/>
      <c r="O388" s="115"/>
      <c r="P388" s="115"/>
    </row>
    <row r="389" spans="10:16" ht="12.5" x14ac:dyDescent="0.25">
      <c r="J389" s="115"/>
      <c r="K389" s="115"/>
      <c r="L389" s="115"/>
      <c r="M389" s="115"/>
      <c r="N389" s="115"/>
      <c r="O389" s="115"/>
      <c r="P389" s="115"/>
    </row>
    <row r="390" spans="10:16" ht="12.5" x14ac:dyDescent="0.25">
      <c r="J390" s="115"/>
      <c r="K390" s="115"/>
      <c r="L390" s="115"/>
      <c r="M390" s="115"/>
      <c r="N390" s="115"/>
      <c r="O390" s="115"/>
      <c r="P390" s="115"/>
    </row>
    <row r="391" spans="10:16" ht="12.5" x14ac:dyDescent="0.25">
      <c r="J391" s="115"/>
      <c r="K391" s="115"/>
      <c r="L391" s="115"/>
      <c r="M391" s="115"/>
      <c r="N391" s="115"/>
      <c r="O391" s="115"/>
      <c r="P391" s="115"/>
    </row>
    <row r="392" spans="10:16" ht="12.5" x14ac:dyDescent="0.25">
      <c r="J392" s="115"/>
      <c r="K392" s="115"/>
      <c r="L392" s="115"/>
      <c r="M392" s="115"/>
      <c r="N392" s="115"/>
      <c r="O392" s="115"/>
      <c r="P392" s="115"/>
    </row>
    <row r="393" spans="10:16" ht="12.5" x14ac:dyDescent="0.25">
      <c r="J393" s="115"/>
      <c r="K393" s="115"/>
      <c r="L393" s="115"/>
      <c r="M393" s="115"/>
      <c r="N393" s="115"/>
      <c r="O393" s="115"/>
      <c r="P393" s="115"/>
    </row>
    <row r="394" spans="10:16" ht="12.5" x14ac:dyDescent="0.25">
      <c r="J394" s="115"/>
      <c r="K394" s="115"/>
      <c r="L394" s="115"/>
      <c r="M394" s="115"/>
      <c r="N394" s="115"/>
      <c r="O394" s="115"/>
      <c r="P394" s="115"/>
    </row>
    <row r="395" spans="10:16" ht="12.5" x14ac:dyDescent="0.25">
      <c r="J395" s="115"/>
      <c r="K395" s="115"/>
      <c r="L395" s="115"/>
      <c r="M395" s="115"/>
      <c r="N395" s="115"/>
      <c r="O395" s="115"/>
      <c r="P395" s="115"/>
    </row>
    <row r="396" spans="10:16" ht="12.5" x14ac:dyDescent="0.25">
      <c r="J396" s="115"/>
      <c r="K396" s="115"/>
      <c r="L396" s="115"/>
      <c r="M396" s="115"/>
      <c r="N396" s="115"/>
      <c r="O396" s="115"/>
      <c r="P396" s="115"/>
    </row>
    <row r="397" spans="10:16" ht="12.5" x14ac:dyDescent="0.25">
      <c r="J397" s="115"/>
      <c r="K397" s="115"/>
      <c r="L397" s="115"/>
      <c r="M397" s="115"/>
      <c r="N397" s="115"/>
      <c r="O397" s="115"/>
      <c r="P397" s="115"/>
    </row>
    <row r="398" spans="10:16" ht="12.5" x14ac:dyDescent="0.25">
      <c r="J398" s="115"/>
      <c r="K398" s="115"/>
      <c r="L398" s="115"/>
      <c r="M398" s="115"/>
      <c r="N398" s="115"/>
      <c r="O398" s="115"/>
      <c r="P398" s="115"/>
    </row>
    <row r="399" spans="10:16" ht="12.5" x14ac:dyDescent="0.25">
      <c r="J399" s="115"/>
      <c r="K399" s="115"/>
      <c r="L399" s="115"/>
      <c r="M399" s="115"/>
      <c r="N399" s="115"/>
      <c r="O399" s="115"/>
      <c r="P399" s="115"/>
    </row>
    <row r="400" spans="10:16" ht="12.5" x14ac:dyDescent="0.25">
      <c r="J400" s="115"/>
      <c r="K400" s="115"/>
      <c r="L400" s="115"/>
      <c r="M400" s="115"/>
      <c r="N400" s="115"/>
      <c r="O400" s="115"/>
      <c r="P400" s="115"/>
    </row>
    <row r="401" spans="10:16" ht="12.5" x14ac:dyDescent="0.25">
      <c r="J401" s="115"/>
      <c r="K401" s="115"/>
      <c r="L401" s="115"/>
      <c r="M401" s="115"/>
      <c r="N401" s="115"/>
      <c r="O401" s="115"/>
      <c r="P401" s="115"/>
    </row>
    <row r="402" spans="10:16" ht="12.5" x14ac:dyDescent="0.25">
      <c r="J402" s="115"/>
      <c r="K402" s="115"/>
      <c r="L402" s="115"/>
      <c r="M402" s="115"/>
      <c r="N402" s="115"/>
      <c r="O402" s="115"/>
      <c r="P402" s="115"/>
    </row>
    <row r="403" spans="10:16" ht="12.5" x14ac:dyDescent="0.25">
      <c r="J403" s="115"/>
      <c r="K403" s="115"/>
      <c r="L403" s="115"/>
      <c r="M403" s="115"/>
      <c r="N403" s="115"/>
      <c r="O403" s="115"/>
      <c r="P403" s="115"/>
    </row>
    <row r="404" spans="10:16" ht="12.5" x14ac:dyDescent="0.25">
      <c r="J404" s="115"/>
      <c r="K404" s="115"/>
      <c r="L404" s="115"/>
      <c r="M404" s="115"/>
      <c r="N404" s="115"/>
      <c r="O404" s="115"/>
      <c r="P404" s="115"/>
    </row>
    <row r="405" spans="10:16" ht="12.5" x14ac:dyDescent="0.25">
      <c r="J405" s="115"/>
      <c r="K405" s="115"/>
      <c r="L405" s="115"/>
      <c r="M405" s="115"/>
      <c r="N405" s="115"/>
      <c r="O405" s="115"/>
      <c r="P405" s="115"/>
    </row>
    <row r="406" spans="10:16" ht="12.5" x14ac:dyDescent="0.25">
      <c r="J406" s="115"/>
      <c r="K406" s="115"/>
      <c r="L406" s="115"/>
      <c r="M406" s="115"/>
      <c r="N406" s="115"/>
      <c r="O406" s="115"/>
      <c r="P406" s="115"/>
    </row>
    <row r="407" spans="10:16" ht="12.5" x14ac:dyDescent="0.25">
      <c r="J407" s="115"/>
      <c r="K407" s="115"/>
      <c r="L407" s="115"/>
      <c r="M407" s="115"/>
      <c r="N407" s="115"/>
      <c r="O407" s="115"/>
      <c r="P407" s="115"/>
    </row>
    <row r="408" spans="10:16" ht="12.5" x14ac:dyDescent="0.25">
      <c r="J408" s="115"/>
      <c r="K408" s="115"/>
      <c r="L408" s="115"/>
      <c r="M408" s="115"/>
      <c r="N408" s="115"/>
      <c r="O408" s="115"/>
      <c r="P408" s="115"/>
    </row>
    <row r="409" spans="10:16" ht="12.5" x14ac:dyDescent="0.25">
      <c r="J409" s="115"/>
      <c r="K409" s="115"/>
      <c r="L409" s="115"/>
      <c r="M409" s="115"/>
      <c r="N409" s="115"/>
      <c r="O409" s="115"/>
      <c r="P409" s="115"/>
    </row>
    <row r="410" spans="10:16" ht="12.5" x14ac:dyDescent="0.25">
      <c r="J410" s="115"/>
      <c r="K410" s="115"/>
      <c r="L410" s="115"/>
      <c r="M410" s="115"/>
      <c r="N410" s="115"/>
      <c r="O410" s="115"/>
      <c r="P410" s="115"/>
    </row>
    <row r="411" spans="10:16" ht="12.5" x14ac:dyDescent="0.25">
      <c r="J411" s="115"/>
      <c r="K411" s="115"/>
      <c r="L411" s="115"/>
      <c r="M411" s="115"/>
      <c r="N411" s="115"/>
      <c r="O411" s="115"/>
      <c r="P411" s="115"/>
    </row>
    <row r="412" spans="10:16" ht="12.5" x14ac:dyDescent="0.25">
      <c r="J412" s="115"/>
      <c r="K412" s="115"/>
      <c r="L412" s="115"/>
      <c r="M412" s="115"/>
      <c r="N412" s="115"/>
      <c r="O412" s="115"/>
      <c r="P412" s="115"/>
    </row>
    <row r="413" spans="10:16" ht="12.5" x14ac:dyDescent="0.25">
      <c r="J413" s="115"/>
      <c r="K413" s="115"/>
      <c r="L413" s="115"/>
      <c r="M413" s="115"/>
      <c r="N413" s="115"/>
      <c r="O413" s="115"/>
      <c r="P413" s="115"/>
    </row>
    <row r="414" spans="10:16" ht="12.5" x14ac:dyDescent="0.25">
      <c r="J414" s="115"/>
      <c r="K414" s="115"/>
      <c r="L414" s="115"/>
      <c r="M414" s="115"/>
      <c r="N414" s="115"/>
      <c r="O414" s="115"/>
      <c r="P414" s="115"/>
    </row>
    <row r="415" spans="10:16" ht="12.5" x14ac:dyDescent="0.25">
      <c r="J415" s="115"/>
      <c r="K415" s="115"/>
      <c r="L415" s="115"/>
      <c r="M415" s="115"/>
      <c r="N415" s="115"/>
      <c r="O415" s="115"/>
      <c r="P415" s="115"/>
    </row>
    <row r="416" spans="10:16" ht="12.5" x14ac:dyDescent="0.25">
      <c r="J416" s="115"/>
      <c r="K416" s="115"/>
      <c r="L416" s="115"/>
      <c r="M416" s="115"/>
      <c r="N416" s="115"/>
      <c r="O416" s="115"/>
      <c r="P416" s="115"/>
    </row>
    <row r="417" spans="10:16" ht="12.5" x14ac:dyDescent="0.25">
      <c r="J417" s="115"/>
      <c r="K417" s="115"/>
      <c r="L417" s="115"/>
      <c r="M417" s="115"/>
      <c r="N417" s="115"/>
      <c r="O417" s="115"/>
      <c r="P417" s="115"/>
    </row>
    <row r="418" spans="10:16" ht="12.5" x14ac:dyDescent="0.25">
      <c r="J418" s="115"/>
      <c r="K418" s="115"/>
      <c r="L418" s="115"/>
      <c r="M418" s="115"/>
      <c r="N418" s="115"/>
      <c r="O418" s="115"/>
      <c r="P418" s="115"/>
    </row>
    <row r="419" spans="10:16" ht="12.5" x14ac:dyDescent="0.25">
      <c r="J419" s="115"/>
      <c r="K419" s="115"/>
      <c r="L419" s="115"/>
      <c r="M419" s="115"/>
      <c r="N419" s="115"/>
      <c r="O419" s="115"/>
      <c r="P419" s="115"/>
    </row>
    <row r="420" spans="10:16" ht="12.5" x14ac:dyDescent="0.25">
      <c r="J420" s="115"/>
      <c r="K420" s="115"/>
      <c r="L420" s="115"/>
      <c r="M420" s="115"/>
      <c r="N420" s="115"/>
      <c r="O420" s="115"/>
      <c r="P420" s="115"/>
    </row>
    <row r="421" spans="10:16" ht="12.5" x14ac:dyDescent="0.25">
      <c r="J421" s="115"/>
      <c r="K421" s="115"/>
      <c r="L421" s="115"/>
      <c r="M421" s="115"/>
      <c r="N421" s="115"/>
      <c r="O421" s="115"/>
      <c r="P421" s="115"/>
    </row>
    <row r="422" spans="10:16" ht="12.5" x14ac:dyDescent="0.25">
      <c r="J422" s="115"/>
      <c r="K422" s="115"/>
      <c r="L422" s="115"/>
      <c r="M422" s="115"/>
      <c r="N422" s="115"/>
      <c r="O422" s="115"/>
      <c r="P422" s="115"/>
    </row>
    <row r="423" spans="10:16" ht="12.5" x14ac:dyDescent="0.25">
      <c r="J423" s="115"/>
      <c r="K423" s="115"/>
      <c r="L423" s="115"/>
      <c r="M423" s="115"/>
      <c r="N423" s="115"/>
      <c r="O423" s="115"/>
      <c r="P423" s="115"/>
    </row>
    <row r="424" spans="10:16" ht="12.5" x14ac:dyDescent="0.25">
      <c r="J424" s="115"/>
      <c r="K424" s="115"/>
      <c r="L424" s="115"/>
      <c r="M424" s="115"/>
      <c r="N424" s="115"/>
      <c r="O424" s="115"/>
      <c r="P424" s="115"/>
    </row>
    <row r="425" spans="10:16" ht="12.5" x14ac:dyDescent="0.25">
      <c r="J425" s="115"/>
      <c r="K425" s="115"/>
      <c r="L425" s="115"/>
      <c r="M425" s="115"/>
      <c r="N425" s="115"/>
      <c r="O425" s="115"/>
      <c r="P425" s="115"/>
    </row>
    <row r="426" spans="10:16" ht="12.5" x14ac:dyDescent="0.25">
      <c r="J426" s="115"/>
      <c r="K426" s="115"/>
      <c r="L426" s="115"/>
      <c r="M426" s="115"/>
      <c r="N426" s="115"/>
      <c r="O426" s="115"/>
      <c r="P426" s="115"/>
    </row>
    <row r="427" spans="10:16" ht="12.5" x14ac:dyDescent="0.25">
      <c r="J427" s="115"/>
      <c r="K427" s="115"/>
      <c r="L427" s="115"/>
      <c r="M427" s="115"/>
      <c r="N427" s="115"/>
      <c r="O427" s="115"/>
      <c r="P427" s="115"/>
    </row>
    <row r="428" spans="10:16" ht="12.5" x14ac:dyDescent="0.25">
      <c r="J428" s="115"/>
      <c r="K428" s="115"/>
      <c r="L428" s="115"/>
      <c r="M428" s="115"/>
      <c r="N428" s="115"/>
      <c r="O428" s="115"/>
      <c r="P428" s="115"/>
    </row>
    <row r="429" spans="10:16" ht="12.5" x14ac:dyDescent="0.25">
      <c r="J429" s="115"/>
      <c r="K429" s="115"/>
      <c r="L429" s="115"/>
      <c r="M429" s="115"/>
      <c r="N429" s="115"/>
      <c r="O429" s="115"/>
      <c r="P429" s="115"/>
    </row>
    <row r="430" spans="10:16" ht="12.5" x14ac:dyDescent="0.25">
      <c r="J430" s="115"/>
      <c r="K430" s="115"/>
      <c r="L430" s="115"/>
      <c r="M430" s="115"/>
      <c r="N430" s="115"/>
      <c r="O430" s="115"/>
      <c r="P430" s="115"/>
    </row>
    <row r="431" spans="10:16" ht="12.5" x14ac:dyDescent="0.25">
      <c r="J431" s="115"/>
      <c r="K431" s="115"/>
      <c r="L431" s="115"/>
      <c r="M431" s="115"/>
      <c r="N431" s="115"/>
      <c r="O431" s="115"/>
      <c r="P431" s="115"/>
    </row>
    <row r="432" spans="10:16" ht="12.5" x14ac:dyDescent="0.25">
      <c r="J432" s="115"/>
      <c r="K432" s="115"/>
      <c r="L432" s="115"/>
      <c r="M432" s="115"/>
      <c r="N432" s="115"/>
      <c r="O432" s="115"/>
      <c r="P432" s="115"/>
    </row>
    <row r="433" spans="10:16" ht="12.5" x14ac:dyDescent="0.25">
      <c r="J433" s="115"/>
      <c r="K433" s="115"/>
      <c r="L433" s="115"/>
      <c r="M433" s="115"/>
      <c r="N433" s="115"/>
      <c r="O433" s="115"/>
      <c r="P433" s="115"/>
    </row>
    <row r="434" spans="10:16" ht="12.5" x14ac:dyDescent="0.25">
      <c r="J434" s="115"/>
      <c r="K434" s="115"/>
      <c r="L434" s="115"/>
      <c r="M434" s="115"/>
      <c r="N434" s="115"/>
      <c r="O434" s="115"/>
      <c r="P434" s="115"/>
    </row>
    <row r="435" spans="10:16" ht="12.5" x14ac:dyDescent="0.25">
      <c r="J435" s="115"/>
      <c r="K435" s="115"/>
      <c r="L435" s="115"/>
      <c r="M435" s="115"/>
      <c r="N435" s="115"/>
      <c r="O435" s="115"/>
      <c r="P435" s="115"/>
    </row>
    <row r="436" spans="10:16" ht="12.5" x14ac:dyDescent="0.25">
      <c r="J436" s="115"/>
      <c r="K436" s="115"/>
      <c r="L436" s="115"/>
      <c r="M436" s="115"/>
      <c r="N436" s="115"/>
      <c r="O436" s="115"/>
      <c r="P436" s="115"/>
    </row>
    <row r="437" spans="10:16" ht="12.5" x14ac:dyDescent="0.25">
      <c r="J437" s="115"/>
      <c r="K437" s="115"/>
      <c r="L437" s="115"/>
      <c r="M437" s="115"/>
      <c r="N437" s="115"/>
      <c r="O437" s="115"/>
      <c r="P437" s="115"/>
    </row>
    <row r="438" spans="10:16" ht="12.5" x14ac:dyDescent="0.25">
      <c r="J438" s="115"/>
      <c r="K438" s="115"/>
      <c r="L438" s="115"/>
      <c r="M438" s="115"/>
      <c r="N438" s="115"/>
      <c r="O438" s="115"/>
      <c r="P438" s="115"/>
    </row>
    <row r="439" spans="10:16" ht="12.5" x14ac:dyDescent="0.25">
      <c r="J439" s="115"/>
      <c r="K439" s="115"/>
      <c r="L439" s="115"/>
      <c r="M439" s="115"/>
      <c r="N439" s="115"/>
      <c r="O439" s="115"/>
      <c r="P439" s="115"/>
    </row>
    <row r="440" spans="10:16" ht="12.5" x14ac:dyDescent="0.25">
      <c r="J440" s="115"/>
      <c r="K440" s="115"/>
      <c r="L440" s="115"/>
      <c r="M440" s="115"/>
      <c r="N440" s="115"/>
      <c r="O440" s="115"/>
      <c r="P440" s="115"/>
    </row>
    <row r="441" spans="10:16" ht="12.5" x14ac:dyDescent="0.25">
      <c r="J441" s="115"/>
      <c r="K441" s="115"/>
      <c r="L441" s="115"/>
      <c r="M441" s="115"/>
      <c r="N441" s="115"/>
      <c r="O441" s="115"/>
      <c r="P441" s="115"/>
    </row>
    <row r="442" spans="10:16" ht="12.5" x14ac:dyDescent="0.25">
      <c r="J442" s="115"/>
      <c r="K442" s="115"/>
      <c r="L442" s="115"/>
      <c r="M442" s="115"/>
      <c r="N442" s="115"/>
      <c r="O442" s="115"/>
      <c r="P442" s="115"/>
    </row>
    <row r="443" spans="10:16" ht="12.5" x14ac:dyDescent="0.25">
      <c r="J443" s="115"/>
      <c r="K443" s="115"/>
      <c r="L443" s="115"/>
      <c r="M443" s="115"/>
      <c r="N443" s="115"/>
      <c r="O443" s="115"/>
      <c r="P443" s="115"/>
    </row>
    <row r="444" spans="10:16" ht="12.5" x14ac:dyDescent="0.25">
      <c r="J444" s="115"/>
      <c r="K444" s="115"/>
      <c r="L444" s="115"/>
      <c r="M444" s="115"/>
      <c r="N444" s="115"/>
      <c r="O444" s="115"/>
      <c r="P444" s="115"/>
    </row>
    <row r="445" spans="10:16" ht="12.5" x14ac:dyDescent="0.25">
      <c r="J445" s="115"/>
      <c r="K445" s="115"/>
      <c r="L445" s="115"/>
      <c r="M445" s="115"/>
      <c r="N445" s="115"/>
      <c r="O445" s="115"/>
      <c r="P445" s="115"/>
    </row>
    <row r="446" spans="10:16" ht="12.5" x14ac:dyDescent="0.25">
      <c r="J446" s="115"/>
      <c r="K446" s="115"/>
      <c r="L446" s="115"/>
      <c r="M446" s="115"/>
      <c r="N446" s="115"/>
      <c r="O446" s="115"/>
      <c r="P446" s="115"/>
    </row>
    <row r="447" spans="10:16" ht="12.5" x14ac:dyDescent="0.25">
      <c r="J447" s="115"/>
      <c r="K447" s="115"/>
      <c r="L447" s="115"/>
      <c r="M447" s="115"/>
      <c r="N447" s="115"/>
      <c r="O447" s="115"/>
      <c r="P447" s="115"/>
    </row>
    <row r="448" spans="10:16" ht="12.5" x14ac:dyDescent="0.25">
      <c r="J448" s="115"/>
      <c r="K448" s="115"/>
      <c r="L448" s="115"/>
      <c r="M448" s="115"/>
      <c r="N448" s="115"/>
      <c r="O448" s="115"/>
      <c r="P448" s="115"/>
    </row>
    <row r="449" spans="10:16" ht="12.5" x14ac:dyDescent="0.25">
      <c r="J449" s="115"/>
      <c r="K449" s="115"/>
      <c r="L449" s="115"/>
      <c r="M449" s="115"/>
      <c r="N449" s="115"/>
      <c r="O449" s="115"/>
      <c r="P449" s="115"/>
    </row>
    <row r="450" spans="10:16" ht="12.5" x14ac:dyDescent="0.25">
      <c r="J450" s="115"/>
      <c r="K450" s="115"/>
      <c r="L450" s="115"/>
      <c r="M450" s="115"/>
      <c r="N450" s="115"/>
      <c r="O450" s="115"/>
      <c r="P450" s="115"/>
    </row>
    <row r="451" spans="10:16" ht="12.5" x14ac:dyDescent="0.25">
      <c r="J451" s="115"/>
      <c r="K451" s="115"/>
      <c r="L451" s="115"/>
      <c r="M451" s="115"/>
      <c r="N451" s="115"/>
      <c r="O451" s="115"/>
      <c r="P451" s="115"/>
    </row>
    <row r="452" spans="10:16" ht="12.5" x14ac:dyDescent="0.25">
      <c r="J452" s="115"/>
      <c r="K452" s="115"/>
      <c r="L452" s="115"/>
      <c r="M452" s="115"/>
      <c r="N452" s="115"/>
      <c r="O452" s="115"/>
      <c r="P452" s="115"/>
    </row>
    <row r="453" spans="10:16" ht="12.5" x14ac:dyDescent="0.25">
      <c r="J453" s="115"/>
      <c r="K453" s="115"/>
      <c r="L453" s="115"/>
      <c r="M453" s="115"/>
      <c r="N453" s="115"/>
      <c r="O453" s="115"/>
      <c r="P453" s="115"/>
    </row>
    <row r="454" spans="10:16" ht="12.5" x14ac:dyDescent="0.25">
      <c r="J454" s="115"/>
      <c r="K454" s="115"/>
      <c r="L454" s="115"/>
      <c r="M454" s="115"/>
      <c r="N454" s="115"/>
      <c r="O454" s="115"/>
      <c r="P454" s="115"/>
    </row>
    <row r="455" spans="10:16" ht="12.5" x14ac:dyDescent="0.25">
      <c r="J455" s="115"/>
      <c r="K455" s="115"/>
      <c r="L455" s="115"/>
      <c r="M455" s="115"/>
      <c r="N455" s="115"/>
      <c r="O455" s="115"/>
      <c r="P455" s="115"/>
    </row>
    <row r="456" spans="10:16" ht="12.5" x14ac:dyDescent="0.25">
      <c r="J456" s="115"/>
      <c r="K456" s="115"/>
      <c r="L456" s="115"/>
      <c r="M456" s="115"/>
      <c r="N456" s="115"/>
      <c r="O456" s="115"/>
      <c r="P456" s="115"/>
    </row>
    <row r="457" spans="10:16" ht="12.5" x14ac:dyDescent="0.25">
      <c r="J457" s="115"/>
      <c r="K457" s="115"/>
      <c r="L457" s="115"/>
      <c r="M457" s="115"/>
      <c r="N457" s="115"/>
      <c r="O457" s="115"/>
      <c r="P457" s="115"/>
    </row>
    <row r="458" spans="10:16" ht="12.5" x14ac:dyDescent="0.25">
      <c r="J458" s="115"/>
      <c r="K458" s="115"/>
      <c r="L458" s="115"/>
      <c r="M458" s="115"/>
      <c r="N458" s="115"/>
      <c r="O458" s="115"/>
      <c r="P458" s="115"/>
    </row>
    <row r="459" spans="10:16" ht="12.5" x14ac:dyDescent="0.25">
      <c r="J459" s="115"/>
      <c r="K459" s="115"/>
      <c r="L459" s="115"/>
      <c r="M459" s="115"/>
      <c r="N459" s="115"/>
      <c r="O459" s="115"/>
      <c r="P459" s="115"/>
    </row>
    <row r="460" spans="10:16" ht="12.5" x14ac:dyDescent="0.25">
      <c r="J460" s="115"/>
      <c r="K460" s="115"/>
      <c r="L460" s="115"/>
      <c r="M460" s="115"/>
      <c r="N460" s="115"/>
      <c r="O460" s="115"/>
      <c r="P460" s="115"/>
    </row>
    <row r="461" spans="10:16" ht="12.5" x14ac:dyDescent="0.25">
      <c r="J461" s="115"/>
      <c r="K461" s="115"/>
      <c r="L461" s="115"/>
      <c r="M461" s="115"/>
      <c r="N461" s="115"/>
      <c r="O461" s="115"/>
      <c r="P461" s="115"/>
    </row>
    <row r="462" spans="10:16" ht="12.5" x14ac:dyDescent="0.25">
      <c r="J462" s="115"/>
      <c r="K462" s="115"/>
      <c r="L462" s="115"/>
      <c r="M462" s="115"/>
      <c r="N462" s="115"/>
      <c r="O462" s="115"/>
      <c r="P462" s="115"/>
    </row>
    <row r="463" spans="10:16" ht="12.5" x14ac:dyDescent="0.25">
      <c r="J463" s="115"/>
      <c r="K463" s="115"/>
      <c r="L463" s="115"/>
      <c r="M463" s="115"/>
      <c r="N463" s="115"/>
      <c r="O463" s="115"/>
      <c r="P463" s="115"/>
    </row>
    <row r="464" spans="10:16" ht="12.5" x14ac:dyDescent="0.25">
      <c r="J464" s="115"/>
      <c r="K464" s="115"/>
      <c r="L464" s="115"/>
      <c r="M464" s="115"/>
      <c r="N464" s="115"/>
      <c r="O464" s="115"/>
      <c r="P464" s="115"/>
    </row>
    <row r="465" spans="10:16" ht="12.5" x14ac:dyDescent="0.25">
      <c r="J465" s="115"/>
      <c r="K465" s="115"/>
      <c r="L465" s="115"/>
      <c r="M465" s="115"/>
      <c r="N465" s="115"/>
      <c r="O465" s="115"/>
      <c r="P465" s="115"/>
    </row>
    <row r="466" spans="10:16" ht="12.5" x14ac:dyDescent="0.25">
      <c r="J466" s="115"/>
      <c r="K466" s="115"/>
      <c r="L466" s="115"/>
      <c r="M466" s="115"/>
      <c r="N466" s="115"/>
      <c r="O466" s="115"/>
      <c r="P466" s="115"/>
    </row>
    <row r="467" spans="10:16" ht="12.5" x14ac:dyDescent="0.25">
      <c r="J467" s="115"/>
      <c r="K467" s="115"/>
      <c r="L467" s="115"/>
      <c r="M467" s="115"/>
      <c r="N467" s="115"/>
      <c r="O467" s="115"/>
      <c r="P467" s="115"/>
    </row>
    <row r="468" spans="10:16" ht="12.5" x14ac:dyDescent="0.25">
      <c r="J468" s="115"/>
      <c r="K468" s="115"/>
      <c r="L468" s="115"/>
      <c r="M468" s="115"/>
      <c r="N468" s="115"/>
      <c r="O468" s="115"/>
      <c r="P468" s="115"/>
    </row>
    <row r="469" spans="10:16" ht="12.5" x14ac:dyDescent="0.25">
      <c r="J469" s="115"/>
      <c r="K469" s="115"/>
      <c r="L469" s="115"/>
      <c r="M469" s="115"/>
      <c r="N469" s="115"/>
      <c r="O469" s="115"/>
      <c r="P469" s="115"/>
    </row>
    <row r="470" spans="10:16" ht="12.5" x14ac:dyDescent="0.25">
      <c r="J470" s="115"/>
      <c r="K470" s="115"/>
      <c r="L470" s="115"/>
      <c r="M470" s="115"/>
      <c r="N470" s="115"/>
      <c r="O470" s="115"/>
      <c r="P470" s="115"/>
    </row>
    <row r="471" spans="10:16" ht="12.5" x14ac:dyDescent="0.25">
      <c r="J471" s="115"/>
      <c r="K471" s="115"/>
      <c r="L471" s="115"/>
      <c r="M471" s="115"/>
      <c r="N471" s="115"/>
      <c r="O471" s="115"/>
      <c r="P471" s="115"/>
    </row>
    <row r="472" spans="10:16" ht="12.5" x14ac:dyDescent="0.25">
      <c r="J472" s="115"/>
      <c r="K472" s="115"/>
      <c r="L472" s="115"/>
      <c r="M472" s="115"/>
      <c r="N472" s="115"/>
      <c r="O472" s="115"/>
      <c r="P472" s="115"/>
    </row>
    <row r="473" spans="10:16" ht="12.5" x14ac:dyDescent="0.25">
      <c r="J473" s="115"/>
      <c r="K473" s="115"/>
      <c r="L473" s="115"/>
      <c r="M473" s="115"/>
      <c r="N473" s="115"/>
      <c r="O473" s="115"/>
      <c r="P473" s="115"/>
    </row>
    <row r="474" spans="10:16" ht="12.5" x14ac:dyDescent="0.25">
      <c r="J474" s="115"/>
      <c r="K474" s="115"/>
      <c r="L474" s="115"/>
      <c r="M474" s="115"/>
      <c r="N474" s="115"/>
      <c r="O474" s="115"/>
      <c r="P474" s="115"/>
    </row>
    <row r="475" spans="10:16" ht="12.5" x14ac:dyDescent="0.25">
      <c r="J475" s="115"/>
      <c r="K475" s="115"/>
      <c r="L475" s="115"/>
      <c r="M475" s="115"/>
      <c r="N475" s="115"/>
      <c r="O475" s="115"/>
      <c r="P475" s="115"/>
    </row>
    <row r="476" spans="10:16" ht="12.5" x14ac:dyDescent="0.25">
      <c r="J476" s="115"/>
      <c r="K476" s="115"/>
      <c r="L476" s="115"/>
      <c r="M476" s="115"/>
      <c r="N476" s="115"/>
      <c r="O476" s="115"/>
      <c r="P476" s="115"/>
    </row>
    <row r="477" spans="10:16" ht="12.5" x14ac:dyDescent="0.25">
      <c r="J477" s="115"/>
      <c r="K477" s="115"/>
      <c r="L477" s="115"/>
      <c r="M477" s="115"/>
      <c r="N477" s="115"/>
      <c r="O477" s="115"/>
      <c r="P477" s="115"/>
    </row>
    <row r="478" spans="10:16" ht="12.5" x14ac:dyDescent="0.25">
      <c r="J478" s="115"/>
      <c r="K478" s="115"/>
      <c r="L478" s="115"/>
      <c r="M478" s="115"/>
      <c r="N478" s="115"/>
      <c r="O478" s="115"/>
      <c r="P478" s="115"/>
    </row>
    <row r="479" spans="10:16" ht="12.5" x14ac:dyDescent="0.25">
      <c r="J479" s="115"/>
      <c r="K479" s="115"/>
      <c r="L479" s="115"/>
      <c r="M479" s="115"/>
      <c r="N479" s="115"/>
      <c r="O479" s="115"/>
      <c r="P479" s="115"/>
    </row>
    <row r="480" spans="10:16" ht="12.5" x14ac:dyDescent="0.25">
      <c r="J480" s="115"/>
      <c r="K480" s="115"/>
      <c r="L480" s="115"/>
      <c r="M480" s="115"/>
      <c r="N480" s="115"/>
      <c r="O480" s="115"/>
      <c r="P480" s="115"/>
    </row>
    <row r="481" spans="10:16" ht="12.5" x14ac:dyDescent="0.25">
      <c r="J481" s="115"/>
      <c r="K481" s="115"/>
      <c r="L481" s="115"/>
      <c r="M481" s="115"/>
      <c r="N481" s="115"/>
      <c r="O481" s="115"/>
      <c r="P481" s="115"/>
    </row>
    <row r="482" spans="10:16" ht="12.5" x14ac:dyDescent="0.25">
      <c r="J482" s="115"/>
      <c r="K482" s="115"/>
      <c r="L482" s="115"/>
      <c r="M482" s="115"/>
      <c r="N482" s="115"/>
      <c r="O482" s="115"/>
      <c r="P482" s="115"/>
    </row>
    <row r="483" spans="10:16" ht="12.5" x14ac:dyDescent="0.25">
      <c r="J483" s="115"/>
      <c r="K483" s="115"/>
      <c r="L483" s="115"/>
      <c r="M483" s="115"/>
      <c r="N483" s="115"/>
      <c r="O483" s="115"/>
      <c r="P483" s="115"/>
    </row>
    <row r="484" spans="10:16" ht="12.5" x14ac:dyDescent="0.25">
      <c r="J484" s="115"/>
      <c r="K484" s="115"/>
      <c r="L484" s="115"/>
      <c r="M484" s="115"/>
      <c r="N484" s="115"/>
      <c r="O484" s="115"/>
      <c r="P484" s="115"/>
    </row>
    <row r="485" spans="10:16" ht="12.5" x14ac:dyDescent="0.25">
      <c r="J485" s="115"/>
      <c r="K485" s="115"/>
      <c r="L485" s="115"/>
      <c r="M485" s="115"/>
      <c r="N485" s="115"/>
      <c r="O485" s="115"/>
      <c r="P485" s="115"/>
    </row>
    <row r="486" spans="10:16" ht="12.5" x14ac:dyDescent="0.25">
      <c r="J486" s="115"/>
      <c r="K486" s="115"/>
      <c r="L486" s="115"/>
      <c r="M486" s="115"/>
      <c r="N486" s="115"/>
      <c r="O486" s="115"/>
      <c r="P486" s="115"/>
    </row>
    <row r="487" spans="10:16" ht="12.5" x14ac:dyDescent="0.25">
      <c r="J487" s="115"/>
      <c r="K487" s="115"/>
      <c r="L487" s="115"/>
      <c r="M487" s="115"/>
      <c r="N487" s="115"/>
      <c r="O487" s="115"/>
      <c r="P487" s="115"/>
    </row>
    <row r="488" spans="10:16" ht="12.5" x14ac:dyDescent="0.25">
      <c r="J488" s="115"/>
      <c r="K488" s="115"/>
      <c r="L488" s="115"/>
      <c r="M488" s="115"/>
      <c r="N488" s="115"/>
      <c r="O488" s="115"/>
      <c r="P488" s="115"/>
    </row>
    <row r="489" spans="10:16" ht="12.5" x14ac:dyDescent="0.25">
      <c r="J489" s="115"/>
      <c r="K489" s="115"/>
      <c r="L489" s="115"/>
      <c r="M489" s="115"/>
      <c r="N489" s="115"/>
      <c r="O489" s="115"/>
      <c r="P489" s="115"/>
    </row>
    <row r="490" spans="10:16" ht="12.5" x14ac:dyDescent="0.25">
      <c r="J490" s="115"/>
      <c r="K490" s="115"/>
      <c r="L490" s="115"/>
      <c r="M490" s="115"/>
      <c r="N490" s="115"/>
      <c r="O490" s="115"/>
      <c r="P490" s="115"/>
    </row>
    <row r="491" spans="10:16" ht="12.5" x14ac:dyDescent="0.25">
      <c r="J491" s="115"/>
      <c r="K491" s="115"/>
      <c r="L491" s="115"/>
      <c r="M491" s="115"/>
      <c r="N491" s="115"/>
      <c r="O491" s="115"/>
      <c r="P491" s="115"/>
    </row>
    <row r="492" spans="10:16" ht="12.5" x14ac:dyDescent="0.25">
      <c r="J492" s="115"/>
      <c r="K492" s="115"/>
      <c r="L492" s="115"/>
      <c r="M492" s="115"/>
      <c r="N492" s="115"/>
      <c r="O492" s="115"/>
      <c r="P492" s="115"/>
    </row>
    <row r="493" spans="10:16" ht="12.5" x14ac:dyDescent="0.25">
      <c r="J493" s="115"/>
      <c r="K493" s="115"/>
      <c r="L493" s="115"/>
      <c r="M493" s="115"/>
      <c r="N493" s="115"/>
      <c r="O493" s="115"/>
      <c r="P493" s="115"/>
    </row>
    <row r="494" spans="10:16" ht="12.5" x14ac:dyDescent="0.25">
      <c r="J494" s="115"/>
      <c r="K494" s="115"/>
      <c r="L494" s="115"/>
      <c r="M494" s="115"/>
      <c r="N494" s="115"/>
      <c r="O494" s="115"/>
      <c r="P494" s="115"/>
    </row>
    <row r="495" spans="10:16" ht="12.5" x14ac:dyDescent="0.25">
      <c r="J495" s="115"/>
      <c r="K495" s="115"/>
      <c r="L495" s="115"/>
      <c r="M495" s="115"/>
      <c r="N495" s="115"/>
      <c r="O495" s="115"/>
      <c r="P495" s="115"/>
    </row>
    <row r="496" spans="10:16" ht="12.5" x14ac:dyDescent="0.25">
      <c r="J496" s="115"/>
      <c r="K496" s="115"/>
      <c r="L496" s="115"/>
      <c r="M496" s="115"/>
      <c r="N496" s="115"/>
      <c r="O496" s="115"/>
      <c r="P496" s="115"/>
    </row>
    <row r="497" spans="10:16" ht="12.5" x14ac:dyDescent="0.25">
      <c r="J497" s="115"/>
      <c r="K497" s="115"/>
      <c r="L497" s="115"/>
      <c r="M497" s="115"/>
      <c r="N497" s="115"/>
      <c r="O497" s="115"/>
      <c r="P497" s="115"/>
    </row>
    <row r="498" spans="10:16" ht="12.5" x14ac:dyDescent="0.25">
      <c r="J498" s="115"/>
      <c r="K498" s="115"/>
      <c r="L498" s="115"/>
      <c r="M498" s="115"/>
      <c r="N498" s="115"/>
      <c r="O498" s="115"/>
      <c r="P498" s="115"/>
    </row>
    <row r="499" spans="10:16" ht="12.5" x14ac:dyDescent="0.25">
      <c r="J499" s="115"/>
      <c r="K499" s="115"/>
      <c r="L499" s="115"/>
      <c r="M499" s="115"/>
      <c r="N499" s="115"/>
      <c r="O499" s="115"/>
      <c r="P499" s="115"/>
    </row>
    <row r="500" spans="10:16" ht="12.5" x14ac:dyDescent="0.25">
      <c r="J500" s="115"/>
      <c r="K500" s="115"/>
      <c r="L500" s="115"/>
      <c r="M500" s="115"/>
      <c r="N500" s="115"/>
      <c r="O500" s="115"/>
      <c r="P500" s="115"/>
    </row>
    <row r="501" spans="10:16" ht="12.5" x14ac:dyDescent="0.25">
      <c r="J501" s="115"/>
      <c r="K501" s="115"/>
      <c r="L501" s="115"/>
      <c r="M501" s="115"/>
      <c r="N501" s="115"/>
      <c r="O501" s="115"/>
      <c r="P501" s="115"/>
    </row>
    <row r="502" spans="10:16" ht="12.5" x14ac:dyDescent="0.25">
      <c r="J502" s="115"/>
      <c r="K502" s="115"/>
      <c r="L502" s="115"/>
      <c r="M502" s="115"/>
      <c r="N502" s="115"/>
      <c r="O502" s="115"/>
      <c r="P502" s="115"/>
    </row>
    <row r="503" spans="10:16" ht="12.5" x14ac:dyDescent="0.25">
      <c r="J503" s="115"/>
      <c r="K503" s="115"/>
      <c r="L503" s="115"/>
      <c r="M503" s="115"/>
      <c r="N503" s="115"/>
      <c r="O503" s="115"/>
      <c r="P503" s="115"/>
    </row>
    <row r="504" spans="10:16" ht="12.5" x14ac:dyDescent="0.25">
      <c r="J504" s="115"/>
      <c r="K504" s="115"/>
      <c r="L504" s="115"/>
      <c r="M504" s="115"/>
      <c r="N504" s="115"/>
      <c r="O504" s="115"/>
      <c r="P504" s="115"/>
    </row>
    <row r="505" spans="10:16" ht="12.5" x14ac:dyDescent="0.25">
      <c r="J505" s="115"/>
      <c r="K505" s="115"/>
      <c r="L505" s="115"/>
      <c r="M505" s="115"/>
      <c r="N505" s="115"/>
      <c r="O505" s="115"/>
      <c r="P505" s="115"/>
    </row>
    <row r="506" spans="10:16" ht="12.5" x14ac:dyDescent="0.25">
      <c r="J506" s="115"/>
      <c r="K506" s="115"/>
      <c r="L506" s="115"/>
      <c r="M506" s="115"/>
      <c r="N506" s="115"/>
      <c r="O506" s="115"/>
      <c r="P506" s="115"/>
    </row>
    <row r="507" spans="10:16" ht="12.5" x14ac:dyDescent="0.25">
      <c r="J507" s="115"/>
      <c r="K507" s="115"/>
      <c r="L507" s="115"/>
      <c r="M507" s="115"/>
      <c r="N507" s="115"/>
      <c r="O507" s="115"/>
      <c r="P507" s="115"/>
    </row>
    <row r="508" spans="10:16" ht="12.5" x14ac:dyDescent="0.25">
      <c r="J508" s="115"/>
      <c r="K508" s="115"/>
      <c r="L508" s="115"/>
      <c r="M508" s="115"/>
      <c r="N508" s="115"/>
      <c r="O508" s="115"/>
      <c r="P508" s="115"/>
    </row>
    <row r="509" spans="10:16" ht="12.5" x14ac:dyDescent="0.25">
      <c r="J509" s="115"/>
      <c r="K509" s="115"/>
      <c r="L509" s="115"/>
      <c r="M509" s="115"/>
      <c r="N509" s="115"/>
      <c r="O509" s="115"/>
      <c r="P509" s="115"/>
    </row>
    <row r="510" spans="10:16" ht="12.5" x14ac:dyDescent="0.25">
      <c r="J510" s="115"/>
      <c r="K510" s="115"/>
      <c r="L510" s="115"/>
      <c r="M510" s="115"/>
      <c r="N510" s="115"/>
      <c r="O510" s="115"/>
      <c r="P510" s="115"/>
    </row>
    <row r="511" spans="10:16" ht="12.5" x14ac:dyDescent="0.25">
      <c r="J511" s="115"/>
      <c r="K511" s="115"/>
      <c r="L511" s="115"/>
      <c r="M511" s="115"/>
      <c r="N511" s="115"/>
      <c r="O511" s="115"/>
      <c r="P511" s="115"/>
    </row>
    <row r="512" spans="10:16" ht="12.5" x14ac:dyDescent="0.25">
      <c r="J512" s="115"/>
      <c r="K512" s="115"/>
      <c r="L512" s="115"/>
      <c r="M512" s="115"/>
      <c r="N512" s="115"/>
      <c r="O512" s="115"/>
      <c r="P512" s="115"/>
    </row>
    <row r="513" spans="10:16" ht="12.5" x14ac:dyDescent="0.25">
      <c r="J513" s="115"/>
      <c r="K513" s="115"/>
      <c r="L513" s="115"/>
      <c r="M513" s="115"/>
      <c r="N513" s="115"/>
      <c r="O513" s="115"/>
      <c r="P513" s="115"/>
    </row>
    <row r="514" spans="10:16" ht="12.5" x14ac:dyDescent="0.25">
      <c r="J514" s="115"/>
      <c r="K514" s="115"/>
      <c r="L514" s="115"/>
      <c r="M514" s="115"/>
      <c r="N514" s="115"/>
      <c r="O514" s="115"/>
      <c r="P514" s="115"/>
    </row>
    <row r="515" spans="10:16" ht="12.5" x14ac:dyDescent="0.25">
      <c r="J515" s="115"/>
      <c r="K515" s="115"/>
      <c r="L515" s="115"/>
      <c r="M515" s="115"/>
      <c r="N515" s="115"/>
      <c r="O515" s="115"/>
      <c r="P515" s="115"/>
    </row>
    <row r="516" spans="10:16" ht="12.5" x14ac:dyDescent="0.25">
      <c r="J516" s="115"/>
      <c r="K516" s="115"/>
      <c r="L516" s="115"/>
      <c r="M516" s="115"/>
      <c r="N516" s="115"/>
      <c r="O516" s="115"/>
      <c r="P516" s="115"/>
    </row>
    <row r="517" spans="10:16" ht="12.5" x14ac:dyDescent="0.25">
      <c r="J517" s="115"/>
      <c r="K517" s="115"/>
      <c r="L517" s="115"/>
      <c r="M517" s="115"/>
      <c r="N517" s="115"/>
      <c r="O517" s="115"/>
      <c r="P517" s="115"/>
    </row>
    <row r="518" spans="10:16" ht="12.5" x14ac:dyDescent="0.25">
      <c r="J518" s="115"/>
      <c r="K518" s="115"/>
      <c r="L518" s="115"/>
      <c r="M518" s="115"/>
      <c r="N518" s="115"/>
      <c r="O518" s="115"/>
      <c r="P518" s="115"/>
    </row>
    <row r="519" spans="10:16" ht="12.5" x14ac:dyDescent="0.25">
      <c r="J519" s="115"/>
      <c r="K519" s="115"/>
      <c r="L519" s="115"/>
      <c r="M519" s="115"/>
      <c r="N519" s="115"/>
      <c r="O519" s="115"/>
      <c r="P519" s="115"/>
    </row>
    <row r="520" spans="10:16" ht="12.5" x14ac:dyDescent="0.25">
      <c r="J520" s="115"/>
      <c r="K520" s="115"/>
      <c r="L520" s="115"/>
      <c r="M520" s="115"/>
      <c r="N520" s="115"/>
      <c r="O520" s="115"/>
      <c r="P520" s="115"/>
    </row>
    <row r="521" spans="10:16" ht="12.5" x14ac:dyDescent="0.25">
      <c r="J521" s="115"/>
      <c r="K521" s="115"/>
      <c r="L521" s="115"/>
      <c r="M521" s="115"/>
      <c r="N521" s="115"/>
      <c r="O521" s="115"/>
      <c r="P521" s="115"/>
    </row>
    <row r="522" spans="10:16" ht="12.5" x14ac:dyDescent="0.25">
      <c r="J522" s="115"/>
      <c r="K522" s="115"/>
      <c r="L522" s="115"/>
      <c r="M522" s="115"/>
      <c r="N522" s="115"/>
      <c r="O522" s="115"/>
      <c r="P522" s="115"/>
    </row>
    <row r="523" spans="10:16" ht="12.5" x14ac:dyDescent="0.25">
      <c r="J523" s="115"/>
      <c r="K523" s="115"/>
      <c r="L523" s="115"/>
      <c r="M523" s="115"/>
      <c r="N523" s="115"/>
      <c r="O523" s="115"/>
      <c r="P523" s="115"/>
    </row>
    <row r="524" spans="10:16" ht="12.5" x14ac:dyDescent="0.25">
      <c r="J524" s="115"/>
      <c r="K524" s="115"/>
      <c r="L524" s="115"/>
      <c r="M524" s="115"/>
      <c r="N524" s="115"/>
      <c r="O524" s="115"/>
      <c r="P524" s="115"/>
    </row>
    <row r="525" spans="10:16" ht="12.5" x14ac:dyDescent="0.25">
      <c r="J525" s="115"/>
      <c r="K525" s="115"/>
      <c r="L525" s="115"/>
      <c r="M525" s="115"/>
      <c r="N525" s="115"/>
      <c r="O525" s="115"/>
      <c r="P525" s="115"/>
    </row>
    <row r="526" spans="10:16" ht="12.5" x14ac:dyDescent="0.25">
      <c r="J526" s="115"/>
      <c r="K526" s="115"/>
      <c r="L526" s="115"/>
      <c r="M526" s="115"/>
      <c r="N526" s="115"/>
      <c r="O526" s="115"/>
      <c r="P526" s="115"/>
    </row>
    <row r="527" spans="10:16" ht="12.5" x14ac:dyDescent="0.25">
      <c r="J527" s="115"/>
      <c r="K527" s="115"/>
      <c r="L527" s="115"/>
      <c r="M527" s="115"/>
      <c r="N527" s="115"/>
      <c r="O527" s="115"/>
      <c r="P527" s="115"/>
    </row>
    <row r="528" spans="10:16" ht="12.5" x14ac:dyDescent="0.25">
      <c r="J528" s="115"/>
      <c r="K528" s="115"/>
      <c r="L528" s="115"/>
      <c r="M528" s="115"/>
      <c r="N528" s="115"/>
      <c r="O528" s="115"/>
      <c r="P528" s="115"/>
    </row>
    <row r="529" spans="10:16" ht="12.5" x14ac:dyDescent="0.25">
      <c r="J529" s="115"/>
      <c r="K529" s="115"/>
      <c r="L529" s="115"/>
      <c r="M529" s="115"/>
      <c r="N529" s="115"/>
      <c r="O529" s="115"/>
      <c r="P529" s="115"/>
    </row>
    <row r="530" spans="10:16" ht="12.5" x14ac:dyDescent="0.25">
      <c r="J530" s="115"/>
      <c r="K530" s="115"/>
      <c r="L530" s="115"/>
      <c r="M530" s="115"/>
      <c r="N530" s="115"/>
      <c r="O530" s="115"/>
      <c r="P530" s="115"/>
    </row>
    <row r="531" spans="10:16" ht="12.5" x14ac:dyDescent="0.25">
      <c r="J531" s="115"/>
      <c r="K531" s="115"/>
      <c r="L531" s="115"/>
      <c r="M531" s="115"/>
      <c r="N531" s="115"/>
      <c r="O531" s="115"/>
      <c r="P531" s="115"/>
    </row>
    <row r="532" spans="10:16" ht="12.5" x14ac:dyDescent="0.25">
      <c r="J532" s="115"/>
      <c r="K532" s="115"/>
      <c r="L532" s="115"/>
      <c r="M532" s="115"/>
      <c r="N532" s="115"/>
      <c r="O532" s="115"/>
      <c r="P532" s="115"/>
    </row>
    <row r="533" spans="10:16" ht="12.5" x14ac:dyDescent="0.25">
      <c r="J533" s="115"/>
      <c r="K533" s="115"/>
      <c r="L533" s="115"/>
      <c r="M533" s="115"/>
      <c r="N533" s="115"/>
      <c r="O533" s="115"/>
      <c r="P533" s="115"/>
    </row>
    <row r="534" spans="10:16" ht="12.5" x14ac:dyDescent="0.25">
      <c r="J534" s="115"/>
      <c r="K534" s="115"/>
      <c r="L534" s="115"/>
      <c r="M534" s="115"/>
      <c r="N534" s="115"/>
      <c r="O534" s="115"/>
      <c r="P534" s="115"/>
    </row>
    <row r="535" spans="10:16" ht="12.5" x14ac:dyDescent="0.25">
      <c r="J535" s="115"/>
      <c r="K535" s="115"/>
      <c r="L535" s="115"/>
      <c r="M535" s="115"/>
      <c r="N535" s="115"/>
      <c r="O535" s="115"/>
      <c r="P535" s="115"/>
    </row>
    <row r="536" spans="10:16" ht="12.5" x14ac:dyDescent="0.25">
      <c r="J536" s="115"/>
      <c r="K536" s="115"/>
      <c r="L536" s="115"/>
      <c r="M536" s="115"/>
      <c r="N536" s="115"/>
      <c r="O536" s="115"/>
      <c r="P536" s="115"/>
    </row>
    <row r="537" spans="10:16" ht="12.5" x14ac:dyDescent="0.25">
      <c r="J537" s="115"/>
      <c r="K537" s="115"/>
      <c r="L537" s="115"/>
      <c r="M537" s="115"/>
      <c r="N537" s="115"/>
      <c r="O537" s="115"/>
      <c r="P537" s="115"/>
    </row>
    <row r="538" spans="10:16" ht="12.5" x14ac:dyDescent="0.25">
      <c r="J538" s="115"/>
      <c r="K538" s="115"/>
      <c r="L538" s="115"/>
      <c r="M538" s="115"/>
      <c r="N538" s="115"/>
      <c r="O538" s="115"/>
      <c r="P538" s="115"/>
    </row>
    <row r="539" spans="10:16" ht="12.5" x14ac:dyDescent="0.25">
      <c r="J539" s="115"/>
      <c r="K539" s="115"/>
      <c r="L539" s="115"/>
      <c r="M539" s="115"/>
      <c r="N539" s="115"/>
      <c r="O539" s="115"/>
      <c r="P539" s="115"/>
    </row>
    <row r="540" spans="10:16" ht="12.5" x14ac:dyDescent="0.25">
      <c r="J540" s="115"/>
      <c r="K540" s="115"/>
      <c r="L540" s="115"/>
      <c r="M540" s="115"/>
      <c r="N540" s="115"/>
      <c r="O540" s="115"/>
      <c r="P540" s="115"/>
    </row>
    <row r="541" spans="10:16" ht="12.5" x14ac:dyDescent="0.25">
      <c r="J541" s="115"/>
      <c r="K541" s="115"/>
      <c r="L541" s="115"/>
      <c r="M541" s="115"/>
      <c r="N541" s="115"/>
      <c r="O541" s="115"/>
      <c r="P541" s="115"/>
    </row>
    <row r="542" spans="10:16" ht="12.5" x14ac:dyDescent="0.25">
      <c r="J542" s="115"/>
      <c r="K542" s="115"/>
      <c r="L542" s="115"/>
      <c r="M542" s="115"/>
      <c r="N542" s="115"/>
      <c r="O542" s="115"/>
      <c r="P542" s="115"/>
    </row>
    <row r="543" spans="10:16" ht="12.5" x14ac:dyDescent="0.25">
      <c r="J543" s="115"/>
      <c r="K543" s="115"/>
      <c r="L543" s="115"/>
      <c r="M543" s="115"/>
      <c r="N543" s="115"/>
      <c r="O543" s="115"/>
      <c r="P543" s="115"/>
    </row>
    <row r="544" spans="10:16" ht="12.5" x14ac:dyDescent="0.25">
      <c r="J544" s="115"/>
      <c r="K544" s="115"/>
      <c r="L544" s="115"/>
      <c r="M544" s="115"/>
      <c r="N544" s="115"/>
      <c r="O544" s="115"/>
      <c r="P544" s="115"/>
    </row>
    <row r="545" spans="10:16" ht="12.5" x14ac:dyDescent="0.25">
      <c r="J545" s="115"/>
      <c r="K545" s="115"/>
      <c r="L545" s="115"/>
      <c r="M545" s="115"/>
      <c r="N545" s="115"/>
      <c r="O545" s="115"/>
      <c r="P545" s="115"/>
    </row>
    <row r="546" spans="10:16" ht="12.5" x14ac:dyDescent="0.25">
      <c r="J546" s="115"/>
      <c r="K546" s="115"/>
      <c r="L546" s="115"/>
      <c r="M546" s="115"/>
      <c r="N546" s="115"/>
      <c r="O546" s="115"/>
      <c r="P546" s="115"/>
    </row>
    <row r="547" spans="10:16" ht="12.5" x14ac:dyDescent="0.25">
      <c r="J547" s="115"/>
      <c r="K547" s="115"/>
      <c r="L547" s="115"/>
      <c r="M547" s="115"/>
      <c r="N547" s="115"/>
      <c r="O547" s="115"/>
      <c r="P547" s="115"/>
    </row>
    <row r="548" spans="10:16" ht="12.5" x14ac:dyDescent="0.25">
      <c r="J548" s="115"/>
      <c r="K548" s="115"/>
      <c r="L548" s="115"/>
      <c r="M548" s="115"/>
      <c r="N548" s="115"/>
      <c r="O548" s="115"/>
      <c r="P548" s="115"/>
    </row>
    <row r="549" spans="10:16" ht="12.5" x14ac:dyDescent="0.25">
      <c r="J549" s="115"/>
      <c r="K549" s="115"/>
      <c r="L549" s="115"/>
      <c r="M549" s="115"/>
      <c r="N549" s="115"/>
      <c r="O549" s="115"/>
      <c r="P549" s="115"/>
    </row>
    <row r="550" spans="10:16" ht="12.5" x14ac:dyDescent="0.25">
      <c r="J550" s="115"/>
      <c r="K550" s="115"/>
      <c r="L550" s="115"/>
      <c r="M550" s="115"/>
      <c r="N550" s="115"/>
      <c r="O550" s="115"/>
      <c r="P550" s="115"/>
    </row>
    <row r="551" spans="10:16" ht="12.5" x14ac:dyDescent="0.25">
      <c r="J551" s="115"/>
      <c r="K551" s="115"/>
      <c r="L551" s="115"/>
      <c r="M551" s="115"/>
      <c r="N551" s="115"/>
      <c r="O551" s="115"/>
      <c r="P551" s="115"/>
    </row>
    <row r="552" spans="10:16" ht="12.5" x14ac:dyDescent="0.25">
      <c r="J552" s="115"/>
      <c r="K552" s="115"/>
      <c r="L552" s="115"/>
      <c r="M552" s="115"/>
      <c r="N552" s="115"/>
      <c r="O552" s="115"/>
      <c r="P552" s="115"/>
    </row>
    <row r="553" spans="10:16" ht="12.5" x14ac:dyDescent="0.25">
      <c r="J553" s="115"/>
      <c r="K553" s="115"/>
      <c r="L553" s="115"/>
      <c r="M553" s="115"/>
      <c r="N553" s="115"/>
      <c r="O553" s="115"/>
      <c r="P553" s="115"/>
    </row>
    <row r="554" spans="10:16" ht="12.5" x14ac:dyDescent="0.25">
      <c r="J554" s="115"/>
      <c r="K554" s="115"/>
      <c r="L554" s="115"/>
      <c r="M554" s="115"/>
      <c r="N554" s="115"/>
      <c r="O554" s="115"/>
      <c r="P554" s="115"/>
    </row>
    <row r="555" spans="10:16" ht="12.5" x14ac:dyDescent="0.25">
      <c r="J555" s="115"/>
      <c r="K555" s="115"/>
      <c r="L555" s="115"/>
      <c r="M555" s="115"/>
      <c r="N555" s="115"/>
      <c r="O555" s="115"/>
      <c r="P555" s="115"/>
    </row>
    <row r="556" spans="10:16" ht="12.5" x14ac:dyDescent="0.25">
      <c r="J556" s="115"/>
      <c r="K556" s="115"/>
      <c r="L556" s="115"/>
      <c r="M556" s="115"/>
      <c r="N556" s="115"/>
      <c r="O556" s="115"/>
      <c r="P556" s="115"/>
    </row>
    <row r="557" spans="10:16" ht="12.5" x14ac:dyDescent="0.25">
      <c r="J557" s="115"/>
      <c r="K557" s="115"/>
      <c r="L557" s="115"/>
      <c r="M557" s="115"/>
      <c r="N557" s="115"/>
      <c r="O557" s="115"/>
      <c r="P557" s="115"/>
    </row>
    <row r="558" spans="10:16" ht="12.5" x14ac:dyDescent="0.25">
      <c r="J558" s="115"/>
      <c r="K558" s="115"/>
      <c r="L558" s="115"/>
      <c r="M558" s="115"/>
      <c r="N558" s="115"/>
      <c r="O558" s="115"/>
      <c r="P558" s="115"/>
    </row>
    <row r="559" spans="10:16" ht="12.5" x14ac:dyDescent="0.25">
      <c r="J559" s="115"/>
      <c r="K559" s="115"/>
      <c r="L559" s="115"/>
      <c r="M559" s="115"/>
      <c r="N559" s="115"/>
      <c r="O559" s="115"/>
      <c r="P559" s="115"/>
    </row>
    <row r="560" spans="10:16" ht="12.5" x14ac:dyDescent="0.25">
      <c r="J560" s="115"/>
      <c r="K560" s="115"/>
      <c r="L560" s="115"/>
      <c r="M560" s="115"/>
      <c r="N560" s="115"/>
      <c r="O560" s="115"/>
      <c r="P560" s="115"/>
    </row>
    <row r="561" spans="10:16" ht="12.5" x14ac:dyDescent="0.25">
      <c r="J561" s="115"/>
      <c r="K561" s="115"/>
      <c r="L561" s="115"/>
      <c r="M561" s="115"/>
      <c r="N561" s="115"/>
      <c r="O561" s="115"/>
      <c r="P561" s="115"/>
    </row>
    <row r="562" spans="10:16" ht="12.5" x14ac:dyDescent="0.25">
      <c r="J562" s="115"/>
      <c r="K562" s="115"/>
      <c r="L562" s="115"/>
      <c r="M562" s="115"/>
      <c r="N562" s="115"/>
      <c r="O562" s="115"/>
      <c r="P562" s="115"/>
    </row>
    <row r="563" spans="10:16" ht="12.5" x14ac:dyDescent="0.25">
      <c r="J563" s="115"/>
      <c r="K563" s="115"/>
      <c r="L563" s="115"/>
      <c r="M563" s="115"/>
      <c r="N563" s="115"/>
      <c r="O563" s="115"/>
      <c r="P563" s="115"/>
    </row>
    <row r="564" spans="10:16" ht="12.5" x14ac:dyDescent="0.25">
      <c r="J564" s="115"/>
      <c r="K564" s="115"/>
      <c r="L564" s="115"/>
      <c r="M564" s="115"/>
      <c r="N564" s="115"/>
      <c r="O564" s="115"/>
      <c r="P564" s="115"/>
    </row>
    <row r="565" spans="10:16" ht="12.5" x14ac:dyDescent="0.25">
      <c r="J565" s="115"/>
      <c r="K565" s="115"/>
      <c r="L565" s="115"/>
      <c r="M565" s="115"/>
      <c r="N565" s="115"/>
      <c r="O565" s="115"/>
      <c r="P565" s="115"/>
    </row>
    <row r="566" spans="10:16" ht="12.5" x14ac:dyDescent="0.25">
      <c r="J566" s="115"/>
      <c r="K566" s="115"/>
      <c r="L566" s="115"/>
      <c r="M566" s="115"/>
      <c r="N566" s="115"/>
      <c r="O566" s="115"/>
      <c r="P566" s="115"/>
    </row>
    <row r="567" spans="10:16" ht="12.5" x14ac:dyDescent="0.25">
      <c r="J567" s="115"/>
      <c r="K567" s="115"/>
      <c r="L567" s="115"/>
      <c r="M567" s="115"/>
      <c r="N567" s="115"/>
      <c r="O567" s="115"/>
      <c r="P567" s="115"/>
    </row>
    <row r="568" spans="10:16" ht="12.5" x14ac:dyDescent="0.25">
      <c r="J568" s="115"/>
      <c r="K568" s="115"/>
      <c r="L568" s="115"/>
      <c r="M568" s="115"/>
      <c r="N568" s="115"/>
      <c r="O568" s="115"/>
      <c r="P568" s="115"/>
    </row>
    <row r="569" spans="10:16" ht="12.5" x14ac:dyDescent="0.25">
      <c r="J569" s="115"/>
      <c r="K569" s="115"/>
      <c r="L569" s="115"/>
      <c r="M569" s="115"/>
      <c r="N569" s="115"/>
      <c r="O569" s="115"/>
      <c r="P569" s="115"/>
    </row>
    <row r="570" spans="10:16" ht="12.5" x14ac:dyDescent="0.25">
      <c r="J570" s="115"/>
      <c r="K570" s="115"/>
      <c r="L570" s="115"/>
      <c r="M570" s="115"/>
      <c r="N570" s="115"/>
      <c r="O570" s="115"/>
      <c r="P570" s="115"/>
    </row>
    <row r="571" spans="10:16" ht="12.5" x14ac:dyDescent="0.25">
      <c r="J571" s="115"/>
      <c r="K571" s="115"/>
      <c r="L571" s="115"/>
      <c r="M571" s="115"/>
      <c r="N571" s="115"/>
      <c r="O571" s="115"/>
      <c r="P571" s="115"/>
    </row>
    <row r="572" spans="10:16" ht="12.5" x14ac:dyDescent="0.25">
      <c r="J572" s="115"/>
      <c r="K572" s="115"/>
      <c r="L572" s="115"/>
      <c r="M572" s="115"/>
      <c r="N572" s="115"/>
      <c r="O572" s="115"/>
      <c r="P572" s="115"/>
    </row>
    <row r="573" spans="10:16" ht="12.5" x14ac:dyDescent="0.25">
      <c r="J573" s="115"/>
      <c r="K573" s="115"/>
      <c r="L573" s="115"/>
      <c r="M573" s="115"/>
      <c r="N573" s="115"/>
      <c r="O573" s="115"/>
      <c r="P573" s="115"/>
    </row>
    <row r="574" spans="10:16" ht="12.5" x14ac:dyDescent="0.25">
      <c r="J574" s="115"/>
      <c r="K574" s="115"/>
      <c r="L574" s="115"/>
      <c r="M574" s="115"/>
      <c r="N574" s="115"/>
      <c r="O574" s="115"/>
      <c r="P574" s="115"/>
    </row>
    <row r="575" spans="10:16" ht="12.5" x14ac:dyDescent="0.25">
      <c r="J575" s="115"/>
      <c r="K575" s="115"/>
      <c r="L575" s="115"/>
      <c r="M575" s="115"/>
      <c r="N575" s="115"/>
      <c r="O575" s="115"/>
      <c r="P575" s="115"/>
    </row>
    <row r="576" spans="10:16" ht="12.5" x14ac:dyDescent="0.25">
      <c r="J576" s="115"/>
      <c r="K576" s="115"/>
      <c r="L576" s="115"/>
      <c r="M576" s="115"/>
      <c r="N576" s="115"/>
      <c r="O576" s="115"/>
      <c r="P576" s="115"/>
    </row>
    <row r="577" spans="10:16" ht="12.5" x14ac:dyDescent="0.25">
      <c r="J577" s="115"/>
      <c r="K577" s="115"/>
      <c r="L577" s="115"/>
      <c r="M577" s="115"/>
      <c r="N577" s="115"/>
      <c r="O577" s="115"/>
      <c r="P577" s="115"/>
    </row>
    <row r="578" spans="10:16" ht="12.5" x14ac:dyDescent="0.25">
      <c r="J578" s="115"/>
      <c r="K578" s="115"/>
      <c r="L578" s="115"/>
      <c r="M578" s="115"/>
      <c r="N578" s="115"/>
      <c r="O578" s="115"/>
      <c r="P578" s="115"/>
    </row>
    <row r="579" spans="10:16" ht="12.5" x14ac:dyDescent="0.25">
      <c r="J579" s="115"/>
      <c r="K579" s="115"/>
      <c r="L579" s="115"/>
      <c r="M579" s="115"/>
      <c r="N579" s="115"/>
      <c r="O579" s="115"/>
      <c r="P579" s="115"/>
    </row>
    <row r="580" spans="10:16" ht="12.5" x14ac:dyDescent="0.25">
      <c r="J580" s="115"/>
      <c r="K580" s="115"/>
      <c r="L580" s="115"/>
      <c r="M580" s="115"/>
      <c r="N580" s="115"/>
      <c r="O580" s="115"/>
      <c r="P580" s="115"/>
    </row>
    <row r="581" spans="10:16" ht="12.5" x14ac:dyDescent="0.25">
      <c r="J581" s="115"/>
      <c r="K581" s="115"/>
      <c r="L581" s="115"/>
      <c r="M581" s="115"/>
      <c r="N581" s="115"/>
      <c r="O581" s="115"/>
      <c r="P581" s="115"/>
    </row>
    <row r="582" spans="10:16" ht="12.5" x14ac:dyDescent="0.25">
      <c r="J582" s="115"/>
      <c r="K582" s="115"/>
      <c r="L582" s="115"/>
      <c r="M582" s="115"/>
      <c r="N582" s="115"/>
      <c r="O582" s="115"/>
      <c r="P582" s="115"/>
    </row>
    <row r="583" spans="10:16" ht="12.5" x14ac:dyDescent="0.25">
      <c r="J583" s="115"/>
      <c r="K583" s="115"/>
      <c r="L583" s="115"/>
      <c r="M583" s="115"/>
      <c r="N583" s="115"/>
      <c r="O583" s="115"/>
      <c r="P583" s="115"/>
    </row>
    <row r="584" spans="10:16" ht="12.5" x14ac:dyDescent="0.25">
      <c r="J584" s="115"/>
      <c r="K584" s="115"/>
      <c r="L584" s="115"/>
      <c r="M584" s="115"/>
      <c r="N584" s="115"/>
      <c r="O584" s="115"/>
      <c r="P584" s="115"/>
    </row>
    <row r="585" spans="10:16" ht="12.5" x14ac:dyDescent="0.25">
      <c r="J585" s="115"/>
      <c r="K585" s="115"/>
      <c r="L585" s="115"/>
      <c r="M585" s="115"/>
      <c r="N585" s="115"/>
      <c r="O585" s="115"/>
      <c r="P585" s="115"/>
    </row>
    <row r="586" spans="10:16" ht="12.5" x14ac:dyDescent="0.25">
      <c r="J586" s="115"/>
      <c r="K586" s="115"/>
      <c r="L586" s="115"/>
      <c r="M586" s="115"/>
      <c r="N586" s="115"/>
      <c r="O586" s="115"/>
      <c r="P586" s="115"/>
    </row>
    <row r="587" spans="10:16" ht="12.5" x14ac:dyDescent="0.25">
      <c r="J587" s="115"/>
      <c r="K587" s="115"/>
      <c r="L587" s="115"/>
      <c r="M587" s="115"/>
      <c r="N587" s="115"/>
      <c r="O587" s="115"/>
      <c r="P587" s="115"/>
    </row>
    <row r="588" spans="10:16" ht="12.5" x14ac:dyDescent="0.25">
      <c r="J588" s="115"/>
      <c r="K588" s="115"/>
      <c r="L588" s="115"/>
      <c r="M588" s="115"/>
      <c r="N588" s="115"/>
      <c r="O588" s="115"/>
      <c r="P588" s="115"/>
    </row>
    <row r="589" spans="10:16" ht="12.5" x14ac:dyDescent="0.25">
      <c r="J589" s="115"/>
      <c r="K589" s="115"/>
      <c r="L589" s="115"/>
      <c r="M589" s="115"/>
      <c r="N589" s="115"/>
      <c r="O589" s="115"/>
      <c r="P589" s="115"/>
    </row>
    <row r="590" spans="10:16" ht="12.5" x14ac:dyDescent="0.25">
      <c r="J590" s="115"/>
      <c r="K590" s="115"/>
      <c r="L590" s="115"/>
      <c r="M590" s="115"/>
      <c r="N590" s="115"/>
      <c r="O590" s="115"/>
      <c r="P590" s="115"/>
    </row>
    <row r="591" spans="10:16" ht="12.5" x14ac:dyDescent="0.25">
      <c r="J591" s="115"/>
      <c r="K591" s="115"/>
      <c r="L591" s="115"/>
      <c r="M591" s="115"/>
      <c r="N591" s="115"/>
      <c r="O591" s="115"/>
      <c r="P591" s="115"/>
    </row>
    <row r="592" spans="10:16" ht="12.5" x14ac:dyDescent="0.25">
      <c r="J592" s="115"/>
      <c r="K592" s="115"/>
      <c r="L592" s="115"/>
      <c r="M592" s="115"/>
      <c r="N592" s="115"/>
      <c r="O592" s="115"/>
      <c r="P592" s="115"/>
    </row>
    <row r="593" spans="10:16" ht="12.5" x14ac:dyDescent="0.25">
      <c r="J593" s="115"/>
      <c r="K593" s="115"/>
      <c r="L593" s="115"/>
      <c r="M593" s="115"/>
      <c r="N593" s="115"/>
      <c r="O593" s="115"/>
      <c r="P593" s="115"/>
    </row>
    <row r="594" spans="10:16" ht="12.5" x14ac:dyDescent="0.25">
      <c r="J594" s="115"/>
      <c r="K594" s="115"/>
      <c r="L594" s="115"/>
      <c r="M594" s="115"/>
      <c r="N594" s="115"/>
      <c r="O594" s="115"/>
      <c r="P594" s="115"/>
    </row>
    <row r="595" spans="10:16" ht="12.5" x14ac:dyDescent="0.25">
      <c r="J595" s="115"/>
      <c r="K595" s="115"/>
      <c r="L595" s="115"/>
      <c r="M595" s="115"/>
      <c r="N595" s="115"/>
      <c r="O595" s="115"/>
      <c r="P595" s="115"/>
    </row>
    <row r="596" spans="10:16" ht="12.5" x14ac:dyDescent="0.25">
      <c r="J596" s="115"/>
      <c r="K596" s="115"/>
      <c r="L596" s="115"/>
      <c r="M596" s="115"/>
      <c r="N596" s="115"/>
      <c r="O596" s="115"/>
      <c r="P596" s="115"/>
    </row>
    <row r="597" spans="10:16" ht="12.5" x14ac:dyDescent="0.25">
      <c r="J597" s="115"/>
      <c r="K597" s="115"/>
      <c r="L597" s="115"/>
      <c r="M597" s="115"/>
      <c r="N597" s="115"/>
      <c r="O597" s="115"/>
      <c r="P597" s="115"/>
    </row>
    <row r="598" spans="10:16" ht="12.5" x14ac:dyDescent="0.25">
      <c r="J598" s="115"/>
      <c r="K598" s="115"/>
      <c r="L598" s="115"/>
      <c r="M598" s="115"/>
      <c r="N598" s="115"/>
      <c r="O598" s="115"/>
      <c r="P598" s="115"/>
    </row>
    <row r="599" spans="10:16" ht="12.5" x14ac:dyDescent="0.25">
      <c r="J599" s="115"/>
      <c r="K599" s="115"/>
      <c r="L599" s="115"/>
      <c r="M599" s="115"/>
      <c r="N599" s="115"/>
      <c r="O599" s="115"/>
      <c r="P599" s="115"/>
    </row>
    <row r="600" spans="10:16" ht="12.5" x14ac:dyDescent="0.25">
      <c r="J600" s="115"/>
      <c r="K600" s="115"/>
      <c r="L600" s="115"/>
      <c r="M600" s="115"/>
      <c r="N600" s="115"/>
      <c r="O600" s="115"/>
      <c r="P600" s="115"/>
    </row>
    <row r="601" spans="10:16" ht="12.5" x14ac:dyDescent="0.25">
      <c r="J601" s="115"/>
      <c r="K601" s="115"/>
      <c r="L601" s="115"/>
      <c r="M601" s="115"/>
      <c r="N601" s="115"/>
      <c r="O601" s="115"/>
      <c r="P601" s="115"/>
    </row>
    <row r="602" spans="10:16" ht="12.5" x14ac:dyDescent="0.25">
      <c r="J602" s="115"/>
      <c r="K602" s="115"/>
      <c r="L602" s="115"/>
      <c r="M602" s="115"/>
      <c r="N602" s="115"/>
      <c r="O602" s="115"/>
      <c r="P602" s="115"/>
    </row>
    <row r="603" spans="10:16" ht="12.5" x14ac:dyDescent="0.25">
      <c r="J603" s="115"/>
      <c r="K603" s="115"/>
      <c r="L603" s="115"/>
      <c r="M603" s="115"/>
      <c r="N603" s="115"/>
      <c r="O603" s="115"/>
      <c r="P603" s="115"/>
    </row>
    <row r="604" spans="10:16" ht="12.5" x14ac:dyDescent="0.25">
      <c r="J604" s="115"/>
      <c r="K604" s="115"/>
      <c r="L604" s="115"/>
      <c r="M604" s="115"/>
      <c r="N604" s="115"/>
      <c r="O604" s="115"/>
      <c r="P604" s="115"/>
    </row>
    <row r="605" spans="10:16" ht="12.5" x14ac:dyDescent="0.25">
      <c r="J605" s="115"/>
      <c r="K605" s="115"/>
      <c r="L605" s="115"/>
      <c r="M605" s="115"/>
      <c r="N605" s="115"/>
      <c r="O605" s="115"/>
      <c r="P605" s="115"/>
    </row>
    <row r="606" spans="10:16" ht="12.5" x14ac:dyDescent="0.25">
      <c r="J606" s="115"/>
      <c r="K606" s="115"/>
      <c r="L606" s="115"/>
      <c r="M606" s="115"/>
      <c r="N606" s="115"/>
      <c r="O606" s="115"/>
      <c r="P606" s="115"/>
    </row>
    <row r="607" spans="10:16" ht="12.5" x14ac:dyDescent="0.25">
      <c r="J607" s="115"/>
      <c r="K607" s="115"/>
      <c r="L607" s="115"/>
      <c r="M607" s="115"/>
      <c r="N607" s="115"/>
      <c r="O607" s="115"/>
      <c r="P607" s="115"/>
    </row>
    <row r="608" spans="10:16" ht="12.5" x14ac:dyDescent="0.25">
      <c r="J608" s="115"/>
      <c r="K608" s="115"/>
      <c r="L608" s="115"/>
      <c r="M608" s="115"/>
      <c r="N608" s="115"/>
      <c r="O608" s="115"/>
      <c r="P608" s="115"/>
    </row>
    <row r="609" spans="10:16" ht="12.5" x14ac:dyDescent="0.25">
      <c r="J609" s="115"/>
      <c r="K609" s="115"/>
      <c r="L609" s="115"/>
      <c r="M609" s="115"/>
      <c r="N609" s="115"/>
      <c r="O609" s="115"/>
      <c r="P609" s="115"/>
    </row>
    <row r="610" spans="10:16" ht="12.5" x14ac:dyDescent="0.25">
      <c r="J610" s="115"/>
      <c r="K610" s="115"/>
      <c r="L610" s="115"/>
      <c r="M610" s="115"/>
      <c r="N610" s="115"/>
      <c r="O610" s="115"/>
      <c r="P610" s="115"/>
    </row>
    <row r="611" spans="10:16" ht="12.5" x14ac:dyDescent="0.25">
      <c r="J611" s="115"/>
      <c r="K611" s="115"/>
      <c r="L611" s="115"/>
      <c r="M611" s="115"/>
      <c r="N611" s="115"/>
      <c r="O611" s="115"/>
      <c r="P611" s="115"/>
    </row>
    <row r="612" spans="10:16" ht="12.5" x14ac:dyDescent="0.25">
      <c r="J612" s="115"/>
      <c r="K612" s="115"/>
      <c r="L612" s="115"/>
      <c r="M612" s="115"/>
      <c r="N612" s="115"/>
      <c r="O612" s="115"/>
      <c r="P612" s="115"/>
    </row>
    <row r="613" spans="10:16" ht="12.5" x14ac:dyDescent="0.25">
      <c r="J613" s="115"/>
      <c r="K613" s="115"/>
      <c r="L613" s="115"/>
      <c r="M613" s="115"/>
      <c r="N613" s="115"/>
      <c r="O613" s="115"/>
      <c r="P613" s="115"/>
    </row>
    <row r="614" spans="10:16" ht="12.5" x14ac:dyDescent="0.25">
      <c r="J614" s="115"/>
      <c r="K614" s="115"/>
      <c r="L614" s="115"/>
      <c r="M614" s="115"/>
      <c r="N614" s="115"/>
      <c r="O614" s="115"/>
      <c r="P614" s="115"/>
    </row>
    <row r="615" spans="10:16" ht="12.5" x14ac:dyDescent="0.25">
      <c r="J615" s="115"/>
      <c r="K615" s="115"/>
      <c r="L615" s="115"/>
      <c r="M615" s="115"/>
      <c r="N615" s="115"/>
      <c r="O615" s="115"/>
      <c r="P615" s="115"/>
    </row>
    <row r="616" spans="10:16" ht="12.5" x14ac:dyDescent="0.25">
      <c r="J616" s="115"/>
      <c r="K616" s="115"/>
      <c r="L616" s="115"/>
      <c r="M616" s="115"/>
      <c r="N616" s="115"/>
      <c r="O616" s="115"/>
      <c r="P616" s="115"/>
    </row>
    <row r="617" spans="10:16" ht="12.5" x14ac:dyDescent="0.25">
      <c r="J617" s="115"/>
      <c r="K617" s="115"/>
      <c r="L617" s="115"/>
      <c r="M617" s="115"/>
      <c r="N617" s="115"/>
      <c r="O617" s="115"/>
      <c r="P617" s="115"/>
    </row>
    <row r="618" spans="10:16" ht="12.5" x14ac:dyDescent="0.25">
      <c r="J618" s="115"/>
      <c r="K618" s="115"/>
      <c r="L618" s="115"/>
      <c r="M618" s="115"/>
      <c r="N618" s="115"/>
      <c r="O618" s="115"/>
      <c r="P618" s="115"/>
    </row>
    <row r="619" spans="10:16" ht="12.5" x14ac:dyDescent="0.25">
      <c r="J619" s="115"/>
      <c r="K619" s="115"/>
      <c r="L619" s="115"/>
      <c r="M619" s="115"/>
      <c r="N619" s="115"/>
      <c r="O619" s="115"/>
      <c r="P619" s="115"/>
    </row>
    <row r="620" spans="10:16" ht="12.5" x14ac:dyDescent="0.25">
      <c r="J620" s="115"/>
      <c r="K620" s="115"/>
      <c r="L620" s="115"/>
      <c r="M620" s="115"/>
      <c r="N620" s="115"/>
      <c r="O620" s="115"/>
      <c r="P620" s="115"/>
    </row>
    <row r="621" spans="10:16" ht="12.5" x14ac:dyDescent="0.25">
      <c r="J621" s="115"/>
      <c r="K621" s="115"/>
      <c r="L621" s="115"/>
      <c r="M621" s="115"/>
      <c r="N621" s="115"/>
      <c r="O621" s="115"/>
      <c r="P621" s="115"/>
    </row>
    <row r="622" spans="10:16" ht="12.5" x14ac:dyDescent="0.25">
      <c r="J622" s="115"/>
      <c r="K622" s="115"/>
      <c r="L622" s="115"/>
      <c r="M622" s="115"/>
      <c r="N622" s="115"/>
      <c r="O622" s="115"/>
      <c r="P622" s="115"/>
    </row>
    <row r="623" spans="10:16" ht="12.5" x14ac:dyDescent="0.25">
      <c r="J623" s="115"/>
      <c r="K623" s="115"/>
      <c r="L623" s="115"/>
      <c r="M623" s="115"/>
      <c r="N623" s="115"/>
      <c r="O623" s="115"/>
      <c r="P623" s="115"/>
    </row>
    <row r="624" spans="10:16" ht="12.5" x14ac:dyDescent="0.25">
      <c r="J624" s="115"/>
      <c r="K624" s="115"/>
      <c r="L624" s="115"/>
      <c r="M624" s="115"/>
      <c r="N624" s="115"/>
      <c r="O624" s="115"/>
      <c r="P624" s="115"/>
    </row>
    <row r="625" spans="10:16" ht="12.5" x14ac:dyDescent="0.25">
      <c r="J625" s="115"/>
      <c r="K625" s="115"/>
      <c r="L625" s="115"/>
      <c r="M625" s="115"/>
      <c r="N625" s="115"/>
      <c r="O625" s="115"/>
      <c r="P625" s="115"/>
    </row>
    <row r="626" spans="10:16" ht="12.5" x14ac:dyDescent="0.25">
      <c r="J626" s="115"/>
      <c r="K626" s="115"/>
      <c r="L626" s="115"/>
      <c r="M626" s="115"/>
      <c r="N626" s="115"/>
      <c r="O626" s="115"/>
      <c r="P626" s="115"/>
    </row>
    <row r="627" spans="10:16" ht="12.5" x14ac:dyDescent="0.25">
      <c r="J627" s="115"/>
      <c r="K627" s="115"/>
      <c r="L627" s="115"/>
      <c r="M627" s="115"/>
      <c r="N627" s="115"/>
      <c r="O627" s="115"/>
      <c r="P627" s="115"/>
    </row>
    <row r="628" spans="10:16" ht="12.5" x14ac:dyDescent="0.25">
      <c r="J628" s="115"/>
      <c r="K628" s="115"/>
      <c r="L628" s="115"/>
      <c r="M628" s="115"/>
      <c r="N628" s="115"/>
      <c r="O628" s="115"/>
      <c r="P628" s="115"/>
    </row>
    <row r="629" spans="10:16" ht="12.5" x14ac:dyDescent="0.25">
      <c r="J629" s="115"/>
      <c r="K629" s="115"/>
      <c r="L629" s="115"/>
      <c r="M629" s="115"/>
      <c r="N629" s="115"/>
      <c r="O629" s="115"/>
      <c r="P629" s="115"/>
    </row>
    <row r="630" spans="10:16" ht="12.5" x14ac:dyDescent="0.25">
      <c r="J630" s="115"/>
      <c r="K630" s="115"/>
      <c r="L630" s="115"/>
      <c r="M630" s="115"/>
      <c r="N630" s="115"/>
      <c r="O630" s="115"/>
      <c r="P630" s="115"/>
    </row>
    <row r="631" spans="10:16" ht="12.5" x14ac:dyDescent="0.25">
      <c r="J631" s="115"/>
      <c r="K631" s="115"/>
      <c r="L631" s="115"/>
      <c r="M631" s="115"/>
      <c r="N631" s="115"/>
      <c r="O631" s="115"/>
      <c r="P631" s="115"/>
    </row>
    <row r="632" spans="10:16" ht="12.5" x14ac:dyDescent="0.25">
      <c r="J632" s="115"/>
      <c r="K632" s="115"/>
      <c r="L632" s="115"/>
      <c r="M632" s="115"/>
      <c r="N632" s="115"/>
      <c r="O632" s="115"/>
      <c r="P632" s="115"/>
    </row>
    <row r="633" spans="10:16" ht="12.5" x14ac:dyDescent="0.25">
      <c r="J633" s="115"/>
      <c r="K633" s="115"/>
      <c r="L633" s="115"/>
      <c r="M633" s="115"/>
      <c r="N633" s="115"/>
      <c r="O633" s="115"/>
      <c r="P633" s="115"/>
    </row>
    <row r="634" spans="10:16" ht="12.5" x14ac:dyDescent="0.25">
      <c r="J634" s="115"/>
      <c r="K634" s="115"/>
      <c r="L634" s="115"/>
      <c r="M634" s="115"/>
      <c r="N634" s="115"/>
      <c r="O634" s="115"/>
      <c r="P634" s="115"/>
    </row>
    <row r="635" spans="10:16" ht="12.5" x14ac:dyDescent="0.25">
      <c r="J635" s="115"/>
      <c r="K635" s="115"/>
      <c r="L635" s="115"/>
      <c r="M635" s="115"/>
      <c r="N635" s="115"/>
      <c r="O635" s="115"/>
      <c r="P635" s="115"/>
    </row>
    <row r="636" spans="10:16" ht="12.5" x14ac:dyDescent="0.25">
      <c r="J636" s="115"/>
      <c r="K636" s="115"/>
      <c r="L636" s="115"/>
      <c r="M636" s="115"/>
      <c r="N636" s="115"/>
      <c r="O636" s="115"/>
      <c r="P636" s="115"/>
    </row>
    <row r="637" spans="10:16" ht="12.5" x14ac:dyDescent="0.25">
      <c r="J637" s="115"/>
      <c r="K637" s="115"/>
      <c r="L637" s="115"/>
      <c r="M637" s="115"/>
      <c r="N637" s="115"/>
      <c r="O637" s="115"/>
      <c r="P637" s="115"/>
    </row>
    <row r="638" spans="10:16" ht="12.5" x14ac:dyDescent="0.25">
      <c r="J638" s="115"/>
      <c r="K638" s="115"/>
      <c r="L638" s="115"/>
      <c r="M638" s="115"/>
      <c r="N638" s="115"/>
      <c r="O638" s="115"/>
      <c r="P638" s="115"/>
    </row>
    <row r="639" spans="10:16" ht="12.5" x14ac:dyDescent="0.25">
      <c r="J639" s="115"/>
      <c r="K639" s="115"/>
      <c r="L639" s="115"/>
      <c r="M639" s="115"/>
      <c r="N639" s="115"/>
      <c r="O639" s="115"/>
      <c r="P639" s="115"/>
    </row>
    <row r="640" spans="10:16" ht="12.5" x14ac:dyDescent="0.25">
      <c r="J640" s="115"/>
      <c r="K640" s="115"/>
      <c r="L640" s="115"/>
      <c r="M640" s="115"/>
      <c r="N640" s="115"/>
      <c r="O640" s="115"/>
      <c r="P640" s="115"/>
    </row>
    <row r="641" spans="10:16" ht="12.5" x14ac:dyDescent="0.25">
      <c r="J641" s="115"/>
      <c r="K641" s="115"/>
      <c r="L641" s="115"/>
      <c r="M641" s="115"/>
      <c r="N641" s="115"/>
      <c r="O641" s="115"/>
      <c r="P641" s="115"/>
    </row>
    <row r="642" spans="10:16" ht="12.5" x14ac:dyDescent="0.25">
      <c r="J642" s="115"/>
      <c r="K642" s="115"/>
      <c r="L642" s="115"/>
      <c r="M642" s="115"/>
      <c r="N642" s="115"/>
      <c r="O642" s="115"/>
      <c r="P642" s="115"/>
    </row>
    <row r="643" spans="10:16" ht="12.5" x14ac:dyDescent="0.25">
      <c r="J643" s="115"/>
      <c r="K643" s="115"/>
      <c r="L643" s="115"/>
      <c r="M643" s="115"/>
      <c r="N643" s="115"/>
      <c r="O643" s="115"/>
      <c r="P643" s="115"/>
    </row>
    <row r="644" spans="10:16" ht="12.5" x14ac:dyDescent="0.25">
      <c r="J644" s="115"/>
      <c r="K644" s="115"/>
      <c r="L644" s="115"/>
      <c r="M644" s="115"/>
      <c r="N644" s="115"/>
      <c r="O644" s="115"/>
      <c r="P644" s="115"/>
    </row>
    <row r="645" spans="10:16" ht="12.5" x14ac:dyDescent="0.25">
      <c r="J645" s="115"/>
      <c r="K645" s="115"/>
      <c r="L645" s="115"/>
      <c r="M645" s="115"/>
      <c r="N645" s="115"/>
      <c r="O645" s="115"/>
      <c r="P645" s="115"/>
    </row>
    <row r="646" spans="10:16" ht="12.5" x14ac:dyDescent="0.25">
      <c r="J646" s="115"/>
      <c r="K646" s="115"/>
      <c r="L646" s="115"/>
      <c r="M646" s="115"/>
      <c r="N646" s="115"/>
      <c r="O646" s="115"/>
      <c r="P646" s="115"/>
    </row>
    <row r="647" spans="10:16" ht="12.5" x14ac:dyDescent="0.25">
      <c r="J647" s="115"/>
      <c r="K647" s="115"/>
      <c r="L647" s="115"/>
      <c r="M647" s="115"/>
      <c r="N647" s="115"/>
      <c r="O647" s="115"/>
      <c r="P647" s="115"/>
    </row>
    <row r="648" spans="10:16" ht="12.5" x14ac:dyDescent="0.25">
      <c r="J648" s="115"/>
      <c r="K648" s="115"/>
      <c r="L648" s="115"/>
      <c r="M648" s="115"/>
      <c r="N648" s="115"/>
      <c r="O648" s="115"/>
      <c r="P648" s="115"/>
    </row>
    <row r="649" spans="10:16" ht="12.5" x14ac:dyDescent="0.25">
      <c r="J649" s="115"/>
      <c r="K649" s="115"/>
      <c r="L649" s="115"/>
      <c r="M649" s="115"/>
      <c r="N649" s="115"/>
      <c r="O649" s="115"/>
      <c r="P649" s="115"/>
    </row>
    <row r="650" spans="10:16" ht="12.5" x14ac:dyDescent="0.25">
      <c r="J650" s="115"/>
      <c r="K650" s="115"/>
      <c r="L650" s="115"/>
      <c r="M650" s="115"/>
      <c r="N650" s="115"/>
      <c r="O650" s="115"/>
      <c r="P650" s="115"/>
    </row>
    <row r="651" spans="10:16" ht="12.5" x14ac:dyDescent="0.25">
      <c r="J651" s="115"/>
      <c r="K651" s="115"/>
      <c r="L651" s="115"/>
      <c r="M651" s="115"/>
      <c r="N651" s="115"/>
      <c r="O651" s="115"/>
      <c r="P651" s="115"/>
    </row>
    <row r="652" spans="10:16" ht="12.5" x14ac:dyDescent="0.25">
      <c r="J652" s="115"/>
      <c r="K652" s="115"/>
      <c r="L652" s="115"/>
      <c r="M652" s="115"/>
      <c r="N652" s="115"/>
      <c r="O652" s="115"/>
      <c r="P652" s="115"/>
    </row>
    <row r="653" spans="10:16" ht="12.5" x14ac:dyDescent="0.25">
      <c r="J653" s="115"/>
      <c r="K653" s="115"/>
      <c r="L653" s="115"/>
      <c r="M653" s="115"/>
      <c r="N653" s="115"/>
      <c r="O653" s="115"/>
      <c r="P653" s="115"/>
    </row>
    <row r="654" spans="10:16" ht="12.5" x14ac:dyDescent="0.25">
      <c r="J654" s="115"/>
      <c r="K654" s="115"/>
      <c r="L654" s="115"/>
      <c r="M654" s="115"/>
      <c r="N654" s="115"/>
      <c r="O654" s="115"/>
      <c r="P654" s="115"/>
    </row>
    <row r="655" spans="10:16" ht="12.5" x14ac:dyDescent="0.25">
      <c r="J655" s="115"/>
      <c r="K655" s="115"/>
      <c r="L655" s="115"/>
      <c r="M655" s="115"/>
      <c r="N655" s="115"/>
      <c r="O655" s="115"/>
      <c r="P655" s="115"/>
    </row>
    <row r="656" spans="10:16" ht="12.5" x14ac:dyDescent="0.25">
      <c r="J656" s="115"/>
      <c r="K656" s="115"/>
      <c r="L656" s="115"/>
      <c r="M656" s="115"/>
      <c r="N656" s="115"/>
      <c r="O656" s="115"/>
      <c r="P656" s="115"/>
    </row>
    <row r="657" spans="10:16" ht="12.5" x14ac:dyDescent="0.25">
      <c r="J657" s="115"/>
      <c r="K657" s="115"/>
      <c r="L657" s="115"/>
      <c r="M657" s="115"/>
      <c r="N657" s="115"/>
      <c r="O657" s="115"/>
      <c r="P657" s="115"/>
    </row>
    <row r="658" spans="10:16" ht="12.5" x14ac:dyDescent="0.25">
      <c r="J658" s="115"/>
      <c r="K658" s="115"/>
      <c r="L658" s="115"/>
      <c r="M658" s="115"/>
      <c r="N658" s="115"/>
      <c r="O658" s="115"/>
      <c r="P658" s="115"/>
    </row>
    <row r="659" spans="10:16" ht="12.5" x14ac:dyDescent="0.25">
      <c r="J659" s="115"/>
      <c r="K659" s="115"/>
      <c r="L659" s="115"/>
      <c r="M659" s="115"/>
      <c r="N659" s="115"/>
      <c r="O659" s="115"/>
      <c r="P659" s="115"/>
    </row>
    <row r="660" spans="10:16" ht="12.5" x14ac:dyDescent="0.25">
      <c r="J660" s="115"/>
      <c r="K660" s="115"/>
      <c r="L660" s="115"/>
      <c r="M660" s="115"/>
      <c r="N660" s="115"/>
      <c r="O660" s="115"/>
      <c r="P660" s="115"/>
    </row>
    <row r="661" spans="10:16" ht="12.5" x14ac:dyDescent="0.25">
      <c r="J661" s="115"/>
      <c r="K661" s="115"/>
      <c r="L661" s="115"/>
      <c r="M661" s="115"/>
      <c r="N661" s="115"/>
      <c r="O661" s="115"/>
      <c r="P661" s="115"/>
    </row>
    <row r="662" spans="10:16" ht="12.5" x14ac:dyDescent="0.25">
      <c r="J662" s="115"/>
      <c r="K662" s="115"/>
      <c r="L662" s="115"/>
      <c r="M662" s="115"/>
      <c r="N662" s="115"/>
      <c r="O662" s="115"/>
      <c r="P662" s="115"/>
    </row>
    <row r="663" spans="10:16" ht="12.5" x14ac:dyDescent="0.25">
      <c r="J663" s="115"/>
      <c r="K663" s="115"/>
      <c r="L663" s="115"/>
      <c r="M663" s="115"/>
      <c r="N663" s="115"/>
      <c r="O663" s="115"/>
      <c r="P663" s="115"/>
    </row>
    <row r="664" spans="10:16" ht="12.5" x14ac:dyDescent="0.25">
      <c r="J664" s="115"/>
      <c r="K664" s="115"/>
      <c r="L664" s="115"/>
      <c r="M664" s="115"/>
      <c r="N664" s="115"/>
      <c r="O664" s="115"/>
      <c r="P664" s="115"/>
    </row>
    <row r="665" spans="10:16" ht="12.5" x14ac:dyDescent="0.25">
      <c r="J665" s="115"/>
      <c r="K665" s="115"/>
      <c r="L665" s="115"/>
      <c r="M665" s="115"/>
      <c r="N665" s="115"/>
      <c r="O665" s="115"/>
      <c r="P665" s="115"/>
    </row>
    <row r="666" spans="10:16" ht="12.5" x14ac:dyDescent="0.25">
      <c r="J666" s="115"/>
      <c r="K666" s="115"/>
      <c r="L666" s="115"/>
      <c r="M666" s="115"/>
      <c r="N666" s="115"/>
      <c r="O666" s="115"/>
      <c r="P666" s="115"/>
    </row>
    <row r="667" spans="10:16" ht="12.5" x14ac:dyDescent="0.25">
      <c r="J667" s="115"/>
      <c r="K667" s="115"/>
      <c r="L667" s="115"/>
      <c r="M667" s="115"/>
      <c r="N667" s="115"/>
      <c r="O667" s="115"/>
      <c r="P667" s="115"/>
    </row>
    <row r="668" spans="10:16" ht="12.5" x14ac:dyDescent="0.25">
      <c r="J668" s="115"/>
      <c r="K668" s="115"/>
      <c r="L668" s="115"/>
      <c r="M668" s="115"/>
      <c r="N668" s="115"/>
      <c r="O668" s="115"/>
      <c r="P668" s="115"/>
    </row>
    <row r="669" spans="10:16" ht="12.5" x14ac:dyDescent="0.25">
      <c r="J669" s="115"/>
      <c r="K669" s="115"/>
      <c r="L669" s="115"/>
      <c r="M669" s="115"/>
      <c r="N669" s="115"/>
      <c r="O669" s="115"/>
      <c r="P669" s="115"/>
    </row>
    <row r="670" spans="10:16" ht="12.5" x14ac:dyDescent="0.25">
      <c r="J670" s="115"/>
      <c r="K670" s="115"/>
      <c r="L670" s="115"/>
      <c r="M670" s="115"/>
      <c r="N670" s="115"/>
      <c r="O670" s="115"/>
      <c r="P670" s="115"/>
    </row>
    <row r="671" spans="10:16" ht="12.5" x14ac:dyDescent="0.25">
      <c r="J671" s="115"/>
      <c r="K671" s="115"/>
      <c r="L671" s="115"/>
      <c r="M671" s="115"/>
      <c r="N671" s="115"/>
      <c r="O671" s="115"/>
      <c r="P671" s="115"/>
    </row>
    <row r="672" spans="10:16" ht="12.5" x14ac:dyDescent="0.25">
      <c r="J672" s="115"/>
      <c r="K672" s="115"/>
      <c r="L672" s="115"/>
      <c r="M672" s="115"/>
      <c r="N672" s="115"/>
      <c r="O672" s="115"/>
      <c r="P672" s="115"/>
    </row>
    <row r="673" spans="10:16" ht="12.5" x14ac:dyDescent="0.25">
      <c r="J673" s="115"/>
      <c r="K673" s="115"/>
      <c r="L673" s="115"/>
      <c r="M673" s="115"/>
      <c r="N673" s="115"/>
      <c r="O673" s="115"/>
      <c r="P673" s="115"/>
    </row>
    <row r="674" spans="10:16" ht="12.5" x14ac:dyDescent="0.25">
      <c r="J674" s="115"/>
      <c r="K674" s="115"/>
      <c r="L674" s="115"/>
      <c r="M674" s="115"/>
      <c r="N674" s="115"/>
      <c r="O674" s="115"/>
      <c r="P674" s="115"/>
    </row>
    <row r="675" spans="10:16" ht="12.5" x14ac:dyDescent="0.25">
      <c r="J675" s="115"/>
      <c r="K675" s="115"/>
      <c r="L675" s="115"/>
      <c r="M675" s="115"/>
      <c r="N675" s="115"/>
      <c r="O675" s="115"/>
      <c r="P675" s="115"/>
    </row>
    <row r="676" spans="10:16" ht="12.5" x14ac:dyDescent="0.25">
      <c r="J676" s="115"/>
      <c r="K676" s="115"/>
      <c r="L676" s="115"/>
      <c r="M676" s="115"/>
      <c r="N676" s="115"/>
      <c r="O676" s="115"/>
      <c r="P676" s="115"/>
    </row>
    <row r="677" spans="10:16" ht="12.5" x14ac:dyDescent="0.25">
      <c r="J677" s="115"/>
      <c r="K677" s="115"/>
      <c r="L677" s="115"/>
      <c r="M677" s="115"/>
      <c r="N677" s="115"/>
      <c r="O677" s="115"/>
      <c r="P677" s="115"/>
    </row>
    <row r="678" spans="10:16" ht="12.5" x14ac:dyDescent="0.25">
      <c r="J678" s="115"/>
      <c r="K678" s="115"/>
      <c r="L678" s="115"/>
      <c r="M678" s="115"/>
      <c r="N678" s="115"/>
      <c r="O678" s="115"/>
      <c r="P678" s="115"/>
    </row>
    <row r="679" spans="10:16" ht="12.5" x14ac:dyDescent="0.25">
      <c r="J679" s="115"/>
      <c r="K679" s="115"/>
      <c r="L679" s="115"/>
      <c r="M679" s="115"/>
      <c r="N679" s="115"/>
      <c r="O679" s="115"/>
      <c r="P679" s="115"/>
    </row>
    <row r="680" spans="10:16" ht="12.5" x14ac:dyDescent="0.25">
      <c r="J680" s="115"/>
      <c r="K680" s="115"/>
      <c r="L680" s="115"/>
      <c r="M680" s="115"/>
      <c r="N680" s="115"/>
      <c r="O680" s="115"/>
      <c r="P680" s="115"/>
    </row>
    <row r="681" spans="10:16" ht="12.5" x14ac:dyDescent="0.25">
      <c r="J681" s="115"/>
      <c r="K681" s="115"/>
      <c r="L681" s="115"/>
      <c r="M681" s="115"/>
      <c r="N681" s="115"/>
      <c r="O681" s="115"/>
      <c r="P681" s="115"/>
    </row>
    <row r="682" spans="10:16" ht="12.5" x14ac:dyDescent="0.25">
      <c r="J682" s="115"/>
      <c r="K682" s="115"/>
      <c r="L682" s="115"/>
      <c r="M682" s="115"/>
      <c r="N682" s="115"/>
      <c r="O682" s="115"/>
      <c r="P682" s="115"/>
    </row>
    <row r="683" spans="10:16" ht="12.5" x14ac:dyDescent="0.25">
      <c r="J683" s="115"/>
      <c r="K683" s="115"/>
      <c r="L683" s="115"/>
      <c r="M683" s="115"/>
      <c r="N683" s="115"/>
      <c r="O683" s="115"/>
      <c r="P683" s="115"/>
    </row>
    <row r="684" spans="10:16" ht="12.5" x14ac:dyDescent="0.25">
      <c r="J684" s="115"/>
      <c r="K684" s="115"/>
      <c r="L684" s="115"/>
      <c r="M684" s="115"/>
      <c r="N684" s="115"/>
      <c r="O684" s="115"/>
      <c r="P684" s="115"/>
    </row>
    <row r="685" spans="10:16" ht="12.5" x14ac:dyDescent="0.25">
      <c r="J685" s="115"/>
      <c r="K685" s="115"/>
      <c r="L685" s="115"/>
      <c r="M685" s="115"/>
      <c r="N685" s="115"/>
      <c r="O685" s="115"/>
      <c r="P685" s="115"/>
    </row>
    <row r="686" spans="10:16" ht="12.5" x14ac:dyDescent="0.25">
      <c r="J686" s="115"/>
      <c r="K686" s="115"/>
      <c r="L686" s="115"/>
      <c r="M686" s="115"/>
      <c r="N686" s="115"/>
      <c r="O686" s="115"/>
      <c r="P686" s="115"/>
    </row>
    <row r="687" spans="10:16" ht="12.5" x14ac:dyDescent="0.25">
      <c r="J687" s="115"/>
      <c r="K687" s="115"/>
      <c r="L687" s="115"/>
      <c r="M687" s="115"/>
      <c r="N687" s="115"/>
      <c r="O687" s="115"/>
      <c r="P687" s="115"/>
    </row>
    <row r="688" spans="10:16" ht="12.5" x14ac:dyDescent="0.25">
      <c r="J688" s="115"/>
      <c r="K688" s="115"/>
      <c r="L688" s="115"/>
      <c r="M688" s="115"/>
      <c r="N688" s="115"/>
      <c r="O688" s="115"/>
      <c r="P688" s="115"/>
    </row>
    <row r="689" spans="10:16" ht="12.5" x14ac:dyDescent="0.25">
      <c r="J689" s="115"/>
      <c r="K689" s="115"/>
      <c r="L689" s="115"/>
      <c r="M689" s="115"/>
      <c r="N689" s="115"/>
      <c r="O689" s="115"/>
      <c r="P689" s="115"/>
    </row>
    <row r="690" spans="10:16" ht="12.5" x14ac:dyDescent="0.25">
      <c r="J690" s="115"/>
      <c r="K690" s="115"/>
      <c r="L690" s="115"/>
      <c r="M690" s="115"/>
      <c r="N690" s="115"/>
      <c r="O690" s="115"/>
      <c r="P690" s="115"/>
    </row>
    <row r="691" spans="10:16" ht="12.5" x14ac:dyDescent="0.25">
      <c r="J691" s="115"/>
      <c r="K691" s="115"/>
      <c r="L691" s="115"/>
      <c r="M691" s="115"/>
      <c r="N691" s="115"/>
      <c r="O691" s="115"/>
      <c r="P691" s="115"/>
    </row>
    <row r="692" spans="10:16" ht="12.5" x14ac:dyDescent="0.25">
      <c r="J692" s="115"/>
      <c r="K692" s="115"/>
      <c r="L692" s="115"/>
      <c r="M692" s="115"/>
      <c r="N692" s="115"/>
      <c r="O692" s="115"/>
      <c r="P692" s="115"/>
    </row>
    <row r="693" spans="10:16" ht="12.5" x14ac:dyDescent="0.25">
      <c r="J693" s="115"/>
      <c r="K693" s="115"/>
      <c r="L693" s="115"/>
      <c r="M693" s="115"/>
      <c r="N693" s="115"/>
      <c r="O693" s="115"/>
      <c r="P693" s="115"/>
    </row>
    <row r="694" spans="10:16" ht="12.5" x14ac:dyDescent="0.25">
      <c r="J694" s="115"/>
      <c r="K694" s="115"/>
      <c r="L694" s="115"/>
      <c r="M694" s="115"/>
      <c r="N694" s="115"/>
      <c r="O694" s="115"/>
      <c r="P694" s="115"/>
    </row>
    <row r="695" spans="10:16" ht="12.5" x14ac:dyDescent="0.25">
      <c r="J695" s="115"/>
      <c r="K695" s="115"/>
      <c r="L695" s="115"/>
      <c r="M695" s="115"/>
      <c r="N695" s="115"/>
      <c r="O695" s="115"/>
      <c r="P695" s="115"/>
    </row>
    <row r="696" spans="10:16" ht="12.5" x14ac:dyDescent="0.25">
      <c r="J696" s="115"/>
      <c r="K696" s="115"/>
      <c r="L696" s="115"/>
      <c r="M696" s="115"/>
      <c r="N696" s="115"/>
      <c r="O696" s="115"/>
      <c r="P696" s="115"/>
    </row>
    <row r="697" spans="10:16" ht="12.5" x14ac:dyDescent="0.25">
      <c r="J697" s="115"/>
      <c r="K697" s="115"/>
      <c r="L697" s="115"/>
      <c r="M697" s="115"/>
      <c r="N697" s="115"/>
      <c r="O697" s="115"/>
      <c r="P697" s="115"/>
    </row>
    <row r="698" spans="10:16" ht="12.5" x14ac:dyDescent="0.25">
      <c r="J698" s="115"/>
      <c r="K698" s="115"/>
      <c r="L698" s="115"/>
      <c r="M698" s="115"/>
      <c r="N698" s="115"/>
      <c r="O698" s="115"/>
      <c r="P698" s="115"/>
    </row>
    <row r="699" spans="10:16" ht="12.5" x14ac:dyDescent="0.25">
      <c r="J699" s="115"/>
      <c r="K699" s="115"/>
      <c r="L699" s="115"/>
      <c r="M699" s="115"/>
      <c r="N699" s="115"/>
      <c r="O699" s="115"/>
      <c r="P699" s="115"/>
    </row>
    <row r="700" spans="10:16" ht="12.5" x14ac:dyDescent="0.25">
      <c r="J700" s="115"/>
      <c r="K700" s="115"/>
      <c r="L700" s="115"/>
      <c r="M700" s="115"/>
      <c r="N700" s="115"/>
      <c r="O700" s="115"/>
      <c r="P700" s="115"/>
    </row>
    <row r="701" spans="10:16" ht="12.5" x14ac:dyDescent="0.25">
      <c r="J701" s="115"/>
      <c r="K701" s="115"/>
      <c r="L701" s="115"/>
      <c r="M701" s="115"/>
      <c r="N701" s="115"/>
      <c r="O701" s="115"/>
      <c r="P701" s="115"/>
    </row>
    <row r="702" spans="10:16" ht="12.5" x14ac:dyDescent="0.25">
      <c r="J702" s="115"/>
      <c r="K702" s="115"/>
      <c r="L702" s="115"/>
      <c r="M702" s="115"/>
      <c r="N702" s="115"/>
      <c r="O702" s="115"/>
      <c r="P702" s="115"/>
    </row>
    <row r="703" spans="10:16" ht="12.5" x14ac:dyDescent="0.25">
      <c r="J703" s="115"/>
      <c r="K703" s="115"/>
      <c r="L703" s="115"/>
      <c r="M703" s="115"/>
      <c r="N703" s="115"/>
      <c r="O703" s="115"/>
      <c r="P703" s="115"/>
    </row>
    <row r="704" spans="10:16" ht="12.5" x14ac:dyDescent="0.25">
      <c r="J704" s="115"/>
      <c r="K704" s="115"/>
      <c r="L704" s="115"/>
      <c r="M704" s="115"/>
      <c r="N704" s="115"/>
      <c r="O704" s="115"/>
      <c r="P704" s="115"/>
    </row>
    <row r="705" spans="10:16" ht="12.5" x14ac:dyDescent="0.25">
      <c r="J705" s="115"/>
      <c r="K705" s="115"/>
      <c r="L705" s="115"/>
      <c r="M705" s="115"/>
      <c r="N705" s="115"/>
      <c r="O705" s="115"/>
      <c r="P705" s="115"/>
    </row>
    <row r="706" spans="10:16" ht="12.5" x14ac:dyDescent="0.25">
      <c r="J706" s="115"/>
      <c r="K706" s="115"/>
      <c r="L706" s="115"/>
      <c r="M706" s="115"/>
      <c r="N706" s="115"/>
      <c r="O706" s="115"/>
      <c r="P706" s="115"/>
    </row>
    <row r="707" spans="10:16" ht="12.5" x14ac:dyDescent="0.25">
      <c r="J707" s="115"/>
      <c r="K707" s="115"/>
      <c r="L707" s="115"/>
      <c r="M707" s="115"/>
      <c r="N707" s="115"/>
      <c r="O707" s="115"/>
      <c r="P707" s="115"/>
    </row>
    <row r="708" spans="10:16" ht="12.5" x14ac:dyDescent="0.25">
      <c r="J708" s="115"/>
      <c r="K708" s="115"/>
      <c r="L708" s="115"/>
      <c r="M708" s="115"/>
      <c r="N708" s="115"/>
      <c r="O708" s="115"/>
      <c r="P708" s="115"/>
    </row>
    <row r="709" spans="10:16" ht="12.5" x14ac:dyDescent="0.25">
      <c r="J709" s="115"/>
      <c r="K709" s="115"/>
      <c r="L709" s="115"/>
      <c r="M709" s="115"/>
      <c r="N709" s="115"/>
      <c r="O709" s="115"/>
      <c r="P709" s="115"/>
    </row>
    <row r="710" spans="10:16" ht="12.5" x14ac:dyDescent="0.25">
      <c r="J710" s="115"/>
      <c r="K710" s="115"/>
      <c r="L710" s="115"/>
      <c r="M710" s="115"/>
      <c r="N710" s="115"/>
      <c r="O710" s="115"/>
      <c r="P710" s="115"/>
    </row>
    <row r="711" spans="10:16" ht="12.5" x14ac:dyDescent="0.25">
      <c r="J711" s="115"/>
      <c r="K711" s="115"/>
      <c r="L711" s="115"/>
      <c r="M711" s="115"/>
      <c r="N711" s="115"/>
      <c r="O711" s="115"/>
      <c r="P711" s="115"/>
    </row>
    <row r="712" spans="10:16" ht="12.5" x14ac:dyDescent="0.25">
      <c r="J712" s="115"/>
      <c r="K712" s="115"/>
      <c r="L712" s="115"/>
      <c r="M712" s="115"/>
      <c r="N712" s="115"/>
      <c r="O712" s="115"/>
      <c r="P712" s="115"/>
    </row>
    <row r="713" spans="10:16" ht="12.5" x14ac:dyDescent="0.25">
      <c r="J713" s="115"/>
      <c r="K713" s="115"/>
      <c r="L713" s="115"/>
      <c r="M713" s="115"/>
      <c r="N713" s="115"/>
      <c r="O713" s="115"/>
      <c r="P713" s="115"/>
    </row>
    <row r="714" spans="10:16" ht="12.5" x14ac:dyDescent="0.25">
      <c r="J714" s="115"/>
      <c r="K714" s="115"/>
      <c r="L714" s="115"/>
      <c r="M714" s="115"/>
      <c r="N714" s="115"/>
      <c r="O714" s="115"/>
      <c r="P714" s="115"/>
    </row>
    <row r="715" spans="10:16" ht="12.5" x14ac:dyDescent="0.25">
      <c r="J715" s="115"/>
      <c r="K715" s="115"/>
      <c r="L715" s="115"/>
      <c r="M715" s="115"/>
      <c r="N715" s="115"/>
      <c r="O715" s="115"/>
      <c r="P715" s="115"/>
    </row>
    <row r="716" spans="10:16" ht="12.5" x14ac:dyDescent="0.25">
      <c r="J716" s="115"/>
      <c r="K716" s="115"/>
      <c r="L716" s="115"/>
      <c r="M716" s="115"/>
      <c r="N716" s="115"/>
      <c r="O716" s="115"/>
      <c r="P716" s="115"/>
    </row>
    <row r="717" spans="10:16" ht="12.5" x14ac:dyDescent="0.25">
      <c r="J717" s="115"/>
      <c r="K717" s="115"/>
      <c r="L717" s="115"/>
      <c r="M717" s="115"/>
      <c r="N717" s="115"/>
      <c r="O717" s="115"/>
      <c r="P717" s="115"/>
    </row>
    <row r="718" spans="10:16" ht="12.5" x14ac:dyDescent="0.25">
      <c r="J718" s="115"/>
      <c r="K718" s="115"/>
      <c r="L718" s="115"/>
      <c r="M718" s="115"/>
      <c r="N718" s="115"/>
      <c r="O718" s="115"/>
      <c r="P718" s="115"/>
    </row>
    <row r="719" spans="10:16" ht="12.5" x14ac:dyDescent="0.25">
      <c r="J719" s="115"/>
      <c r="K719" s="115"/>
      <c r="L719" s="115"/>
      <c r="M719" s="115"/>
      <c r="N719" s="115"/>
      <c r="O719" s="115"/>
      <c r="P719" s="115"/>
    </row>
    <row r="720" spans="10:16" ht="12.5" x14ac:dyDescent="0.25">
      <c r="J720" s="115"/>
      <c r="K720" s="115"/>
      <c r="L720" s="115"/>
      <c r="M720" s="115"/>
      <c r="N720" s="115"/>
      <c r="O720" s="115"/>
      <c r="P720" s="115"/>
    </row>
    <row r="721" spans="10:16" ht="12.5" x14ac:dyDescent="0.25">
      <c r="J721" s="115"/>
      <c r="K721" s="115"/>
      <c r="L721" s="115"/>
      <c r="M721" s="115"/>
      <c r="N721" s="115"/>
      <c r="O721" s="115"/>
      <c r="P721" s="115"/>
    </row>
    <row r="722" spans="10:16" ht="12.5" x14ac:dyDescent="0.25">
      <c r="J722" s="115"/>
      <c r="K722" s="115"/>
      <c r="L722" s="115"/>
      <c r="M722" s="115"/>
      <c r="N722" s="115"/>
      <c r="O722" s="115"/>
      <c r="P722" s="115"/>
    </row>
    <row r="723" spans="10:16" ht="12.5" x14ac:dyDescent="0.25">
      <c r="J723" s="115"/>
      <c r="K723" s="115"/>
      <c r="L723" s="115"/>
      <c r="M723" s="115"/>
      <c r="N723" s="115"/>
      <c r="O723" s="115"/>
      <c r="P723" s="115"/>
    </row>
    <row r="724" spans="10:16" ht="12.5" x14ac:dyDescent="0.25">
      <c r="J724" s="115"/>
      <c r="K724" s="115"/>
      <c r="L724" s="115"/>
      <c r="M724" s="115"/>
      <c r="N724" s="115"/>
      <c r="O724" s="115"/>
      <c r="P724" s="115"/>
    </row>
    <row r="725" spans="10:16" ht="12.5" x14ac:dyDescent="0.25">
      <c r="J725" s="115"/>
      <c r="K725" s="115"/>
      <c r="L725" s="115"/>
      <c r="M725" s="115"/>
      <c r="N725" s="115"/>
      <c r="O725" s="115"/>
      <c r="P725" s="115"/>
    </row>
    <row r="726" spans="10:16" ht="12.5" x14ac:dyDescent="0.25">
      <c r="J726" s="115"/>
      <c r="K726" s="115"/>
      <c r="L726" s="115"/>
      <c r="M726" s="115"/>
      <c r="N726" s="115"/>
      <c r="O726" s="115"/>
      <c r="P726" s="115"/>
    </row>
    <row r="727" spans="10:16" ht="12.5" x14ac:dyDescent="0.25">
      <c r="J727" s="115"/>
      <c r="K727" s="115"/>
      <c r="L727" s="115"/>
      <c r="M727" s="115"/>
      <c r="N727" s="115"/>
      <c r="O727" s="115"/>
      <c r="P727" s="115"/>
    </row>
    <row r="728" spans="10:16" ht="12.5" x14ac:dyDescent="0.25">
      <c r="J728" s="115"/>
      <c r="K728" s="115"/>
      <c r="L728" s="115"/>
      <c r="M728" s="115"/>
      <c r="N728" s="115"/>
      <c r="O728" s="115"/>
      <c r="P728" s="115"/>
    </row>
    <row r="729" spans="10:16" ht="12.5" x14ac:dyDescent="0.25">
      <c r="J729" s="115"/>
      <c r="K729" s="115"/>
      <c r="L729" s="115"/>
      <c r="M729" s="115"/>
      <c r="N729" s="115"/>
      <c r="O729" s="115"/>
      <c r="P729" s="115"/>
    </row>
    <row r="730" spans="10:16" ht="12.5" x14ac:dyDescent="0.25">
      <c r="J730" s="115"/>
      <c r="K730" s="115"/>
      <c r="L730" s="115"/>
      <c r="M730" s="115"/>
      <c r="N730" s="115"/>
      <c r="O730" s="115"/>
      <c r="P730" s="115"/>
    </row>
    <row r="731" spans="10:16" ht="12.5" x14ac:dyDescent="0.25">
      <c r="J731" s="115"/>
      <c r="K731" s="115"/>
      <c r="L731" s="115"/>
      <c r="M731" s="115"/>
      <c r="N731" s="115"/>
      <c r="O731" s="115"/>
      <c r="P731" s="115"/>
    </row>
    <row r="732" spans="10:16" ht="12.5" x14ac:dyDescent="0.25">
      <c r="J732" s="115"/>
      <c r="K732" s="115"/>
      <c r="L732" s="115"/>
      <c r="M732" s="115"/>
      <c r="N732" s="115"/>
      <c r="O732" s="115"/>
      <c r="P732" s="115"/>
    </row>
    <row r="733" spans="10:16" ht="12.5" x14ac:dyDescent="0.25">
      <c r="J733" s="115"/>
      <c r="K733" s="115"/>
      <c r="L733" s="115"/>
      <c r="M733" s="115"/>
      <c r="N733" s="115"/>
      <c r="O733" s="115"/>
      <c r="P733" s="115"/>
    </row>
    <row r="734" spans="10:16" ht="12.5" x14ac:dyDescent="0.25">
      <c r="J734" s="115"/>
      <c r="K734" s="115"/>
      <c r="L734" s="115"/>
      <c r="M734" s="115"/>
      <c r="N734" s="115"/>
      <c r="O734" s="115"/>
      <c r="P734" s="115"/>
    </row>
    <row r="735" spans="10:16" ht="12.5" x14ac:dyDescent="0.25">
      <c r="J735" s="115"/>
      <c r="K735" s="115"/>
      <c r="L735" s="115"/>
      <c r="M735" s="115"/>
      <c r="N735" s="115"/>
      <c r="O735" s="115"/>
      <c r="P735" s="115"/>
    </row>
    <row r="736" spans="10:16" ht="12.5" x14ac:dyDescent="0.25">
      <c r="J736" s="115"/>
      <c r="K736" s="115"/>
      <c r="L736" s="115"/>
      <c r="M736" s="115"/>
      <c r="N736" s="115"/>
      <c r="O736" s="115"/>
      <c r="P736" s="115"/>
    </row>
    <row r="737" spans="10:16" ht="12.5" x14ac:dyDescent="0.25">
      <c r="J737" s="115"/>
      <c r="K737" s="115"/>
      <c r="L737" s="115"/>
      <c r="M737" s="115"/>
      <c r="N737" s="115"/>
      <c r="O737" s="115"/>
      <c r="P737" s="115"/>
    </row>
    <row r="738" spans="10:16" ht="12.5" x14ac:dyDescent="0.25">
      <c r="J738" s="115"/>
      <c r="K738" s="115"/>
      <c r="L738" s="115"/>
      <c r="M738" s="115"/>
      <c r="N738" s="115"/>
      <c r="O738" s="115"/>
      <c r="P738" s="115"/>
    </row>
    <row r="739" spans="10:16" ht="12.5" x14ac:dyDescent="0.25">
      <c r="J739" s="115"/>
      <c r="K739" s="115"/>
      <c r="L739" s="115"/>
      <c r="M739" s="115"/>
      <c r="N739" s="115"/>
      <c r="O739" s="115"/>
      <c r="P739" s="115"/>
    </row>
    <row r="740" spans="10:16" ht="12.5" x14ac:dyDescent="0.25">
      <c r="J740" s="115"/>
      <c r="K740" s="115"/>
      <c r="L740" s="115"/>
      <c r="M740" s="115"/>
      <c r="N740" s="115"/>
      <c r="O740" s="115"/>
      <c r="P740" s="115"/>
    </row>
    <row r="741" spans="10:16" ht="12.5" x14ac:dyDescent="0.25">
      <c r="J741" s="115"/>
      <c r="K741" s="115"/>
      <c r="L741" s="115"/>
      <c r="M741" s="115"/>
      <c r="N741" s="115"/>
      <c r="O741" s="115"/>
      <c r="P741" s="115"/>
    </row>
    <row r="742" spans="10:16" ht="12.5" x14ac:dyDescent="0.25">
      <c r="J742" s="115"/>
      <c r="K742" s="115"/>
      <c r="L742" s="115"/>
      <c r="M742" s="115"/>
      <c r="N742" s="115"/>
      <c r="O742" s="115"/>
      <c r="P742" s="115"/>
    </row>
    <row r="743" spans="10:16" ht="12.5" x14ac:dyDescent="0.25">
      <c r="J743" s="115"/>
      <c r="K743" s="115"/>
      <c r="L743" s="115"/>
      <c r="M743" s="115"/>
      <c r="N743" s="115"/>
      <c r="O743" s="115"/>
      <c r="P743" s="115"/>
    </row>
    <row r="744" spans="10:16" ht="12.5" x14ac:dyDescent="0.25">
      <c r="J744" s="115"/>
      <c r="K744" s="115"/>
      <c r="L744" s="115"/>
      <c r="M744" s="115"/>
      <c r="N744" s="115"/>
      <c r="O744" s="115"/>
      <c r="P744" s="115"/>
    </row>
    <row r="745" spans="10:16" ht="12.5" x14ac:dyDescent="0.25">
      <c r="J745" s="115"/>
      <c r="K745" s="115"/>
      <c r="L745" s="115"/>
      <c r="M745" s="115"/>
      <c r="N745" s="115"/>
      <c r="O745" s="115"/>
      <c r="P745" s="115"/>
    </row>
    <row r="746" spans="10:16" ht="12.5" x14ac:dyDescent="0.25">
      <c r="J746" s="115"/>
      <c r="K746" s="115"/>
      <c r="L746" s="115"/>
      <c r="M746" s="115"/>
      <c r="N746" s="115"/>
      <c r="O746" s="115"/>
      <c r="P746" s="115"/>
    </row>
    <row r="747" spans="10:16" ht="12.5" x14ac:dyDescent="0.25">
      <c r="J747" s="115"/>
      <c r="K747" s="115"/>
      <c r="L747" s="115"/>
      <c r="M747" s="115"/>
      <c r="N747" s="115"/>
      <c r="O747" s="115"/>
      <c r="P747" s="115"/>
    </row>
    <row r="748" spans="10:16" ht="12.5" x14ac:dyDescent="0.25">
      <c r="J748" s="115"/>
      <c r="K748" s="115"/>
      <c r="L748" s="115"/>
      <c r="M748" s="115"/>
      <c r="N748" s="115"/>
      <c r="O748" s="115"/>
      <c r="P748" s="115"/>
    </row>
    <row r="749" spans="10:16" ht="12.5" x14ac:dyDescent="0.25">
      <c r="J749" s="115"/>
      <c r="K749" s="115"/>
      <c r="L749" s="115"/>
      <c r="M749" s="115"/>
      <c r="N749" s="115"/>
      <c r="O749" s="115"/>
      <c r="P749" s="115"/>
    </row>
    <row r="750" spans="10:16" ht="12.5" x14ac:dyDescent="0.25">
      <c r="J750" s="115"/>
      <c r="K750" s="115"/>
      <c r="L750" s="115"/>
      <c r="M750" s="115"/>
      <c r="N750" s="115"/>
      <c r="O750" s="115"/>
      <c r="P750" s="115"/>
    </row>
    <row r="751" spans="10:16" ht="12.5" x14ac:dyDescent="0.25">
      <c r="J751" s="115"/>
      <c r="K751" s="115"/>
      <c r="L751" s="115"/>
      <c r="M751" s="115"/>
      <c r="N751" s="115"/>
      <c r="O751" s="115"/>
      <c r="P751" s="115"/>
    </row>
    <row r="752" spans="10:16" ht="12.5" x14ac:dyDescent="0.25">
      <c r="J752" s="115"/>
      <c r="K752" s="115"/>
      <c r="L752" s="115"/>
      <c r="M752" s="115"/>
      <c r="N752" s="115"/>
      <c r="O752" s="115"/>
      <c r="P752" s="115"/>
    </row>
    <row r="753" spans="10:16" ht="12.5" x14ac:dyDescent="0.25">
      <c r="J753" s="115"/>
      <c r="K753" s="115"/>
      <c r="L753" s="115"/>
      <c r="M753" s="115"/>
      <c r="N753" s="115"/>
      <c r="O753" s="115"/>
      <c r="P753" s="115"/>
    </row>
    <row r="754" spans="10:16" ht="12.5" x14ac:dyDescent="0.25">
      <c r="J754" s="115"/>
      <c r="K754" s="115"/>
      <c r="L754" s="115"/>
      <c r="M754" s="115"/>
      <c r="N754" s="115"/>
      <c r="O754" s="115"/>
      <c r="P754" s="115"/>
    </row>
    <row r="755" spans="10:16" ht="12.5" x14ac:dyDescent="0.25">
      <c r="J755" s="115"/>
      <c r="K755" s="115"/>
      <c r="L755" s="115"/>
      <c r="M755" s="115"/>
      <c r="N755" s="115"/>
      <c r="O755" s="115"/>
      <c r="P755" s="115"/>
    </row>
    <row r="756" spans="10:16" ht="12.5" x14ac:dyDescent="0.25">
      <c r="J756" s="115"/>
      <c r="K756" s="115"/>
      <c r="L756" s="115"/>
      <c r="M756" s="115"/>
      <c r="N756" s="115"/>
      <c r="O756" s="115"/>
      <c r="P756" s="115"/>
    </row>
    <row r="757" spans="10:16" ht="12.5" x14ac:dyDescent="0.25">
      <c r="J757" s="115"/>
      <c r="K757" s="115"/>
      <c r="L757" s="115"/>
      <c r="M757" s="115"/>
      <c r="N757" s="115"/>
      <c r="O757" s="115"/>
      <c r="P757" s="115"/>
    </row>
    <row r="758" spans="10:16" ht="12.5" x14ac:dyDescent="0.25">
      <c r="J758" s="115"/>
      <c r="K758" s="115"/>
      <c r="L758" s="115"/>
      <c r="M758" s="115"/>
      <c r="N758" s="115"/>
      <c r="O758" s="115"/>
      <c r="P758" s="115"/>
    </row>
    <row r="759" spans="10:16" ht="12.5" x14ac:dyDescent="0.25">
      <c r="J759" s="115"/>
      <c r="K759" s="115"/>
      <c r="L759" s="115"/>
      <c r="M759" s="115"/>
      <c r="N759" s="115"/>
      <c r="O759" s="115"/>
      <c r="P759" s="115"/>
    </row>
    <row r="760" spans="10:16" ht="12.5" x14ac:dyDescent="0.25">
      <c r="J760" s="115"/>
      <c r="K760" s="115"/>
      <c r="L760" s="115"/>
      <c r="M760" s="115"/>
      <c r="N760" s="115"/>
      <c r="O760" s="115"/>
      <c r="P760" s="115"/>
    </row>
    <row r="761" spans="10:16" ht="12.5" x14ac:dyDescent="0.25">
      <c r="J761" s="115"/>
      <c r="K761" s="115"/>
      <c r="L761" s="115"/>
      <c r="M761" s="115"/>
      <c r="N761" s="115"/>
      <c r="O761" s="115"/>
      <c r="P761" s="115"/>
    </row>
    <row r="762" spans="10:16" ht="12.5" x14ac:dyDescent="0.25">
      <c r="J762" s="115"/>
      <c r="K762" s="115"/>
      <c r="L762" s="115"/>
      <c r="M762" s="115"/>
      <c r="N762" s="115"/>
      <c r="O762" s="115"/>
      <c r="P762" s="115"/>
    </row>
    <row r="763" spans="10:16" ht="12.5" x14ac:dyDescent="0.25">
      <c r="J763" s="115"/>
      <c r="K763" s="115"/>
      <c r="L763" s="115"/>
      <c r="M763" s="115"/>
      <c r="N763" s="115"/>
      <c r="O763" s="115"/>
      <c r="P763" s="115"/>
    </row>
    <row r="764" spans="10:16" ht="12.5" x14ac:dyDescent="0.25">
      <c r="J764" s="115"/>
      <c r="K764" s="115"/>
      <c r="L764" s="115"/>
      <c r="M764" s="115"/>
      <c r="N764" s="115"/>
      <c r="O764" s="115"/>
      <c r="P764" s="115"/>
    </row>
    <row r="765" spans="10:16" ht="12.5" x14ac:dyDescent="0.25">
      <c r="J765" s="115"/>
      <c r="K765" s="115"/>
      <c r="L765" s="115"/>
      <c r="M765" s="115"/>
      <c r="N765" s="115"/>
      <c r="O765" s="115"/>
      <c r="P765" s="115"/>
    </row>
    <row r="766" spans="10:16" ht="12.5" x14ac:dyDescent="0.25">
      <c r="J766" s="115"/>
      <c r="K766" s="115"/>
      <c r="L766" s="115"/>
      <c r="M766" s="115"/>
      <c r="N766" s="115"/>
      <c r="O766" s="115"/>
      <c r="P766" s="115"/>
    </row>
    <row r="767" spans="10:16" ht="12.5" x14ac:dyDescent="0.25">
      <c r="J767" s="115"/>
      <c r="K767" s="115"/>
      <c r="L767" s="115"/>
      <c r="M767" s="115"/>
      <c r="N767" s="115"/>
      <c r="O767" s="115"/>
      <c r="P767" s="115"/>
    </row>
    <row r="768" spans="10:16" ht="12.5" x14ac:dyDescent="0.25">
      <c r="J768" s="115"/>
      <c r="K768" s="115"/>
      <c r="L768" s="115"/>
      <c r="M768" s="115"/>
      <c r="N768" s="115"/>
      <c r="O768" s="115"/>
      <c r="P768" s="115"/>
    </row>
    <row r="769" spans="10:16" ht="12.5" x14ac:dyDescent="0.25">
      <c r="J769" s="115"/>
      <c r="K769" s="115"/>
      <c r="L769" s="115"/>
      <c r="M769" s="115"/>
      <c r="N769" s="115"/>
      <c r="O769" s="115"/>
      <c r="P769" s="115"/>
    </row>
    <row r="770" spans="10:16" ht="12.5" x14ac:dyDescent="0.25">
      <c r="J770" s="115"/>
      <c r="K770" s="115"/>
      <c r="L770" s="115"/>
      <c r="M770" s="115"/>
      <c r="N770" s="115"/>
      <c r="O770" s="115"/>
      <c r="P770" s="115"/>
    </row>
    <row r="771" spans="10:16" ht="12.5" x14ac:dyDescent="0.25">
      <c r="J771" s="115"/>
      <c r="K771" s="115"/>
      <c r="L771" s="115"/>
      <c r="M771" s="115"/>
      <c r="N771" s="115"/>
      <c r="O771" s="115"/>
      <c r="P771" s="115"/>
    </row>
    <row r="772" spans="10:16" ht="12.5" x14ac:dyDescent="0.25">
      <c r="J772" s="115"/>
      <c r="K772" s="115"/>
      <c r="L772" s="115"/>
      <c r="M772" s="115"/>
      <c r="N772" s="115"/>
      <c r="O772" s="115"/>
      <c r="P772" s="115"/>
    </row>
    <row r="773" spans="10:16" ht="12.5" x14ac:dyDescent="0.25">
      <c r="J773" s="115"/>
      <c r="K773" s="115"/>
      <c r="L773" s="115"/>
      <c r="M773" s="115"/>
      <c r="N773" s="115"/>
      <c r="O773" s="115"/>
      <c r="P773" s="115"/>
    </row>
    <row r="774" spans="10:16" ht="12.5" x14ac:dyDescent="0.25">
      <c r="J774" s="115"/>
      <c r="K774" s="115"/>
      <c r="L774" s="115"/>
      <c r="M774" s="115"/>
      <c r="N774" s="115"/>
      <c r="O774" s="115"/>
      <c r="P774" s="115"/>
    </row>
    <row r="775" spans="10:16" ht="12.5" x14ac:dyDescent="0.25">
      <c r="J775" s="115"/>
      <c r="K775" s="115"/>
      <c r="L775" s="115"/>
      <c r="M775" s="115"/>
      <c r="N775" s="115"/>
      <c r="O775" s="115"/>
      <c r="P775" s="115"/>
    </row>
    <row r="776" spans="10:16" ht="12.5" x14ac:dyDescent="0.25">
      <c r="J776" s="115"/>
      <c r="K776" s="115"/>
      <c r="L776" s="115"/>
      <c r="M776" s="115"/>
      <c r="N776" s="115"/>
      <c r="O776" s="115"/>
      <c r="P776" s="115"/>
    </row>
    <row r="777" spans="10:16" ht="12.5" x14ac:dyDescent="0.25">
      <c r="J777" s="115"/>
      <c r="K777" s="115"/>
      <c r="L777" s="115"/>
      <c r="M777" s="115"/>
      <c r="N777" s="115"/>
      <c r="O777" s="115"/>
      <c r="P777" s="115"/>
    </row>
    <row r="778" spans="10:16" ht="12.5" x14ac:dyDescent="0.25">
      <c r="J778" s="115"/>
      <c r="K778" s="115"/>
      <c r="L778" s="115"/>
      <c r="M778" s="115"/>
      <c r="N778" s="115"/>
      <c r="O778" s="115"/>
      <c r="P778" s="115"/>
    </row>
    <row r="779" spans="10:16" ht="12.5" x14ac:dyDescent="0.25">
      <c r="J779" s="115"/>
      <c r="K779" s="115"/>
      <c r="L779" s="115"/>
      <c r="M779" s="115"/>
      <c r="N779" s="115"/>
      <c r="O779" s="115"/>
      <c r="P779" s="115"/>
    </row>
    <row r="780" spans="10:16" ht="12.5" x14ac:dyDescent="0.25">
      <c r="J780" s="115"/>
      <c r="K780" s="115"/>
      <c r="L780" s="115"/>
      <c r="M780" s="115"/>
      <c r="N780" s="115"/>
      <c r="O780" s="115"/>
      <c r="P780" s="115"/>
    </row>
    <row r="781" spans="10:16" ht="12.5" x14ac:dyDescent="0.25">
      <c r="J781" s="115"/>
      <c r="K781" s="115"/>
      <c r="L781" s="115"/>
      <c r="M781" s="115"/>
      <c r="N781" s="115"/>
      <c r="O781" s="115"/>
      <c r="P781" s="115"/>
    </row>
    <row r="782" spans="10:16" ht="12.5" x14ac:dyDescent="0.25">
      <c r="J782" s="115"/>
      <c r="K782" s="115"/>
      <c r="L782" s="115"/>
      <c r="M782" s="115"/>
      <c r="N782" s="115"/>
      <c r="O782" s="115"/>
      <c r="P782" s="115"/>
    </row>
    <row r="783" spans="10:16" ht="12.5" x14ac:dyDescent="0.25">
      <c r="J783" s="115"/>
      <c r="K783" s="115"/>
      <c r="L783" s="115"/>
      <c r="M783" s="115"/>
      <c r="N783" s="115"/>
      <c r="O783" s="115"/>
      <c r="P783" s="115"/>
    </row>
    <row r="784" spans="10:16" ht="12.5" x14ac:dyDescent="0.25">
      <c r="J784" s="115"/>
      <c r="K784" s="115"/>
      <c r="L784" s="115"/>
      <c r="M784" s="115"/>
      <c r="N784" s="115"/>
      <c r="O784" s="115"/>
      <c r="P784" s="115"/>
    </row>
    <row r="785" spans="10:16" ht="12.5" x14ac:dyDescent="0.25">
      <c r="J785" s="115"/>
      <c r="K785" s="115"/>
      <c r="L785" s="115"/>
      <c r="M785" s="115"/>
      <c r="N785" s="115"/>
      <c r="O785" s="115"/>
      <c r="P785" s="115"/>
    </row>
    <row r="786" spans="10:16" ht="12.5" x14ac:dyDescent="0.25">
      <c r="J786" s="115"/>
      <c r="K786" s="115"/>
      <c r="L786" s="115"/>
      <c r="M786" s="115"/>
      <c r="N786" s="115"/>
      <c r="O786" s="115"/>
      <c r="P786" s="115"/>
    </row>
    <row r="787" spans="10:16" ht="12.5" x14ac:dyDescent="0.25">
      <c r="J787" s="115"/>
      <c r="K787" s="115"/>
      <c r="L787" s="115"/>
      <c r="M787" s="115"/>
      <c r="N787" s="115"/>
      <c r="O787" s="115"/>
      <c r="P787" s="115"/>
    </row>
    <row r="788" spans="10:16" ht="12.5" x14ac:dyDescent="0.25">
      <c r="J788" s="115"/>
      <c r="K788" s="115"/>
      <c r="L788" s="115"/>
      <c r="M788" s="115"/>
      <c r="N788" s="115"/>
      <c r="O788" s="115"/>
      <c r="P788" s="115"/>
    </row>
    <row r="789" spans="10:16" ht="12.5" x14ac:dyDescent="0.25">
      <c r="J789" s="115"/>
      <c r="K789" s="115"/>
      <c r="L789" s="115"/>
      <c r="M789" s="115"/>
      <c r="N789" s="115"/>
      <c r="O789" s="115"/>
      <c r="P789" s="115"/>
    </row>
    <row r="790" spans="10:16" ht="12.5" x14ac:dyDescent="0.25">
      <c r="J790" s="115"/>
      <c r="K790" s="115"/>
      <c r="L790" s="115"/>
      <c r="M790" s="115"/>
      <c r="N790" s="115"/>
      <c r="O790" s="115"/>
      <c r="P790" s="115"/>
    </row>
    <row r="791" spans="10:16" ht="12.5" x14ac:dyDescent="0.25">
      <c r="J791" s="115"/>
      <c r="K791" s="115"/>
      <c r="L791" s="115"/>
      <c r="M791" s="115"/>
      <c r="N791" s="115"/>
      <c r="O791" s="115"/>
      <c r="P791" s="115"/>
    </row>
    <row r="792" spans="10:16" ht="12.5" x14ac:dyDescent="0.25">
      <c r="J792" s="115"/>
      <c r="K792" s="115"/>
      <c r="L792" s="115"/>
      <c r="M792" s="115"/>
      <c r="N792" s="115"/>
      <c r="O792" s="115"/>
      <c r="P792" s="115"/>
    </row>
    <row r="793" spans="10:16" ht="12.5" x14ac:dyDescent="0.25">
      <c r="J793" s="115"/>
      <c r="K793" s="115"/>
      <c r="L793" s="115"/>
      <c r="M793" s="115"/>
      <c r="N793" s="115"/>
      <c r="O793" s="115"/>
      <c r="P793" s="115"/>
    </row>
    <row r="794" spans="10:16" ht="12.5" x14ac:dyDescent="0.25">
      <c r="J794" s="115"/>
      <c r="K794" s="115"/>
      <c r="L794" s="115"/>
      <c r="M794" s="115"/>
      <c r="N794" s="115"/>
      <c r="O794" s="115"/>
      <c r="P794" s="115"/>
    </row>
    <row r="795" spans="10:16" ht="12.5" x14ac:dyDescent="0.25">
      <c r="J795" s="115"/>
      <c r="K795" s="115"/>
      <c r="L795" s="115"/>
      <c r="M795" s="115"/>
      <c r="N795" s="115"/>
      <c r="O795" s="115"/>
      <c r="P795" s="115"/>
    </row>
    <row r="796" spans="10:16" ht="12.5" x14ac:dyDescent="0.25">
      <c r="J796" s="115"/>
      <c r="K796" s="115"/>
      <c r="L796" s="115"/>
      <c r="M796" s="115"/>
      <c r="N796" s="115"/>
      <c r="O796" s="115"/>
      <c r="P796" s="115"/>
    </row>
    <row r="797" spans="10:16" ht="12.5" x14ac:dyDescent="0.25">
      <c r="J797" s="115"/>
      <c r="K797" s="115"/>
      <c r="L797" s="115"/>
      <c r="M797" s="115"/>
      <c r="N797" s="115"/>
      <c r="O797" s="115"/>
      <c r="P797" s="115"/>
    </row>
    <row r="798" spans="10:16" ht="12.5" x14ac:dyDescent="0.25">
      <c r="J798" s="115"/>
      <c r="K798" s="115"/>
      <c r="L798" s="115"/>
      <c r="M798" s="115"/>
      <c r="N798" s="115"/>
      <c r="O798" s="115"/>
      <c r="P798" s="115"/>
    </row>
    <row r="799" spans="10:16" ht="12.5" x14ac:dyDescent="0.25">
      <c r="J799" s="115"/>
      <c r="K799" s="115"/>
      <c r="L799" s="115"/>
      <c r="M799" s="115"/>
      <c r="N799" s="115"/>
      <c r="O799" s="115"/>
      <c r="P799" s="115"/>
    </row>
    <row r="800" spans="10:16" ht="12.5" x14ac:dyDescent="0.25">
      <c r="J800" s="115"/>
      <c r="K800" s="115"/>
      <c r="L800" s="115"/>
      <c r="M800" s="115"/>
      <c r="N800" s="115"/>
      <c r="O800" s="115"/>
      <c r="P800" s="115"/>
    </row>
    <row r="801" spans="10:16" ht="12.5" x14ac:dyDescent="0.25">
      <c r="J801" s="115"/>
      <c r="K801" s="115"/>
      <c r="L801" s="115"/>
      <c r="M801" s="115"/>
      <c r="N801" s="115"/>
      <c r="O801" s="115"/>
      <c r="P801" s="115"/>
    </row>
    <row r="802" spans="10:16" ht="12.5" x14ac:dyDescent="0.25">
      <c r="J802" s="115"/>
      <c r="K802" s="115"/>
      <c r="L802" s="115"/>
      <c r="M802" s="115"/>
      <c r="N802" s="115"/>
      <c r="O802" s="115"/>
      <c r="P802" s="115"/>
    </row>
    <row r="803" spans="10:16" ht="12.5" x14ac:dyDescent="0.25">
      <c r="J803" s="115"/>
      <c r="K803" s="115"/>
      <c r="L803" s="115"/>
      <c r="M803" s="115"/>
      <c r="N803" s="115"/>
      <c r="O803" s="115"/>
      <c r="P803" s="115"/>
    </row>
    <row r="804" spans="10:16" ht="12.5" x14ac:dyDescent="0.25">
      <c r="J804" s="115"/>
      <c r="K804" s="115"/>
      <c r="L804" s="115"/>
      <c r="M804" s="115"/>
      <c r="N804" s="115"/>
      <c r="O804" s="115"/>
      <c r="P804" s="115"/>
    </row>
    <row r="805" spans="10:16" ht="12.5" x14ac:dyDescent="0.25">
      <c r="J805" s="115"/>
      <c r="K805" s="115"/>
      <c r="L805" s="115"/>
      <c r="M805" s="115"/>
      <c r="N805" s="115"/>
      <c r="O805" s="115"/>
      <c r="P805" s="115"/>
    </row>
    <row r="806" spans="10:16" ht="12.5" x14ac:dyDescent="0.25">
      <c r="J806" s="115"/>
      <c r="K806" s="115"/>
      <c r="L806" s="115"/>
      <c r="M806" s="115"/>
      <c r="N806" s="115"/>
      <c r="O806" s="115"/>
      <c r="P806" s="115"/>
    </row>
    <row r="807" spans="10:16" ht="12.5" x14ac:dyDescent="0.25">
      <c r="J807" s="115"/>
      <c r="K807" s="115"/>
      <c r="L807" s="115"/>
      <c r="M807" s="115"/>
      <c r="N807" s="115"/>
      <c r="O807" s="115"/>
      <c r="P807" s="115"/>
    </row>
    <row r="808" spans="10:16" ht="12.5" x14ac:dyDescent="0.25">
      <c r="J808" s="115"/>
      <c r="K808" s="115"/>
      <c r="L808" s="115"/>
      <c r="M808" s="115"/>
      <c r="N808" s="115"/>
      <c r="O808" s="115"/>
      <c r="P808" s="115"/>
    </row>
    <row r="809" spans="10:16" ht="12.5" x14ac:dyDescent="0.25">
      <c r="J809" s="115"/>
      <c r="K809" s="115"/>
      <c r="L809" s="115"/>
      <c r="M809" s="115"/>
      <c r="N809" s="115"/>
      <c r="O809" s="115"/>
      <c r="P809" s="115"/>
    </row>
    <row r="810" spans="10:16" ht="12.5" x14ac:dyDescent="0.25">
      <c r="J810" s="115"/>
      <c r="K810" s="115"/>
      <c r="L810" s="115"/>
      <c r="M810" s="115"/>
      <c r="N810" s="115"/>
      <c r="O810" s="115"/>
      <c r="P810" s="115"/>
    </row>
    <row r="811" spans="10:16" ht="12.5" x14ac:dyDescent="0.25">
      <c r="J811" s="115"/>
      <c r="K811" s="115"/>
      <c r="L811" s="115"/>
      <c r="M811" s="115"/>
      <c r="N811" s="115"/>
      <c r="O811" s="115"/>
      <c r="P811" s="115"/>
    </row>
    <row r="812" spans="10:16" ht="12.5" x14ac:dyDescent="0.25">
      <c r="J812" s="115"/>
      <c r="K812" s="115"/>
      <c r="L812" s="115"/>
      <c r="M812" s="115"/>
      <c r="N812" s="115"/>
      <c r="O812" s="115"/>
      <c r="P812" s="115"/>
    </row>
    <row r="813" spans="10:16" ht="12.5" x14ac:dyDescent="0.25">
      <c r="J813" s="115"/>
      <c r="K813" s="115"/>
      <c r="L813" s="115"/>
      <c r="M813" s="115"/>
      <c r="N813" s="115"/>
      <c r="O813" s="115"/>
      <c r="P813" s="115"/>
    </row>
    <row r="814" spans="10:16" ht="12.5" x14ac:dyDescent="0.25">
      <c r="J814" s="115"/>
      <c r="K814" s="115"/>
      <c r="L814" s="115"/>
      <c r="M814" s="115"/>
      <c r="N814" s="115"/>
      <c r="O814" s="115"/>
      <c r="P814" s="115"/>
    </row>
    <row r="815" spans="10:16" ht="12.5" x14ac:dyDescent="0.25">
      <c r="J815" s="115"/>
      <c r="K815" s="115"/>
      <c r="L815" s="115"/>
      <c r="M815" s="115"/>
      <c r="N815" s="115"/>
      <c r="O815" s="115"/>
      <c r="P815" s="115"/>
    </row>
    <row r="816" spans="10:16" ht="12.5" x14ac:dyDescent="0.25">
      <c r="J816" s="115"/>
      <c r="K816" s="115"/>
      <c r="L816" s="115"/>
      <c r="M816" s="115"/>
      <c r="N816" s="115"/>
      <c r="O816" s="115"/>
      <c r="P816" s="115"/>
    </row>
    <row r="817" spans="10:16" ht="12.5" x14ac:dyDescent="0.25">
      <c r="J817" s="115"/>
      <c r="K817" s="115"/>
      <c r="L817" s="115"/>
      <c r="M817" s="115"/>
      <c r="N817" s="115"/>
      <c r="O817" s="115"/>
      <c r="P817" s="115"/>
    </row>
    <row r="818" spans="10:16" ht="12.5" x14ac:dyDescent="0.25">
      <c r="J818" s="115"/>
      <c r="K818" s="115"/>
      <c r="L818" s="115"/>
      <c r="M818" s="115"/>
      <c r="N818" s="115"/>
      <c r="O818" s="115"/>
      <c r="P818" s="115"/>
    </row>
    <row r="819" spans="10:16" ht="12.5" x14ac:dyDescent="0.25">
      <c r="J819" s="115"/>
      <c r="K819" s="115"/>
      <c r="L819" s="115"/>
      <c r="M819" s="115"/>
      <c r="N819" s="115"/>
      <c r="O819" s="115"/>
      <c r="P819" s="115"/>
    </row>
    <row r="820" spans="10:16" ht="12.5" x14ac:dyDescent="0.25">
      <c r="J820" s="115"/>
      <c r="K820" s="115"/>
      <c r="L820" s="115"/>
      <c r="M820" s="115"/>
      <c r="N820" s="115"/>
      <c r="O820" s="115"/>
      <c r="P820" s="115"/>
    </row>
    <row r="821" spans="10:16" ht="12.5" x14ac:dyDescent="0.25">
      <c r="J821" s="115"/>
      <c r="K821" s="115"/>
      <c r="L821" s="115"/>
      <c r="M821" s="115"/>
      <c r="N821" s="115"/>
      <c r="O821" s="115"/>
      <c r="P821" s="115"/>
    </row>
    <row r="822" spans="10:16" ht="12.5" x14ac:dyDescent="0.25">
      <c r="J822" s="115"/>
      <c r="K822" s="115"/>
      <c r="L822" s="115"/>
      <c r="M822" s="115"/>
      <c r="N822" s="115"/>
      <c r="O822" s="115"/>
      <c r="P822" s="115"/>
    </row>
    <row r="823" spans="10:16" ht="12.5" x14ac:dyDescent="0.25">
      <c r="J823" s="115"/>
      <c r="K823" s="115"/>
      <c r="L823" s="115"/>
      <c r="M823" s="115"/>
      <c r="N823" s="115"/>
      <c r="O823" s="115"/>
      <c r="P823" s="115"/>
    </row>
    <row r="824" spans="10:16" ht="12.5" x14ac:dyDescent="0.25">
      <c r="J824" s="115"/>
      <c r="K824" s="115"/>
      <c r="L824" s="115"/>
      <c r="M824" s="115"/>
      <c r="N824" s="115"/>
      <c r="O824" s="115"/>
      <c r="P824" s="115"/>
    </row>
    <row r="825" spans="10:16" ht="12.5" x14ac:dyDescent="0.25">
      <c r="J825" s="115"/>
      <c r="K825" s="115"/>
      <c r="L825" s="115"/>
      <c r="M825" s="115"/>
      <c r="N825" s="115"/>
      <c r="O825" s="115"/>
      <c r="P825" s="115"/>
    </row>
    <row r="826" spans="10:16" ht="12.5" x14ac:dyDescent="0.25">
      <c r="J826" s="115"/>
      <c r="K826" s="115"/>
      <c r="L826" s="115"/>
      <c r="M826" s="115"/>
      <c r="N826" s="115"/>
      <c r="O826" s="115"/>
      <c r="P826" s="115"/>
    </row>
    <row r="827" spans="10:16" ht="12.5" x14ac:dyDescent="0.25">
      <c r="J827" s="115"/>
      <c r="K827" s="115"/>
      <c r="L827" s="115"/>
      <c r="M827" s="115"/>
      <c r="N827" s="115"/>
      <c r="O827" s="115"/>
      <c r="P827" s="115"/>
    </row>
    <row r="828" spans="10:16" ht="12.5" x14ac:dyDescent="0.25">
      <c r="J828" s="115"/>
      <c r="K828" s="115"/>
      <c r="L828" s="115"/>
      <c r="M828" s="115"/>
      <c r="N828" s="115"/>
      <c r="O828" s="115"/>
      <c r="P828" s="115"/>
    </row>
    <row r="829" spans="10:16" ht="12.5" x14ac:dyDescent="0.25">
      <c r="J829" s="115"/>
      <c r="K829" s="115"/>
      <c r="L829" s="115"/>
      <c r="M829" s="115"/>
      <c r="N829" s="115"/>
      <c r="O829" s="115"/>
      <c r="P829" s="115"/>
    </row>
    <row r="830" spans="10:16" ht="12.5" x14ac:dyDescent="0.25">
      <c r="J830" s="115"/>
      <c r="K830" s="115"/>
      <c r="L830" s="115"/>
      <c r="M830" s="115"/>
      <c r="N830" s="115"/>
      <c r="O830" s="115"/>
      <c r="P830" s="115"/>
    </row>
    <row r="831" spans="10:16" ht="12.5" x14ac:dyDescent="0.25">
      <c r="J831" s="115"/>
      <c r="K831" s="115"/>
      <c r="L831" s="115"/>
      <c r="M831" s="115"/>
      <c r="N831" s="115"/>
      <c r="O831" s="115"/>
      <c r="P831" s="115"/>
    </row>
    <row r="832" spans="10:16" ht="12.5" x14ac:dyDescent="0.25">
      <c r="J832" s="115"/>
      <c r="K832" s="115"/>
      <c r="L832" s="115"/>
      <c r="M832" s="115"/>
      <c r="N832" s="115"/>
      <c r="O832" s="115"/>
      <c r="P832" s="115"/>
    </row>
    <row r="833" spans="10:16" ht="12.5" x14ac:dyDescent="0.25">
      <c r="J833" s="115"/>
      <c r="K833" s="115"/>
      <c r="L833" s="115"/>
      <c r="M833" s="115"/>
      <c r="N833" s="115"/>
      <c r="O833" s="115"/>
      <c r="P833" s="115"/>
    </row>
    <row r="834" spans="10:16" ht="12.5" x14ac:dyDescent="0.25">
      <c r="J834" s="115"/>
      <c r="K834" s="115"/>
      <c r="L834" s="115"/>
      <c r="M834" s="115"/>
      <c r="N834" s="115"/>
      <c r="O834" s="115"/>
      <c r="P834" s="115"/>
    </row>
    <row r="835" spans="10:16" ht="12.5" x14ac:dyDescent="0.25">
      <c r="J835" s="115"/>
      <c r="K835" s="115"/>
      <c r="L835" s="115"/>
      <c r="M835" s="115"/>
      <c r="N835" s="115"/>
      <c r="O835" s="115"/>
      <c r="P835" s="115"/>
    </row>
    <row r="836" spans="10:16" ht="12.5" x14ac:dyDescent="0.25">
      <c r="J836" s="115"/>
      <c r="K836" s="115"/>
      <c r="L836" s="115"/>
      <c r="M836" s="115"/>
      <c r="N836" s="115"/>
      <c r="O836" s="115"/>
      <c r="P836" s="115"/>
    </row>
    <row r="837" spans="10:16" ht="12.5" x14ac:dyDescent="0.25">
      <c r="J837" s="115"/>
      <c r="K837" s="115"/>
      <c r="L837" s="115"/>
      <c r="M837" s="115"/>
      <c r="N837" s="115"/>
      <c r="O837" s="115"/>
      <c r="P837" s="115"/>
    </row>
    <row r="838" spans="10:16" ht="12.5" x14ac:dyDescent="0.25">
      <c r="J838" s="115"/>
      <c r="K838" s="115"/>
      <c r="L838" s="115"/>
      <c r="M838" s="115"/>
      <c r="N838" s="115"/>
      <c r="O838" s="115"/>
      <c r="P838" s="115"/>
    </row>
    <row r="839" spans="10:16" ht="12.5" x14ac:dyDescent="0.25">
      <c r="J839" s="115"/>
      <c r="K839" s="115"/>
      <c r="L839" s="115"/>
      <c r="M839" s="115"/>
      <c r="N839" s="115"/>
      <c r="O839" s="115"/>
      <c r="P839" s="115"/>
    </row>
    <row r="840" spans="10:16" ht="12.5" x14ac:dyDescent="0.25">
      <c r="J840" s="115"/>
      <c r="K840" s="115"/>
      <c r="L840" s="115"/>
      <c r="M840" s="115"/>
      <c r="N840" s="115"/>
      <c r="O840" s="115"/>
      <c r="P840" s="115"/>
    </row>
    <row r="841" spans="10:16" ht="12.5" x14ac:dyDescent="0.25">
      <c r="J841" s="115"/>
      <c r="K841" s="115"/>
      <c r="L841" s="115"/>
      <c r="M841" s="115"/>
      <c r="N841" s="115"/>
      <c r="O841" s="115"/>
      <c r="P841" s="115"/>
    </row>
    <row r="842" spans="10:16" ht="12.5" x14ac:dyDescent="0.25">
      <c r="J842" s="115"/>
      <c r="K842" s="115"/>
      <c r="L842" s="115"/>
      <c r="M842" s="115"/>
      <c r="N842" s="115"/>
      <c r="O842" s="115"/>
      <c r="P842" s="115"/>
    </row>
    <row r="843" spans="10:16" ht="12.5" x14ac:dyDescent="0.25">
      <c r="J843" s="115"/>
      <c r="K843" s="115"/>
      <c r="L843" s="115"/>
      <c r="M843" s="115"/>
      <c r="N843" s="115"/>
      <c r="O843" s="115"/>
      <c r="P843" s="115"/>
    </row>
    <row r="844" spans="10:16" ht="12.5" x14ac:dyDescent="0.25">
      <c r="J844" s="115"/>
      <c r="K844" s="115"/>
      <c r="L844" s="115"/>
      <c r="M844" s="115"/>
      <c r="N844" s="115"/>
      <c r="O844" s="115"/>
      <c r="P844" s="115"/>
    </row>
    <row r="845" spans="10:16" ht="12.5" x14ac:dyDescent="0.25">
      <c r="J845" s="115"/>
      <c r="K845" s="115"/>
      <c r="L845" s="115"/>
      <c r="M845" s="115"/>
      <c r="N845" s="115"/>
      <c r="O845" s="115"/>
      <c r="P845" s="115"/>
    </row>
    <row r="846" spans="10:16" ht="12.5" x14ac:dyDescent="0.25">
      <c r="J846" s="115"/>
      <c r="K846" s="115"/>
      <c r="L846" s="115"/>
      <c r="M846" s="115"/>
      <c r="N846" s="115"/>
      <c r="O846" s="115"/>
      <c r="P846" s="115"/>
    </row>
    <row r="847" spans="10:16" ht="12.5" x14ac:dyDescent="0.25">
      <c r="J847" s="115"/>
      <c r="K847" s="115"/>
      <c r="L847" s="115"/>
      <c r="M847" s="115"/>
      <c r="N847" s="115"/>
      <c r="O847" s="115"/>
      <c r="P847" s="115"/>
    </row>
    <row r="848" spans="10:16" ht="12.5" x14ac:dyDescent="0.25">
      <c r="J848" s="115"/>
      <c r="K848" s="115"/>
      <c r="L848" s="115"/>
      <c r="M848" s="115"/>
      <c r="N848" s="115"/>
      <c r="O848" s="115"/>
      <c r="P848" s="115"/>
    </row>
    <row r="849" spans="10:16" ht="12.5" x14ac:dyDescent="0.25">
      <c r="J849" s="115"/>
      <c r="K849" s="115"/>
      <c r="L849" s="115"/>
      <c r="M849" s="115"/>
      <c r="N849" s="115"/>
      <c r="O849" s="115"/>
      <c r="P849" s="115"/>
    </row>
    <row r="850" spans="10:16" ht="12.5" x14ac:dyDescent="0.25">
      <c r="J850" s="115"/>
      <c r="K850" s="115"/>
      <c r="L850" s="115"/>
      <c r="M850" s="115"/>
      <c r="N850" s="115"/>
      <c r="O850" s="115"/>
      <c r="P850" s="115"/>
    </row>
    <row r="851" spans="10:16" ht="12.5" x14ac:dyDescent="0.25">
      <c r="J851" s="115"/>
      <c r="K851" s="115"/>
      <c r="L851" s="115"/>
      <c r="M851" s="115"/>
      <c r="N851" s="115"/>
      <c r="O851" s="115"/>
      <c r="P851" s="115"/>
    </row>
    <row r="852" spans="10:16" ht="12.5" x14ac:dyDescent="0.25">
      <c r="J852" s="115"/>
      <c r="K852" s="115"/>
      <c r="L852" s="115"/>
      <c r="M852" s="115"/>
      <c r="N852" s="115"/>
      <c r="O852" s="115"/>
      <c r="P852" s="115"/>
    </row>
    <row r="853" spans="10:16" ht="12.5" x14ac:dyDescent="0.25">
      <c r="J853" s="115"/>
      <c r="K853" s="115"/>
      <c r="L853" s="115"/>
      <c r="M853" s="115"/>
      <c r="N853" s="115"/>
      <c r="O853" s="115"/>
      <c r="P853" s="115"/>
    </row>
    <row r="854" spans="10:16" ht="12.5" x14ac:dyDescent="0.25">
      <c r="J854" s="115"/>
      <c r="K854" s="115"/>
      <c r="L854" s="115"/>
      <c r="M854" s="115"/>
      <c r="N854" s="115"/>
      <c r="O854" s="115"/>
      <c r="P854" s="115"/>
    </row>
    <row r="855" spans="10:16" ht="12.5" x14ac:dyDescent="0.25">
      <c r="J855" s="115"/>
      <c r="K855" s="115"/>
      <c r="L855" s="115"/>
      <c r="M855" s="115"/>
      <c r="N855" s="115"/>
      <c r="O855" s="115"/>
      <c r="P855" s="115"/>
    </row>
    <row r="856" spans="10:16" ht="12.5" x14ac:dyDescent="0.25">
      <c r="J856" s="115"/>
      <c r="K856" s="115"/>
      <c r="L856" s="115"/>
      <c r="M856" s="115"/>
      <c r="N856" s="115"/>
      <c r="O856" s="115"/>
      <c r="P856" s="115"/>
    </row>
    <row r="857" spans="10:16" ht="12.5" x14ac:dyDescent="0.25">
      <c r="J857" s="115"/>
      <c r="K857" s="115"/>
      <c r="L857" s="115"/>
      <c r="M857" s="115"/>
      <c r="N857" s="115"/>
      <c r="O857" s="115"/>
      <c r="P857" s="115"/>
    </row>
    <row r="858" spans="10:16" ht="12.5" x14ac:dyDescent="0.25">
      <c r="J858" s="115"/>
      <c r="K858" s="115"/>
      <c r="L858" s="115"/>
      <c r="M858" s="115"/>
      <c r="N858" s="115"/>
      <c r="O858" s="115"/>
      <c r="P858" s="115"/>
    </row>
    <row r="859" spans="10:16" ht="12.5" x14ac:dyDescent="0.25">
      <c r="J859" s="115"/>
      <c r="K859" s="115"/>
      <c r="L859" s="115"/>
      <c r="M859" s="115"/>
      <c r="N859" s="115"/>
      <c r="O859" s="115"/>
      <c r="P859" s="115"/>
    </row>
    <row r="860" spans="10:16" ht="12.5" x14ac:dyDescent="0.25">
      <c r="J860" s="115"/>
      <c r="K860" s="115"/>
      <c r="L860" s="115"/>
      <c r="M860" s="115"/>
      <c r="N860" s="115"/>
      <c r="O860" s="115"/>
      <c r="P860" s="115"/>
    </row>
    <row r="861" spans="10:16" ht="12.5" x14ac:dyDescent="0.25">
      <c r="J861" s="115"/>
      <c r="K861" s="115"/>
      <c r="L861" s="115"/>
      <c r="M861" s="115"/>
      <c r="N861" s="115"/>
      <c r="O861" s="115"/>
      <c r="P861" s="115"/>
    </row>
    <row r="862" spans="10:16" ht="12.5" x14ac:dyDescent="0.25">
      <c r="J862" s="115"/>
      <c r="K862" s="115"/>
      <c r="L862" s="115"/>
      <c r="M862" s="115"/>
      <c r="N862" s="115"/>
      <c r="O862" s="115"/>
      <c r="P862" s="115"/>
    </row>
    <row r="863" spans="10:16" ht="12.5" x14ac:dyDescent="0.25">
      <c r="J863" s="115"/>
      <c r="K863" s="115"/>
      <c r="L863" s="115"/>
      <c r="M863" s="115"/>
      <c r="N863" s="115"/>
      <c r="O863" s="115"/>
      <c r="P863" s="115"/>
    </row>
    <row r="864" spans="10:16" ht="12.5" x14ac:dyDescent="0.25">
      <c r="J864" s="115"/>
      <c r="K864" s="115"/>
      <c r="L864" s="115"/>
      <c r="M864" s="115"/>
      <c r="N864" s="115"/>
      <c r="O864" s="115"/>
      <c r="P864" s="115"/>
    </row>
    <row r="865" spans="10:16" ht="12.5" x14ac:dyDescent="0.25">
      <c r="J865" s="115"/>
      <c r="K865" s="115"/>
      <c r="L865" s="115"/>
      <c r="M865" s="115"/>
      <c r="N865" s="115"/>
      <c r="O865" s="115"/>
      <c r="P865" s="115"/>
    </row>
    <row r="866" spans="10:16" ht="12.5" x14ac:dyDescent="0.25">
      <c r="J866" s="115"/>
      <c r="K866" s="115"/>
      <c r="L866" s="115"/>
      <c r="M866" s="115"/>
      <c r="N866" s="115"/>
      <c r="O866" s="115"/>
      <c r="P866" s="115"/>
    </row>
    <row r="867" spans="10:16" ht="12.5" x14ac:dyDescent="0.25">
      <c r="J867" s="115"/>
      <c r="K867" s="115"/>
      <c r="L867" s="115"/>
      <c r="M867" s="115"/>
      <c r="N867" s="115"/>
      <c r="O867" s="115"/>
      <c r="P867" s="115"/>
    </row>
    <row r="868" spans="10:16" ht="12.5" x14ac:dyDescent="0.25">
      <c r="J868" s="115"/>
      <c r="K868" s="115"/>
      <c r="L868" s="115"/>
      <c r="M868" s="115"/>
      <c r="N868" s="115"/>
      <c r="O868" s="115"/>
      <c r="P868" s="115"/>
    </row>
    <row r="869" spans="10:16" ht="12.5" x14ac:dyDescent="0.25">
      <c r="J869" s="115"/>
      <c r="K869" s="115"/>
      <c r="L869" s="115"/>
      <c r="M869" s="115"/>
      <c r="N869" s="115"/>
      <c r="O869" s="115"/>
      <c r="P869" s="115"/>
    </row>
    <row r="870" spans="10:16" ht="12.5" x14ac:dyDescent="0.25">
      <c r="J870" s="115"/>
      <c r="K870" s="115"/>
      <c r="L870" s="115"/>
      <c r="M870" s="115"/>
      <c r="N870" s="115"/>
      <c r="O870" s="115"/>
      <c r="P870" s="115"/>
    </row>
    <row r="871" spans="10:16" ht="12.5" x14ac:dyDescent="0.25">
      <c r="J871" s="115"/>
      <c r="K871" s="115"/>
      <c r="L871" s="115"/>
      <c r="M871" s="115"/>
      <c r="N871" s="115"/>
      <c r="O871" s="115"/>
      <c r="P871" s="115"/>
    </row>
    <row r="872" spans="10:16" ht="12.5" x14ac:dyDescent="0.25">
      <c r="J872" s="115"/>
      <c r="K872" s="115"/>
      <c r="L872" s="115"/>
      <c r="M872" s="115"/>
      <c r="N872" s="115"/>
      <c r="O872" s="115"/>
      <c r="P872" s="115"/>
    </row>
    <row r="873" spans="10:16" ht="12.5" x14ac:dyDescent="0.25">
      <c r="J873" s="115"/>
      <c r="K873" s="115"/>
      <c r="L873" s="115"/>
      <c r="M873" s="115"/>
      <c r="N873" s="115"/>
      <c r="O873" s="115"/>
      <c r="P873" s="115"/>
    </row>
    <row r="874" spans="10:16" ht="12.5" x14ac:dyDescent="0.25">
      <c r="J874" s="115"/>
      <c r="K874" s="115"/>
      <c r="L874" s="115"/>
      <c r="M874" s="115"/>
      <c r="N874" s="115"/>
      <c r="O874" s="115"/>
      <c r="P874" s="115"/>
    </row>
    <row r="875" spans="10:16" ht="12.5" x14ac:dyDescent="0.25">
      <c r="J875" s="115"/>
      <c r="K875" s="115"/>
      <c r="L875" s="115"/>
      <c r="M875" s="115"/>
      <c r="N875" s="115"/>
      <c r="O875" s="115"/>
      <c r="P875" s="115"/>
    </row>
    <row r="876" spans="10:16" ht="12.5" x14ac:dyDescent="0.25">
      <c r="J876" s="115"/>
      <c r="K876" s="115"/>
      <c r="L876" s="115"/>
      <c r="M876" s="115"/>
      <c r="N876" s="115"/>
      <c r="O876" s="115"/>
      <c r="P876" s="115"/>
    </row>
    <row r="877" spans="10:16" ht="12.5" x14ac:dyDescent="0.25">
      <c r="J877" s="115"/>
      <c r="K877" s="115"/>
      <c r="L877" s="115"/>
      <c r="M877" s="115"/>
      <c r="N877" s="115"/>
      <c r="O877" s="115"/>
      <c r="P877" s="115"/>
    </row>
    <row r="878" spans="10:16" ht="12.5" x14ac:dyDescent="0.25">
      <c r="J878" s="115"/>
      <c r="K878" s="115"/>
      <c r="L878" s="115"/>
      <c r="M878" s="115"/>
      <c r="N878" s="115"/>
      <c r="O878" s="115"/>
      <c r="P878" s="115"/>
    </row>
    <row r="879" spans="10:16" ht="12.5" x14ac:dyDescent="0.25">
      <c r="J879" s="115"/>
      <c r="K879" s="115"/>
      <c r="L879" s="115"/>
      <c r="M879" s="115"/>
      <c r="N879" s="115"/>
      <c r="O879" s="115"/>
      <c r="P879" s="115"/>
    </row>
    <row r="880" spans="10:16" ht="12.5" x14ac:dyDescent="0.25">
      <c r="J880" s="115"/>
      <c r="K880" s="115"/>
      <c r="L880" s="115"/>
      <c r="M880" s="115"/>
      <c r="N880" s="115"/>
      <c r="O880" s="115"/>
      <c r="P880" s="115"/>
    </row>
    <row r="881" spans="10:16" ht="12.5" x14ac:dyDescent="0.25">
      <c r="J881" s="115"/>
      <c r="K881" s="115"/>
      <c r="L881" s="115"/>
      <c r="M881" s="115"/>
      <c r="N881" s="115"/>
      <c r="O881" s="115"/>
      <c r="P881" s="115"/>
    </row>
    <row r="882" spans="10:16" ht="12.5" x14ac:dyDescent="0.25">
      <c r="J882" s="115"/>
      <c r="K882" s="115"/>
      <c r="L882" s="115"/>
      <c r="M882" s="115"/>
      <c r="N882" s="115"/>
      <c r="O882" s="115"/>
      <c r="P882" s="115"/>
    </row>
    <row r="883" spans="10:16" ht="12.5" x14ac:dyDescent="0.25">
      <c r="J883" s="115"/>
      <c r="K883" s="115"/>
      <c r="L883" s="115"/>
      <c r="M883" s="115"/>
      <c r="N883" s="115"/>
      <c r="O883" s="115"/>
      <c r="P883" s="115"/>
    </row>
    <row r="884" spans="10:16" ht="12.5" x14ac:dyDescent="0.25">
      <c r="J884" s="115"/>
      <c r="K884" s="115"/>
      <c r="L884" s="115"/>
      <c r="M884" s="115"/>
      <c r="N884" s="115"/>
      <c r="O884" s="115"/>
      <c r="P884" s="115"/>
    </row>
    <row r="885" spans="10:16" ht="12.5" x14ac:dyDescent="0.25">
      <c r="J885" s="115"/>
      <c r="K885" s="115"/>
      <c r="L885" s="115"/>
      <c r="M885" s="115"/>
      <c r="N885" s="115"/>
      <c r="O885" s="115"/>
      <c r="P885" s="115"/>
    </row>
    <row r="886" spans="10:16" ht="12.5" x14ac:dyDescent="0.25">
      <c r="J886" s="115"/>
      <c r="K886" s="115"/>
      <c r="L886" s="115"/>
      <c r="M886" s="115"/>
      <c r="N886" s="115"/>
      <c r="O886" s="115"/>
      <c r="P886" s="115"/>
    </row>
    <row r="887" spans="10:16" ht="12.5" x14ac:dyDescent="0.25">
      <c r="J887" s="115"/>
      <c r="K887" s="115"/>
      <c r="L887" s="115"/>
      <c r="M887" s="115"/>
      <c r="N887" s="115"/>
      <c r="O887" s="115"/>
      <c r="P887" s="115"/>
    </row>
    <row r="888" spans="10:16" ht="12.5" x14ac:dyDescent="0.25">
      <c r="J888" s="115"/>
      <c r="K888" s="115"/>
      <c r="L888" s="115"/>
      <c r="M888" s="115"/>
      <c r="N888" s="115"/>
      <c r="O888" s="115"/>
      <c r="P888" s="115"/>
    </row>
    <row r="889" spans="10:16" ht="12.5" x14ac:dyDescent="0.25">
      <c r="J889" s="115"/>
      <c r="K889" s="115"/>
      <c r="L889" s="115"/>
      <c r="M889" s="115"/>
      <c r="N889" s="115"/>
      <c r="O889" s="115"/>
      <c r="P889" s="115"/>
    </row>
    <row r="890" spans="10:16" ht="12.5" x14ac:dyDescent="0.25">
      <c r="J890" s="115"/>
      <c r="K890" s="115"/>
      <c r="L890" s="115"/>
      <c r="M890" s="115"/>
      <c r="N890" s="115"/>
      <c r="O890" s="115"/>
      <c r="P890" s="115"/>
    </row>
    <row r="891" spans="10:16" ht="12.5" x14ac:dyDescent="0.25">
      <c r="J891" s="115"/>
      <c r="K891" s="115"/>
      <c r="L891" s="115"/>
      <c r="M891" s="115"/>
      <c r="N891" s="115"/>
      <c r="O891" s="115"/>
      <c r="P891" s="115"/>
    </row>
    <row r="892" spans="10:16" ht="12.5" x14ac:dyDescent="0.25">
      <c r="J892" s="115"/>
      <c r="K892" s="115"/>
      <c r="L892" s="115"/>
      <c r="M892" s="115"/>
      <c r="N892" s="115"/>
      <c r="O892" s="115"/>
      <c r="P892" s="115"/>
    </row>
    <row r="893" spans="10:16" ht="12.5" x14ac:dyDescent="0.25">
      <c r="J893" s="115"/>
      <c r="K893" s="115"/>
      <c r="L893" s="115"/>
      <c r="M893" s="115"/>
      <c r="N893" s="115"/>
      <c r="O893" s="115"/>
      <c r="P893" s="115"/>
    </row>
    <row r="894" spans="10:16" ht="12.5" x14ac:dyDescent="0.25">
      <c r="J894" s="115"/>
      <c r="K894" s="115"/>
      <c r="L894" s="115"/>
      <c r="M894" s="115"/>
      <c r="N894" s="115"/>
      <c r="O894" s="115"/>
      <c r="P894" s="115"/>
    </row>
    <row r="895" spans="10:16" ht="12.5" x14ac:dyDescent="0.25">
      <c r="J895" s="115"/>
      <c r="K895" s="115"/>
      <c r="L895" s="115"/>
      <c r="M895" s="115"/>
      <c r="N895" s="115"/>
      <c r="O895" s="115"/>
      <c r="P895" s="115"/>
    </row>
    <row r="896" spans="10:16" ht="12.5" x14ac:dyDescent="0.25">
      <c r="J896" s="115"/>
      <c r="K896" s="115"/>
      <c r="L896" s="115"/>
      <c r="M896" s="115"/>
      <c r="N896" s="115"/>
      <c r="O896" s="115"/>
      <c r="P896" s="115"/>
    </row>
    <row r="897" spans="10:16" ht="12.5" x14ac:dyDescent="0.25">
      <c r="J897" s="115"/>
      <c r="K897" s="115"/>
      <c r="L897" s="115"/>
      <c r="M897" s="115"/>
      <c r="N897" s="115"/>
      <c r="O897" s="115"/>
      <c r="P897" s="115"/>
    </row>
    <row r="898" spans="10:16" ht="12.5" x14ac:dyDescent="0.25">
      <c r="J898" s="115"/>
      <c r="K898" s="115"/>
      <c r="L898" s="115"/>
      <c r="M898" s="115"/>
      <c r="N898" s="115"/>
      <c r="O898" s="115"/>
      <c r="P898" s="115"/>
    </row>
    <row r="899" spans="10:16" ht="12.5" x14ac:dyDescent="0.25">
      <c r="J899" s="115"/>
      <c r="K899" s="115"/>
      <c r="L899" s="115"/>
      <c r="M899" s="115"/>
      <c r="N899" s="115"/>
      <c r="O899" s="115"/>
      <c r="P899" s="115"/>
    </row>
    <row r="900" spans="10:16" ht="12.5" x14ac:dyDescent="0.25">
      <c r="J900" s="115"/>
      <c r="K900" s="115"/>
      <c r="L900" s="115"/>
      <c r="M900" s="115"/>
      <c r="N900" s="115"/>
      <c r="O900" s="115"/>
      <c r="P900" s="115"/>
    </row>
    <row r="901" spans="10:16" ht="12.5" x14ac:dyDescent="0.25">
      <c r="J901" s="115"/>
      <c r="K901" s="115"/>
      <c r="L901" s="115"/>
      <c r="M901" s="115"/>
      <c r="N901" s="115"/>
      <c r="O901" s="115"/>
      <c r="P901" s="115"/>
    </row>
    <row r="902" spans="10:16" ht="12.5" x14ac:dyDescent="0.25">
      <c r="J902" s="115"/>
      <c r="K902" s="115"/>
      <c r="L902" s="115"/>
      <c r="M902" s="115"/>
      <c r="N902" s="115"/>
      <c r="O902" s="115"/>
      <c r="P902" s="115"/>
    </row>
    <row r="903" spans="10:16" ht="12.5" x14ac:dyDescent="0.25">
      <c r="J903" s="115"/>
      <c r="K903" s="115"/>
      <c r="L903" s="115"/>
      <c r="M903" s="115"/>
      <c r="N903" s="115"/>
      <c r="O903" s="115"/>
      <c r="P903" s="115"/>
    </row>
    <row r="904" spans="10:16" ht="12.5" x14ac:dyDescent="0.25">
      <c r="J904" s="115"/>
      <c r="K904" s="115"/>
      <c r="L904" s="115"/>
      <c r="M904" s="115"/>
      <c r="N904" s="115"/>
      <c r="O904" s="115"/>
      <c r="P904" s="115"/>
    </row>
    <row r="905" spans="10:16" ht="12.5" x14ac:dyDescent="0.25">
      <c r="J905" s="115"/>
      <c r="K905" s="115"/>
      <c r="L905" s="115"/>
      <c r="M905" s="115"/>
      <c r="N905" s="115"/>
      <c r="O905" s="115"/>
      <c r="P905" s="115"/>
    </row>
    <row r="906" spans="10:16" ht="12.5" x14ac:dyDescent="0.25">
      <c r="J906" s="115"/>
      <c r="K906" s="115"/>
      <c r="L906" s="115"/>
      <c r="M906" s="115"/>
      <c r="N906" s="115"/>
      <c r="O906" s="115"/>
      <c r="P906" s="115"/>
    </row>
    <row r="907" spans="10:16" ht="12.5" x14ac:dyDescent="0.25">
      <c r="J907" s="115"/>
      <c r="K907" s="115"/>
      <c r="L907" s="115"/>
      <c r="M907" s="115"/>
      <c r="N907" s="115"/>
      <c r="O907" s="115"/>
      <c r="P907" s="115"/>
    </row>
    <row r="908" spans="10:16" ht="12.5" x14ac:dyDescent="0.25">
      <c r="J908" s="115"/>
      <c r="K908" s="115"/>
      <c r="L908" s="115"/>
      <c r="M908" s="115"/>
      <c r="N908" s="115"/>
      <c r="O908" s="115"/>
      <c r="P908" s="115"/>
    </row>
    <row r="909" spans="10:16" ht="12.5" x14ac:dyDescent="0.25">
      <c r="J909" s="115"/>
      <c r="K909" s="115"/>
      <c r="L909" s="115"/>
      <c r="M909" s="115"/>
      <c r="N909" s="115"/>
      <c r="O909" s="115"/>
      <c r="P909" s="115"/>
    </row>
    <row r="910" spans="10:16" ht="12.5" x14ac:dyDescent="0.25">
      <c r="J910" s="115"/>
      <c r="K910" s="115"/>
      <c r="L910" s="115"/>
      <c r="M910" s="115"/>
      <c r="N910" s="115"/>
      <c r="O910" s="115"/>
      <c r="P910" s="115"/>
    </row>
    <row r="911" spans="10:16" ht="12.5" x14ac:dyDescent="0.25">
      <c r="J911" s="115"/>
      <c r="K911" s="115"/>
      <c r="L911" s="115"/>
      <c r="M911" s="115"/>
      <c r="N911" s="115"/>
      <c r="O911" s="115"/>
      <c r="P911" s="115"/>
    </row>
    <row r="912" spans="10:16" ht="12.5" x14ac:dyDescent="0.25">
      <c r="J912" s="115"/>
      <c r="K912" s="115"/>
      <c r="L912" s="115"/>
      <c r="M912" s="115"/>
      <c r="N912" s="115"/>
      <c r="O912" s="115"/>
      <c r="P912" s="115"/>
    </row>
    <row r="913" spans="10:16" ht="12.5" x14ac:dyDescent="0.25">
      <c r="J913" s="115"/>
      <c r="K913" s="115"/>
      <c r="L913" s="115"/>
      <c r="M913" s="115"/>
      <c r="N913" s="115"/>
      <c r="O913" s="115"/>
      <c r="P913" s="115"/>
    </row>
    <row r="914" spans="10:16" ht="12.5" x14ac:dyDescent="0.25">
      <c r="J914" s="115"/>
      <c r="K914" s="115"/>
      <c r="L914" s="115"/>
      <c r="M914" s="115"/>
      <c r="N914" s="115"/>
      <c r="O914" s="115"/>
      <c r="P914" s="115"/>
    </row>
    <row r="915" spans="10:16" ht="12.5" x14ac:dyDescent="0.25">
      <c r="J915" s="115"/>
      <c r="K915" s="115"/>
      <c r="L915" s="115"/>
      <c r="M915" s="115"/>
      <c r="N915" s="115"/>
      <c r="O915" s="115"/>
      <c r="P915" s="115"/>
    </row>
    <row r="916" spans="10:16" ht="12.5" x14ac:dyDescent="0.25">
      <c r="J916" s="115"/>
      <c r="K916" s="115"/>
      <c r="L916" s="115"/>
      <c r="M916" s="115"/>
      <c r="N916" s="115"/>
      <c r="O916" s="115"/>
      <c r="P916" s="115"/>
    </row>
    <row r="917" spans="10:16" ht="12.5" x14ac:dyDescent="0.25">
      <c r="J917" s="115"/>
      <c r="K917" s="115"/>
      <c r="L917" s="115"/>
      <c r="M917" s="115"/>
      <c r="N917" s="115"/>
      <c r="O917" s="115"/>
      <c r="P917" s="115"/>
    </row>
    <row r="918" spans="10:16" ht="12.5" x14ac:dyDescent="0.25">
      <c r="J918" s="115"/>
      <c r="K918" s="115"/>
      <c r="L918" s="115"/>
      <c r="M918" s="115"/>
      <c r="N918" s="115"/>
      <c r="O918" s="115"/>
      <c r="P918" s="115"/>
    </row>
    <row r="919" spans="10:16" ht="12.5" x14ac:dyDescent="0.25">
      <c r="J919" s="115"/>
      <c r="K919" s="115"/>
      <c r="L919" s="115"/>
      <c r="M919" s="115"/>
      <c r="N919" s="115"/>
      <c r="O919" s="115"/>
      <c r="P919" s="115"/>
    </row>
    <row r="920" spans="10:16" ht="12.5" x14ac:dyDescent="0.25">
      <c r="J920" s="115"/>
      <c r="K920" s="115"/>
      <c r="L920" s="115"/>
      <c r="M920" s="115"/>
      <c r="N920" s="115"/>
      <c r="O920" s="115"/>
      <c r="P920" s="115"/>
    </row>
    <row r="921" spans="10:16" ht="12.5" x14ac:dyDescent="0.25">
      <c r="J921" s="115"/>
      <c r="K921" s="115"/>
      <c r="L921" s="115"/>
      <c r="M921" s="115"/>
      <c r="N921" s="115"/>
      <c r="O921" s="115"/>
      <c r="P921" s="115"/>
    </row>
    <row r="922" spans="10:16" ht="12.5" x14ac:dyDescent="0.25">
      <c r="J922" s="115"/>
      <c r="K922" s="115"/>
      <c r="L922" s="115"/>
      <c r="M922" s="115"/>
      <c r="N922" s="115"/>
      <c r="O922" s="115"/>
      <c r="P922" s="115"/>
    </row>
    <row r="923" spans="10:16" ht="12.5" x14ac:dyDescent="0.25">
      <c r="J923" s="115"/>
      <c r="K923" s="115"/>
      <c r="L923" s="115"/>
      <c r="M923" s="115"/>
      <c r="N923" s="115"/>
      <c r="O923" s="115"/>
      <c r="P923" s="115"/>
    </row>
    <row r="924" spans="10:16" ht="12.5" x14ac:dyDescent="0.25">
      <c r="J924" s="115"/>
      <c r="K924" s="115"/>
      <c r="L924" s="115"/>
      <c r="M924" s="115"/>
      <c r="N924" s="115"/>
      <c r="O924" s="115"/>
      <c r="P924" s="115"/>
    </row>
    <row r="925" spans="10:16" ht="12.5" x14ac:dyDescent="0.25">
      <c r="J925" s="115"/>
      <c r="K925" s="115"/>
      <c r="L925" s="115"/>
      <c r="M925" s="115"/>
      <c r="N925" s="115"/>
      <c r="O925" s="115"/>
      <c r="P925" s="115"/>
    </row>
    <row r="926" spans="10:16" ht="12.5" x14ac:dyDescent="0.25">
      <c r="J926" s="115"/>
      <c r="K926" s="115"/>
      <c r="L926" s="115"/>
      <c r="M926" s="115"/>
      <c r="N926" s="115"/>
      <c r="O926" s="115"/>
      <c r="P926" s="115"/>
    </row>
    <row r="927" spans="10:16" ht="12.5" x14ac:dyDescent="0.25">
      <c r="J927" s="115"/>
      <c r="K927" s="115"/>
      <c r="L927" s="115"/>
      <c r="M927" s="115"/>
      <c r="N927" s="115"/>
      <c r="O927" s="115"/>
      <c r="P927" s="115"/>
    </row>
    <row r="928" spans="10:16" ht="12.5" x14ac:dyDescent="0.25">
      <c r="J928" s="115"/>
      <c r="K928" s="115"/>
      <c r="L928" s="115"/>
      <c r="M928" s="115"/>
      <c r="N928" s="115"/>
      <c r="O928" s="115"/>
      <c r="P928" s="115"/>
    </row>
    <row r="929" spans="10:16" ht="12.5" x14ac:dyDescent="0.25">
      <c r="J929" s="115"/>
      <c r="K929" s="115"/>
      <c r="L929" s="115"/>
      <c r="M929" s="115"/>
      <c r="N929" s="115"/>
      <c r="O929" s="115"/>
      <c r="P929" s="115"/>
    </row>
    <row r="930" spans="10:16" ht="12.5" x14ac:dyDescent="0.25">
      <c r="J930" s="115"/>
      <c r="K930" s="115"/>
      <c r="L930" s="115"/>
      <c r="M930" s="115"/>
      <c r="N930" s="115"/>
      <c r="O930" s="115"/>
      <c r="P930" s="115"/>
    </row>
    <row r="931" spans="10:16" ht="12.5" x14ac:dyDescent="0.25">
      <c r="J931" s="115"/>
      <c r="K931" s="115"/>
      <c r="L931" s="115"/>
      <c r="M931" s="115"/>
      <c r="N931" s="115"/>
      <c r="O931" s="115"/>
      <c r="P931" s="115"/>
    </row>
    <row r="932" spans="10:16" ht="12.5" x14ac:dyDescent="0.25">
      <c r="J932" s="115"/>
      <c r="K932" s="115"/>
      <c r="L932" s="115"/>
      <c r="M932" s="115"/>
      <c r="N932" s="115"/>
      <c r="O932" s="115"/>
      <c r="P932" s="115"/>
    </row>
    <row r="933" spans="10:16" ht="12.5" x14ac:dyDescent="0.25">
      <c r="J933" s="115"/>
      <c r="K933" s="115"/>
      <c r="L933" s="115"/>
      <c r="M933" s="115"/>
      <c r="N933" s="115"/>
      <c r="O933" s="115"/>
      <c r="P933" s="115"/>
    </row>
    <row r="934" spans="10:16" ht="12.5" x14ac:dyDescent="0.25">
      <c r="J934" s="115"/>
      <c r="K934" s="115"/>
      <c r="L934" s="115"/>
      <c r="M934" s="115"/>
      <c r="N934" s="115"/>
      <c r="O934" s="115"/>
      <c r="P934" s="115"/>
    </row>
    <row r="935" spans="10:16" ht="12.5" x14ac:dyDescent="0.25">
      <c r="J935" s="115"/>
      <c r="K935" s="115"/>
      <c r="L935" s="115"/>
      <c r="M935" s="115"/>
      <c r="N935" s="115"/>
      <c r="O935" s="115"/>
      <c r="P935" s="115"/>
    </row>
    <row r="936" spans="10:16" ht="12.5" x14ac:dyDescent="0.25">
      <c r="J936" s="115"/>
      <c r="K936" s="115"/>
      <c r="L936" s="115"/>
      <c r="M936" s="115"/>
      <c r="N936" s="115"/>
      <c r="O936" s="115"/>
      <c r="P936" s="115"/>
    </row>
    <row r="937" spans="10:16" ht="12.5" x14ac:dyDescent="0.25">
      <c r="J937" s="115"/>
      <c r="K937" s="115"/>
      <c r="L937" s="115"/>
      <c r="M937" s="115"/>
      <c r="N937" s="115"/>
      <c r="O937" s="115"/>
      <c r="P937" s="115"/>
    </row>
    <row r="938" spans="10:16" ht="12.5" x14ac:dyDescent="0.25">
      <c r="J938" s="115"/>
      <c r="K938" s="115"/>
      <c r="L938" s="115"/>
      <c r="M938" s="115"/>
      <c r="N938" s="115"/>
      <c r="O938" s="115"/>
      <c r="P938" s="115"/>
    </row>
    <row r="939" spans="10:16" ht="12.5" x14ac:dyDescent="0.25">
      <c r="J939" s="115"/>
      <c r="K939" s="115"/>
      <c r="L939" s="115"/>
      <c r="M939" s="115"/>
      <c r="N939" s="115"/>
      <c r="O939" s="115"/>
      <c r="P939" s="115"/>
    </row>
    <row r="940" spans="10:16" ht="12.5" x14ac:dyDescent="0.25">
      <c r="J940" s="115"/>
      <c r="K940" s="115"/>
      <c r="L940" s="115"/>
      <c r="M940" s="115"/>
      <c r="N940" s="115"/>
      <c r="O940" s="115"/>
      <c r="P940" s="115"/>
    </row>
    <row r="941" spans="10:16" ht="12.5" x14ac:dyDescent="0.25">
      <c r="J941" s="115"/>
      <c r="K941" s="115"/>
      <c r="L941" s="115"/>
      <c r="M941" s="115"/>
      <c r="N941" s="115"/>
      <c r="O941" s="115"/>
      <c r="P941" s="115"/>
    </row>
    <row r="942" spans="10:16" ht="12.5" x14ac:dyDescent="0.25">
      <c r="J942" s="115"/>
      <c r="K942" s="115"/>
      <c r="L942" s="115"/>
      <c r="M942" s="115"/>
      <c r="N942" s="115"/>
      <c r="O942" s="115"/>
      <c r="P942" s="115"/>
    </row>
    <row r="943" spans="10:16" ht="12.5" x14ac:dyDescent="0.25">
      <c r="J943" s="115"/>
      <c r="K943" s="115"/>
      <c r="L943" s="115"/>
      <c r="M943" s="115"/>
      <c r="N943" s="115"/>
      <c r="O943" s="115"/>
      <c r="P943" s="115"/>
    </row>
    <row r="944" spans="10:16" ht="12.5" x14ac:dyDescent="0.25">
      <c r="J944" s="115"/>
      <c r="K944" s="115"/>
      <c r="L944" s="115"/>
      <c r="M944" s="115"/>
      <c r="N944" s="115"/>
      <c r="O944" s="115"/>
      <c r="P944" s="115"/>
    </row>
    <row r="945" spans="10:16" ht="12.5" x14ac:dyDescent="0.25">
      <c r="J945" s="115"/>
      <c r="K945" s="115"/>
      <c r="L945" s="115"/>
      <c r="M945" s="115"/>
      <c r="N945" s="115"/>
      <c r="O945" s="115"/>
      <c r="P945" s="115"/>
    </row>
    <row r="946" spans="10:16" ht="12.5" x14ac:dyDescent="0.25">
      <c r="J946" s="115"/>
      <c r="K946" s="115"/>
      <c r="L946" s="115"/>
      <c r="M946" s="115"/>
      <c r="N946" s="115"/>
      <c r="O946" s="115"/>
      <c r="P946" s="115"/>
    </row>
    <row r="947" spans="10:16" ht="12.5" x14ac:dyDescent="0.25">
      <c r="J947" s="115"/>
      <c r="K947" s="115"/>
      <c r="L947" s="115"/>
      <c r="M947" s="115"/>
      <c r="N947" s="115"/>
      <c r="O947" s="115"/>
      <c r="P947" s="115"/>
    </row>
    <row r="948" spans="10:16" ht="12.5" x14ac:dyDescent="0.25">
      <c r="J948" s="115"/>
      <c r="K948" s="115"/>
      <c r="L948" s="115"/>
      <c r="M948" s="115"/>
      <c r="N948" s="115"/>
      <c r="O948" s="115"/>
      <c r="P948" s="115"/>
    </row>
    <row r="949" spans="10:16" ht="12.5" x14ac:dyDescent="0.25">
      <c r="J949" s="115"/>
      <c r="K949" s="115"/>
      <c r="L949" s="115"/>
      <c r="M949" s="115"/>
      <c r="N949" s="115"/>
      <c r="O949" s="115"/>
      <c r="P949" s="115"/>
    </row>
    <row r="950" spans="10:16" ht="12.5" x14ac:dyDescent="0.25">
      <c r="J950" s="115"/>
      <c r="K950" s="115"/>
      <c r="L950" s="115"/>
      <c r="M950" s="115"/>
      <c r="N950" s="115"/>
      <c r="O950" s="115"/>
      <c r="P950" s="115"/>
    </row>
    <row r="951" spans="10:16" ht="12.5" x14ac:dyDescent="0.25">
      <c r="J951" s="115"/>
      <c r="K951" s="115"/>
      <c r="L951" s="115"/>
      <c r="M951" s="115"/>
      <c r="N951" s="115"/>
      <c r="O951" s="115"/>
      <c r="P951" s="115"/>
    </row>
    <row r="952" spans="10:16" ht="12.5" x14ac:dyDescent="0.25">
      <c r="J952" s="115"/>
      <c r="K952" s="115"/>
      <c r="L952" s="115"/>
      <c r="M952" s="115"/>
      <c r="N952" s="115"/>
      <c r="O952" s="115"/>
      <c r="P952" s="115"/>
    </row>
    <row r="953" spans="10:16" ht="12.5" x14ac:dyDescent="0.25">
      <c r="J953" s="115"/>
      <c r="K953" s="115"/>
      <c r="L953" s="115"/>
      <c r="M953" s="115"/>
      <c r="N953" s="115"/>
      <c r="O953" s="115"/>
      <c r="P953" s="115"/>
    </row>
    <row r="954" spans="10:16" ht="12.5" x14ac:dyDescent="0.25">
      <c r="J954" s="115"/>
      <c r="K954" s="115"/>
      <c r="L954" s="115"/>
      <c r="M954" s="115"/>
      <c r="N954" s="115"/>
      <c r="O954" s="115"/>
      <c r="P954" s="115"/>
    </row>
    <row r="955" spans="10:16" ht="12.5" x14ac:dyDescent="0.25">
      <c r="J955" s="115"/>
      <c r="K955" s="115"/>
      <c r="L955" s="115"/>
      <c r="M955" s="115"/>
      <c r="N955" s="115"/>
      <c r="O955" s="115"/>
      <c r="P955" s="115"/>
    </row>
    <row r="956" spans="10:16" ht="12.5" x14ac:dyDescent="0.25">
      <c r="J956" s="115"/>
      <c r="K956" s="115"/>
      <c r="L956" s="115"/>
      <c r="M956" s="115"/>
      <c r="N956" s="115"/>
      <c r="O956" s="115"/>
      <c r="P956" s="115"/>
    </row>
    <row r="957" spans="10:16" ht="12.5" x14ac:dyDescent="0.25">
      <c r="J957" s="115"/>
      <c r="K957" s="115"/>
      <c r="L957" s="115"/>
      <c r="M957" s="115"/>
      <c r="N957" s="115"/>
      <c r="O957" s="115"/>
      <c r="P957" s="115"/>
    </row>
    <row r="958" spans="10:16" ht="12.5" x14ac:dyDescent="0.25">
      <c r="J958" s="115"/>
      <c r="K958" s="115"/>
      <c r="L958" s="115"/>
      <c r="M958" s="115"/>
      <c r="N958" s="115"/>
      <c r="O958" s="115"/>
      <c r="P958" s="115"/>
    </row>
    <row r="959" spans="10:16" ht="12.5" x14ac:dyDescent="0.25">
      <c r="J959" s="115"/>
      <c r="K959" s="115"/>
      <c r="L959" s="115"/>
      <c r="M959" s="115"/>
      <c r="N959" s="115"/>
      <c r="O959" s="115"/>
      <c r="P959" s="115"/>
    </row>
    <row r="960" spans="10:16" ht="12.5" x14ac:dyDescent="0.25">
      <c r="J960" s="115"/>
      <c r="K960" s="115"/>
      <c r="L960" s="115"/>
      <c r="M960" s="115"/>
      <c r="N960" s="115"/>
      <c r="O960" s="115"/>
      <c r="P960" s="115"/>
    </row>
    <row r="961" spans="10:16" ht="12.5" x14ac:dyDescent="0.25">
      <c r="J961" s="115"/>
      <c r="K961" s="115"/>
      <c r="L961" s="115"/>
      <c r="M961" s="115"/>
      <c r="N961" s="115"/>
      <c r="O961" s="115"/>
      <c r="P961" s="115"/>
    </row>
    <row r="962" spans="10:16" ht="12.5" x14ac:dyDescent="0.25">
      <c r="J962" s="115"/>
      <c r="K962" s="115"/>
      <c r="L962" s="115"/>
      <c r="M962" s="115"/>
      <c r="N962" s="115"/>
      <c r="O962" s="115"/>
      <c r="P962" s="115"/>
    </row>
    <row r="963" spans="10:16" ht="12.5" x14ac:dyDescent="0.25">
      <c r="J963" s="115"/>
      <c r="K963" s="115"/>
      <c r="L963" s="115"/>
      <c r="M963" s="115"/>
      <c r="N963" s="115"/>
      <c r="O963" s="115"/>
      <c r="P963" s="115"/>
    </row>
    <row r="964" spans="10:16" ht="12.5" x14ac:dyDescent="0.25">
      <c r="J964" s="115"/>
      <c r="K964" s="115"/>
      <c r="L964" s="115"/>
      <c r="M964" s="115"/>
      <c r="N964" s="115"/>
      <c r="O964" s="115"/>
      <c r="P964" s="115"/>
    </row>
    <row r="965" spans="10:16" ht="12.5" x14ac:dyDescent="0.25">
      <c r="J965" s="115"/>
      <c r="K965" s="115"/>
      <c r="L965" s="115"/>
      <c r="M965" s="115"/>
      <c r="N965" s="115"/>
      <c r="O965" s="115"/>
      <c r="P965" s="115"/>
    </row>
    <row r="966" spans="10:16" ht="12.5" x14ac:dyDescent="0.25">
      <c r="J966" s="115"/>
      <c r="K966" s="115"/>
      <c r="L966" s="115"/>
      <c r="M966" s="115"/>
      <c r="N966" s="115"/>
      <c r="O966" s="115"/>
      <c r="P966" s="115"/>
    </row>
    <row r="967" spans="10:16" ht="12.5" x14ac:dyDescent="0.25">
      <c r="J967" s="115"/>
      <c r="K967" s="115"/>
      <c r="L967" s="115"/>
      <c r="M967" s="115"/>
      <c r="N967" s="115"/>
      <c r="O967" s="115"/>
      <c r="P967" s="115"/>
    </row>
    <row r="968" spans="10:16" ht="12.5" x14ac:dyDescent="0.25">
      <c r="J968" s="115"/>
      <c r="K968" s="115"/>
      <c r="L968" s="115"/>
      <c r="M968" s="115"/>
      <c r="N968" s="115"/>
      <c r="O968" s="115"/>
      <c r="P968" s="115"/>
    </row>
    <row r="969" spans="10:16" ht="12.5" x14ac:dyDescent="0.25">
      <c r="J969" s="115"/>
      <c r="K969" s="115"/>
      <c r="L969" s="115"/>
      <c r="M969" s="115"/>
      <c r="N969" s="115"/>
      <c r="O969" s="115"/>
      <c r="P969" s="115"/>
    </row>
    <row r="970" spans="10:16" ht="12.5" x14ac:dyDescent="0.25">
      <c r="J970" s="115"/>
      <c r="K970" s="115"/>
      <c r="L970" s="115"/>
      <c r="M970" s="115"/>
      <c r="N970" s="115"/>
      <c r="O970" s="115"/>
      <c r="P970" s="115"/>
    </row>
    <row r="971" spans="10:16" ht="12.5" x14ac:dyDescent="0.25">
      <c r="J971" s="115"/>
      <c r="K971" s="115"/>
      <c r="L971" s="115"/>
      <c r="M971" s="115"/>
      <c r="N971" s="115"/>
      <c r="O971" s="115"/>
      <c r="P971" s="115"/>
    </row>
    <row r="972" spans="10:16" ht="12.5" x14ac:dyDescent="0.25">
      <c r="J972" s="115"/>
      <c r="K972" s="115"/>
      <c r="L972" s="115"/>
      <c r="M972" s="115"/>
      <c r="N972" s="115"/>
      <c r="O972" s="115"/>
      <c r="P972" s="115"/>
    </row>
    <row r="973" spans="10:16" ht="12.5" x14ac:dyDescent="0.25">
      <c r="J973" s="115"/>
      <c r="K973" s="115"/>
      <c r="L973" s="115"/>
      <c r="M973" s="115"/>
      <c r="N973" s="115"/>
      <c r="O973" s="115"/>
      <c r="P973" s="115"/>
    </row>
    <row r="974" spans="10:16" ht="12.5" x14ac:dyDescent="0.25">
      <c r="J974" s="115"/>
      <c r="K974" s="115"/>
      <c r="L974" s="115"/>
      <c r="M974" s="115"/>
      <c r="N974" s="115"/>
      <c r="O974" s="115"/>
      <c r="P974" s="115"/>
    </row>
    <row r="975" spans="10:16" ht="12.5" x14ac:dyDescent="0.25">
      <c r="J975" s="115"/>
      <c r="K975" s="115"/>
      <c r="L975" s="115"/>
      <c r="M975" s="115"/>
      <c r="N975" s="115"/>
      <c r="O975" s="115"/>
      <c r="P975" s="115"/>
    </row>
    <row r="976" spans="10:16" ht="12.5" x14ac:dyDescent="0.25">
      <c r="J976" s="115"/>
      <c r="K976" s="115"/>
      <c r="L976" s="115"/>
      <c r="M976" s="115"/>
      <c r="N976" s="115"/>
      <c r="O976" s="115"/>
      <c r="P976" s="115"/>
    </row>
    <row r="977" spans="10:16" ht="12.5" x14ac:dyDescent="0.25">
      <c r="J977" s="115"/>
      <c r="K977" s="115"/>
      <c r="L977" s="115"/>
      <c r="M977" s="115"/>
      <c r="N977" s="115"/>
      <c r="O977" s="115"/>
      <c r="P977" s="115"/>
    </row>
    <row r="978" spans="10:16" ht="12.5" x14ac:dyDescent="0.25">
      <c r="J978" s="115"/>
      <c r="K978" s="115"/>
      <c r="L978" s="115"/>
      <c r="M978" s="115"/>
      <c r="N978" s="115"/>
      <c r="O978" s="115"/>
      <c r="P978" s="115"/>
    </row>
    <row r="979" spans="10:16" ht="12.5" x14ac:dyDescent="0.25">
      <c r="J979" s="115"/>
      <c r="K979" s="115"/>
      <c r="L979" s="115"/>
      <c r="M979" s="115"/>
      <c r="N979" s="115"/>
      <c r="O979" s="115"/>
      <c r="P979" s="115"/>
    </row>
    <row r="980" spans="10:16" ht="12.5" x14ac:dyDescent="0.25">
      <c r="J980" s="115"/>
      <c r="K980" s="115"/>
      <c r="L980" s="115"/>
      <c r="M980" s="115"/>
      <c r="N980" s="115"/>
      <c r="O980" s="115"/>
      <c r="P980" s="115"/>
    </row>
    <row r="981" spans="10:16" ht="12.5" x14ac:dyDescent="0.25">
      <c r="J981" s="115"/>
      <c r="K981" s="115"/>
      <c r="L981" s="115"/>
      <c r="M981" s="115"/>
      <c r="N981" s="115"/>
      <c r="O981" s="115"/>
      <c r="P981" s="115"/>
    </row>
    <row r="982" spans="10:16" ht="12.5" x14ac:dyDescent="0.25">
      <c r="J982" s="115"/>
      <c r="K982" s="115"/>
      <c r="L982" s="115"/>
      <c r="M982" s="115"/>
      <c r="N982" s="115"/>
      <c r="O982" s="115"/>
      <c r="P982" s="115"/>
    </row>
    <row r="983" spans="10:16" ht="12.5" x14ac:dyDescent="0.25">
      <c r="J983" s="115"/>
      <c r="K983" s="115"/>
      <c r="L983" s="115"/>
      <c r="M983" s="115"/>
      <c r="N983" s="115"/>
      <c r="O983" s="115"/>
      <c r="P983" s="115"/>
    </row>
    <row r="984" spans="10:16" ht="12.5" x14ac:dyDescent="0.25">
      <c r="J984" s="115"/>
      <c r="K984" s="115"/>
      <c r="L984" s="115"/>
      <c r="M984" s="115"/>
      <c r="N984" s="115"/>
      <c r="O984" s="115"/>
      <c r="P984" s="115"/>
    </row>
    <row r="985" spans="10:16" ht="12.5" x14ac:dyDescent="0.25">
      <c r="J985" s="115"/>
      <c r="K985" s="115"/>
      <c r="L985" s="115"/>
      <c r="M985" s="115"/>
      <c r="N985" s="115"/>
      <c r="O985" s="115"/>
      <c r="P985" s="115"/>
    </row>
    <row r="986" spans="10:16" ht="12.5" x14ac:dyDescent="0.25">
      <c r="J986" s="115"/>
      <c r="K986" s="115"/>
      <c r="L986" s="115"/>
      <c r="M986" s="115"/>
      <c r="N986" s="115"/>
      <c r="O986" s="115"/>
      <c r="P986" s="115"/>
    </row>
    <row r="987" spans="10:16" ht="12.5" x14ac:dyDescent="0.25">
      <c r="J987" s="115"/>
      <c r="K987" s="115"/>
      <c r="L987" s="115"/>
      <c r="M987" s="115"/>
      <c r="N987" s="115"/>
      <c r="O987" s="115"/>
      <c r="P987" s="115"/>
    </row>
    <row r="988" spans="10:16" ht="12.5" x14ac:dyDescent="0.25">
      <c r="J988" s="115"/>
      <c r="K988" s="115"/>
      <c r="L988" s="115"/>
      <c r="M988" s="115"/>
      <c r="N988" s="115"/>
      <c r="O988" s="115"/>
      <c r="P988" s="115"/>
    </row>
    <row r="989" spans="10:16" ht="12.5" x14ac:dyDescent="0.25">
      <c r="J989" s="115"/>
      <c r="K989" s="115"/>
      <c r="L989" s="115"/>
      <c r="M989" s="115"/>
      <c r="N989" s="115"/>
      <c r="O989" s="115"/>
      <c r="P989" s="115"/>
    </row>
    <row r="990" spans="10:16" ht="12.5" x14ac:dyDescent="0.25">
      <c r="J990" s="115"/>
      <c r="K990" s="115"/>
      <c r="L990" s="115"/>
      <c r="M990" s="115"/>
      <c r="N990" s="115"/>
      <c r="O990" s="115"/>
      <c r="P990" s="115"/>
    </row>
    <row r="991" spans="10:16" ht="12.5" x14ac:dyDescent="0.25">
      <c r="J991" s="115"/>
      <c r="K991" s="115"/>
      <c r="L991" s="115"/>
      <c r="M991" s="115"/>
      <c r="N991" s="115"/>
      <c r="O991" s="115"/>
      <c r="P991" s="115"/>
    </row>
    <row r="992" spans="10:16" ht="12.5" x14ac:dyDescent="0.25">
      <c r="J992" s="115"/>
      <c r="K992" s="115"/>
      <c r="L992" s="115"/>
      <c r="M992" s="115"/>
      <c r="N992" s="115"/>
      <c r="O992" s="115"/>
      <c r="P992" s="115"/>
    </row>
    <row r="993" spans="10:16" ht="12.5" x14ac:dyDescent="0.25">
      <c r="J993" s="115"/>
      <c r="K993" s="115"/>
      <c r="L993" s="115"/>
      <c r="M993" s="115"/>
      <c r="N993" s="115"/>
      <c r="O993" s="115"/>
      <c r="P993" s="115"/>
    </row>
    <row r="994" spans="10:16" ht="12.5" x14ac:dyDescent="0.25">
      <c r="J994" s="115"/>
      <c r="K994" s="115"/>
      <c r="L994" s="115"/>
      <c r="M994" s="115"/>
      <c r="N994" s="115"/>
      <c r="O994" s="115"/>
      <c r="P994" s="115"/>
    </row>
    <row r="995" spans="10:16" ht="12.5" x14ac:dyDescent="0.25">
      <c r="J995" s="115"/>
      <c r="K995" s="115"/>
      <c r="L995" s="115"/>
      <c r="M995" s="115"/>
      <c r="N995" s="115"/>
      <c r="O995" s="115"/>
      <c r="P995" s="115"/>
    </row>
    <row r="996" spans="10:16" ht="12.5" x14ac:dyDescent="0.25">
      <c r="J996" s="115"/>
      <c r="K996" s="115"/>
      <c r="L996" s="115"/>
      <c r="M996" s="115"/>
      <c r="N996" s="115"/>
      <c r="O996" s="115"/>
      <c r="P996" s="115"/>
    </row>
    <row r="997" spans="10:16" ht="12.5" x14ac:dyDescent="0.25">
      <c r="J997" s="115"/>
      <c r="K997" s="115"/>
      <c r="L997" s="115"/>
      <c r="M997" s="115"/>
      <c r="N997" s="115"/>
      <c r="O997" s="115"/>
      <c r="P997" s="115"/>
    </row>
    <row r="998" spans="10:16" ht="12.5" x14ac:dyDescent="0.25">
      <c r="J998" s="115"/>
      <c r="K998" s="115"/>
      <c r="L998" s="115"/>
      <c r="M998" s="115"/>
      <c r="N998" s="115"/>
      <c r="O998" s="115"/>
      <c r="P998" s="115"/>
    </row>
    <row r="999" spans="10:16" ht="12.5" x14ac:dyDescent="0.25">
      <c r="J999" s="115"/>
      <c r="K999" s="115"/>
      <c r="L999" s="115"/>
      <c r="M999" s="115"/>
      <c r="N999" s="115"/>
      <c r="O999" s="115"/>
      <c r="P999" s="115"/>
    </row>
    <row r="1000" spans="10:16" ht="12.5" x14ac:dyDescent="0.25">
      <c r="J1000" s="115"/>
      <c r="K1000" s="115"/>
      <c r="L1000" s="115"/>
      <c r="M1000" s="115"/>
      <c r="N1000" s="115"/>
      <c r="O1000" s="115"/>
      <c r="P1000" s="115"/>
    </row>
    <row r="1001" spans="10:16" ht="12.5" x14ac:dyDescent="0.25">
      <c r="J1001" s="115"/>
      <c r="K1001" s="115"/>
      <c r="L1001" s="115"/>
      <c r="M1001" s="115"/>
      <c r="N1001" s="115"/>
      <c r="O1001" s="115"/>
      <c r="P1001" s="115"/>
    </row>
    <row r="1002" spans="10:16" ht="12.5" x14ac:dyDescent="0.25">
      <c r="J1002" s="115"/>
      <c r="K1002" s="115"/>
      <c r="L1002" s="115"/>
      <c r="M1002" s="115"/>
      <c r="N1002" s="115"/>
      <c r="O1002" s="115"/>
      <c r="P1002" s="115"/>
    </row>
    <row r="1003" spans="10:16" ht="12.5" x14ac:dyDescent="0.25">
      <c r="J1003" s="115"/>
      <c r="K1003" s="115"/>
      <c r="L1003" s="115"/>
      <c r="M1003" s="115"/>
      <c r="N1003" s="115"/>
      <c r="O1003" s="115"/>
      <c r="P1003" s="115"/>
    </row>
    <row r="1004" spans="10:16" ht="12.5" x14ac:dyDescent="0.25">
      <c r="J1004" s="115"/>
      <c r="K1004" s="115"/>
      <c r="L1004" s="115"/>
      <c r="M1004" s="115"/>
      <c r="N1004" s="115"/>
      <c r="O1004" s="115"/>
      <c r="P1004" s="115"/>
    </row>
    <row r="1005" spans="10:16" ht="12.5" x14ac:dyDescent="0.25">
      <c r="J1005" s="115"/>
      <c r="K1005" s="115"/>
      <c r="L1005" s="115"/>
      <c r="M1005" s="115"/>
      <c r="N1005" s="115"/>
      <c r="O1005" s="115"/>
      <c r="P1005" s="115"/>
    </row>
    <row r="1006" spans="10:16" ht="12.5" x14ac:dyDescent="0.25">
      <c r="J1006" s="115"/>
      <c r="K1006" s="115"/>
      <c r="L1006" s="115"/>
      <c r="M1006" s="115"/>
      <c r="N1006" s="115"/>
      <c r="O1006" s="115"/>
      <c r="P1006" s="115"/>
    </row>
    <row r="1007" spans="10:16" ht="12.5" x14ac:dyDescent="0.25">
      <c r="J1007" s="115"/>
      <c r="K1007" s="115"/>
      <c r="L1007" s="115"/>
      <c r="M1007" s="115"/>
      <c r="N1007" s="115"/>
      <c r="O1007" s="115"/>
      <c r="P1007" s="115"/>
    </row>
    <row r="1008" spans="10:16" ht="12.5" x14ac:dyDescent="0.25">
      <c r="J1008" s="115"/>
      <c r="K1008" s="115"/>
      <c r="L1008" s="115"/>
      <c r="M1008" s="115"/>
      <c r="N1008" s="115"/>
      <c r="O1008" s="115"/>
      <c r="P1008" s="115"/>
    </row>
    <row r="1009" spans="10:16" ht="12.5" x14ac:dyDescent="0.25">
      <c r="J1009" s="115"/>
      <c r="K1009" s="115"/>
      <c r="L1009" s="115"/>
      <c r="M1009" s="115"/>
      <c r="N1009" s="115"/>
      <c r="O1009" s="115"/>
      <c r="P1009" s="115"/>
    </row>
    <row r="1010" spans="10:16" ht="12.5" x14ac:dyDescent="0.25">
      <c r="J1010" s="115"/>
      <c r="K1010" s="115"/>
      <c r="L1010" s="115"/>
      <c r="M1010" s="115"/>
      <c r="N1010" s="115"/>
      <c r="O1010" s="115"/>
      <c r="P1010" s="115"/>
    </row>
    <row r="1011" spans="10:16" ht="12.5" x14ac:dyDescent="0.25">
      <c r="J1011" s="115"/>
      <c r="K1011" s="115"/>
      <c r="L1011" s="115"/>
      <c r="M1011" s="115"/>
      <c r="N1011" s="115"/>
      <c r="O1011" s="115"/>
      <c r="P1011" s="115"/>
    </row>
    <row r="1012" spans="10:16" ht="12.5" x14ac:dyDescent="0.25">
      <c r="J1012" s="115"/>
      <c r="K1012" s="115"/>
      <c r="L1012" s="115"/>
      <c r="M1012" s="115"/>
      <c r="N1012" s="115"/>
      <c r="O1012" s="115"/>
      <c r="P1012" s="115"/>
    </row>
    <row r="1013" spans="10:16" ht="12.5" x14ac:dyDescent="0.25">
      <c r="J1013" s="115"/>
      <c r="K1013" s="115"/>
      <c r="L1013" s="115"/>
      <c r="M1013" s="115"/>
      <c r="N1013" s="115"/>
      <c r="O1013" s="115"/>
      <c r="P1013" s="115"/>
    </row>
    <row r="1014" spans="10:16" ht="12.5" x14ac:dyDescent="0.25">
      <c r="J1014" s="115"/>
      <c r="K1014" s="115"/>
      <c r="L1014" s="115"/>
      <c r="M1014" s="115"/>
      <c r="N1014" s="115"/>
      <c r="O1014" s="115"/>
      <c r="P1014" s="115"/>
    </row>
    <row r="1015" spans="10:16" ht="12.5" x14ac:dyDescent="0.25">
      <c r="J1015" s="115"/>
      <c r="K1015" s="115"/>
      <c r="L1015" s="115"/>
      <c r="M1015" s="115"/>
      <c r="N1015" s="115"/>
      <c r="O1015" s="115"/>
      <c r="P1015" s="115"/>
    </row>
    <row r="1016" spans="10:16" ht="12.5" x14ac:dyDescent="0.25">
      <c r="J1016" s="115"/>
      <c r="K1016" s="115"/>
      <c r="L1016" s="115"/>
      <c r="M1016" s="115"/>
      <c r="N1016" s="115"/>
      <c r="O1016" s="115"/>
      <c r="P1016" s="115"/>
    </row>
    <row r="1017" spans="10:16" ht="12.5" x14ac:dyDescent="0.25">
      <c r="J1017" s="115"/>
      <c r="K1017" s="115"/>
      <c r="L1017" s="115"/>
      <c r="M1017" s="115"/>
      <c r="N1017" s="115"/>
      <c r="O1017" s="115"/>
      <c r="P1017" s="115"/>
    </row>
    <row r="1018" spans="10:16" ht="12.5" x14ac:dyDescent="0.25">
      <c r="J1018" s="115"/>
      <c r="K1018" s="115"/>
      <c r="L1018" s="115"/>
      <c r="M1018" s="115"/>
      <c r="N1018" s="115"/>
      <c r="O1018" s="115"/>
      <c r="P1018" s="115"/>
    </row>
    <row r="1019" spans="10:16" ht="12.5" x14ac:dyDescent="0.25">
      <c r="J1019" s="115"/>
      <c r="K1019" s="115"/>
      <c r="L1019" s="115"/>
      <c r="M1019" s="115"/>
      <c r="N1019" s="115"/>
      <c r="O1019" s="115"/>
      <c r="P1019" s="115"/>
    </row>
    <row r="1020" spans="10:16" ht="12.5" x14ac:dyDescent="0.25">
      <c r="J1020" s="115"/>
      <c r="K1020" s="115"/>
      <c r="L1020" s="115"/>
      <c r="M1020" s="115"/>
      <c r="N1020" s="115"/>
      <c r="O1020" s="115"/>
      <c r="P1020" s="115"/>
    </row>
    <row r="1021" spans="10:16" ht="12.5" x14ac:dyDescent="0.25">
      <c r="J1021" s="115"/>
      <c r="K1021" s="115"/>
      <c r="L1021" s="115"/>
      <c r="M1021" s="115"/>
      <c r="N1021" s="115"/>
      <c r="O1021" s="115"/>
      <c r="P1021" s="115"/>
    </row>
    <row r="1022" spans="10:16" ht="12.5" x14ac:dyDescent="0.25">
      <c r="J1022" s="115"/>
      <c r="K1022" s="115"/>
      <c r="L1022" s="115"/>
      <c r="M1022" s="115"/>
      <c r="N1022" s="115"/>
      <c r="O1022" s="115"/>
      <c r="P1022" s="115"/>
    </row>
    <row r="1023" spans="10:16" ht="12.5" x14ac:dyDescent="0.25">
      <c r="J1023" s="115"/>
      <c r="K1023" s="115"/>
      <c r="L1023" s="115"/>
      <c r="M1023" s="115"/>
      <c r="N1023" s="115"/>
      <c r="O1023" s="115"/>
      <c r="P1023" s="115"/>
    </row>
    <row r="1024" spans="10:16" ht="12.5" x14ac:dyDescent="0.25">
      <c r="J1024" s="115"/>
      <c r="K1024" s="115"/>
      <c r="L1024" s="115"/>
      <c r="M1024" s="115"/>
      <c r="N1024" s="115"/>
      <c r="O1024" s="115"/>
      <c r="P1024" s="115"/>
    </row>
    <row r="1025" spans="10:16" ht="12.5" x14ac:dyDescent="0.25">
      <c r="J1025" s="115"/>
      <c r="K1025" s="115"/>
      <c r="L1025" s="115"/>
      <c r="M1025" s="115"/>
      <c r="N1025" s="115"/>
      <c r="O1025" s="115"/>
      <c r="P1025" s="115"/>
    </row>
    <row r="1026" spans="10:16" ht="12.5" x14ac:dyDescent="0.25">
      <c r="J1026" s="115"/>
      <c r="K1026" s="115"/>
      <c r="L1026" s="115"/>
      <c r="M1026" s="115"/>
      <c r="N1026" s="115"/>
      <c r="O1026" s="115"/>
      <c r="P1026" s="115"/>
    </row>
    <row r="1027" spans="10:16" ht="12.5" x14ac:dyDescent="0.25">
      <c r="J1027" s="115"/>
      <c r="K1027" s="115"/>
      <c r="L1027" s="115"/>
      <c r="M1027" s="115"/>
      <c r="N1027" s="115"/>
      <c r="O1027" s="115"/>
      <c r="P1027" s="115"/>
    </row>
    <row r="1028" spans="10:16" ht="12.5" x14ac:dyDescent="0.25">
      <c r="J1028" s="115"/>
      <c r="K1028" s="115"/>
      <c r="L1028" s="115"/>
      <c r="M1028" s="115"/>
      <c r="N1028" s="115"/>
      <c r="O1028" s="115"/>
      <c r="P1028" s="115"/>
    </row>
    <row r="1029" spans="10:16" ht="12.5" x14ac:dyDescent="0.25">
      <c r="J1029" s="115"/>
      <c r="K1029" s="115"/>
      <c r="L1029" s="115"/>
      <c r="M1029" s="115"/>
      <c r="N1029" s="115"/>
      <c r="O1029" s="115"/>
      <c r="P1029" s="115"/>
    </row>
    <row r="1030" spans="10:16" ht="12.5" x14ac:dyDescent="0.25">
      <c r="J1030" s="115"/>
      <c r="K1030" s="115"/>
      <c r="L1030" s="115"/>
      <c r="M1030" s="115"/>
      <c r="N1030" s="115"/>
      <c r="O1030" s="115"/>
      <c r="P1030" s="115"/>
    </row>
    <row r="1031" spans="10:16" ht="12.5" x14ac:dyDescent="0.25">
      <c r="J1031" s="115"/>
      <c r="K1031" s="115"/>
      <c r="L1031" s="115"/>
      <c r="M1031" s="115"/>
      <c r="N1031" s="115"/>
      <c r="O1031" s="115"/>
      <c r="P1031" s="115"/>
    </row>
    <row r="1032" spans="10:16" ht="12.5" x14ac:dyDescent="0.25">
      <c r="J1032" s="115"/>
      <c r="K1032" s="115"/>
      <c r="L1032" s="115"/>
      <c r="M1032" s="115"/>
      <c r="N1032" s="115"/>
      <c r="O1032" s="115"/>
      <c r="P1032" s="115"/>
    </row>
    <row r="1033" spans="10:16" ht="12.5" x14ac:dyDescent="0.25">
      <c r="J1033" s="115"/>
      <c r="K1033" s="115"/>
      <c r="L1033" s="115"/>
      <c r="M1033" s="115"/>
      <c r="N1033" s="115"/>
      <c r="O1033" s="115"/>
      <c r="P1033" s="115"/>
    </row>
    <row r="1034" spans="10:16" ht="12.5" x14ac:dyDescent="0.25">
      <c r="J1034" s="115"/>
      <c r="K1034" s="115"/>
      <c r="L1034" s="115"/>
      <c r="M1034" s="115"/>
      <c r="N1034" s="115"/>
      <c r="O1034" s="115"/>
      <c r="P1034" s="115"/>
    </row>
    <row r="1035" spans="10:16" ht="12.5" x14ac:dyDescent="0.25">
      <c r="J1035" s="115"/>
      <c r="K1035" s="115"/>
      <c r="L1035" s="115"/>
      <c r="M1035" s="115"/>
      <c r="N1035" s="115"/>
      <c r="O1035" s="115"/>
      <c r="P1035" s="115"/>
    </row>
    <row r="1036" spans="10:16" ht="12.5" x14ac:dyDescent="0.25">
      <c r="J1036" s="115"/>
      <c r="K1036" s="115"/>
      <c r="L1036" s="115"/>
      <c r="M1036" s="115"/>
      <c r="N1036" s="115"/>
      <c r="O1036" s="115"/>
      <c r="P1036" s="115"/>
    </row>
    <row r="1037" spans="10:16" ht="12.5" x14ac:dyDescent="0.25">
      <c r="J1037" s="115"/>
      <c r="K1037" s="115"/>
      <c r="L1037" s="115"/>
      <c r="M1037" s="115"/>
      <c r="N1037" s="115"/>
      <c r="O1037" s="115"/>
      <c r="P1037" s="115"/>
    </row>
    <row r="1038" spans="10:16" ht="12.5" x14ac:dyDescent="0.25">
      <c r="J1038" s="115"/>
      <c r="K1038" s="115"/>
      <c r="L1038" s="115"/>
      <c r="M1038" s="115"/>
      <c r="N1038" s="115"/>
      <c r="O1038" s="115"/>
      <c r="P1038" s="115"/>
    </row>
    <row r="1039" spans="10:16" ht="12.5" x14ac:dyDescent="0.25">
      <c r="J1039" s="115"/>
      <c r="K1039" s="115"/>
      <c r="L1039" s="115"/>
      <c r="M1039" s="115"/>
      <c r="N1039" s="115"/>
      <c r="O1039" s="115"/>
      <c r="P1039" s="115"/>
    </row>
    <row r="1040" spans="10:16" ht="12.5" x14ac:dyDescent="0.25">
      <c r="J1040" s="115"/>
      <c r="K1040" s="115"/>
      <c r="L1040" s="115"/>
      <c r="M1040" s="115"/>
      <c r="N1040" s="115"/>
      <c r="O1040" s="115"/>
      <c r="P1040" s="115"/>
    </row>
    <row r="1041" spans="10:16" ht="12.5" x14ac:dyDescent="0.25">
      <c r="J1041" s="115"/>
      <c r="K1041" s="115"/>
      <c r="L1041" s="115"/>
      <c r="M1041" s="115"/>
      <c r="N1041" s="115"/>
      <c r="O1041" s="115"/>
      <c r="P1041" s="115"/>
    </row>
    <row r="1042" spans="10:16" ht="12.5" x14ac:dyDescent="0.25">
      <c r="J1042" s="115"/>
      <c r="K1042" s="115"/>
      <c r="L1042" s="115"/>
      <c r="M1042" s="115"/>
      <c r="N1042" s="115"/>
      <c r="O1042" s="115"/>
      <c r="P1042" s="115"/>
    </row>
    <row r="1043" spans="10:16" ht="12.5" x14ac:dyDescent="0.25">
      <c r="J1043" s="115"/>
      <c r="K1043" s="115"/>
      <c r="L1043" s="115"/>
      <c r="M1043" s="115"/>
      <c r="N1043" s="115"/>
      <c r="O1043" s="115"/>
      <c r="P1043" s="115"/>
    </row>
    <row r="1044" spans="10:16" ht="12.5" x14ac:dyDescent="0.25">
      <c r="J1044" s="115"/>
      <c r="K1044" s="115"/>
      <c r="L1044" s="115"/>
      <c r="M1044" s="115"/>
      <c r="N1044" s="115"/>
      <c r="O1044" s="115"/>
      <c r="P1044" s="115"/>
    </row>
  </sheetData>
  <mergeCells count="419">
    <mergeCell ref="D114:I114"/>
    <mergeCell ref="K114:L114"/>
    <mergeCell ref="K117:L117"/>
    <mergeCell ref="K118:L118"/>
    <mergeCell ref="K119:L119"/>
    <mergeCell ref="M119:N119"/>
    <mergeCell ref="O119:P119"/>
    <mergeCell ref="Q119:V119"/>
    <mergeCell ref="D120:N120"/>
    <mergeCell ref="O120:P120"/>
    <mergeCell ref="M114:N114"/>
    <mergeCell ref="O114:P114"/>
    <mergeCell ref="Q114:V114"/>
    <mergeCell ref="K115:L115"/>
    <mergeCell ref="M115:N115"/>
    <mergeCell ref="O115:P115"/>
    <mergeCell ref="Q115:V115"/>
    <mergeCell ref="K112:L112"/>
    <mergeCell ref="M112:N112"/>
    <mergeCell ref="K113:L113"/>
    <mergeCell ref="M113:N113"/>
    <mergeCell ref="O113:P113"/>
    <mergeCell ref="K109:L109"/>
    <mergeCell ref="M109:N109"/>
    <mergeCell ref="O109:P109"/>
    <mergeCell ref="Q109:V109"/>
    <mergeCell ref="D110:I110"/>
    <mergeCell ref="O112:P112"/>
    <mergeCell ref="Q112:V112"/>
    <mergeCell ref="Q113:V113"/>
    <mergeCell ref="O110:P110"/>
    <mergeCell ref="Q110:V110"/>
    <mergeCell ref="K111:L111"/>
    <mergeCell ref="M111:N111"/>
    <mergeCell ref="O111:P111"/>
    <mergeCell ref="Q111:V111"/>
    <mergeCell ref="D112:I112"/>
    <mergeCell ref="O117:P117"/>
    <mergeCell ref="Q117:V117"/>
    <mergeCell ref="M118:N118"/>
    <mergeCell ref="O118:P118"/>
    <mergeCell ref="D116:I116"/>
    <mergeCell ref="K116:L116"/>
    <mergeCell ref="M116:N116"/>
    <mergeCell ref="O116:P116"/>
    <mergeCell ref="Q116:V116"/>
    <mergeCell ref="M117:N117"/>
    <mergeCell ref="D118:I118"/>
    <mergeCell ref="Q118:V118"/>
    <mergeCell ref="O108:P108"/>
    <mergeCell ref="Q108:V108"/>
    <mergeCell ref="K106:L106"/>
    <mergeCell ref="M106:N106"/>
    <mergeCell ref="K107:L107"/>
    <mergeCell ref="M107:N107"/>
    <mergeCell ref="O107:P107"/>
    <mergeCell ref="Q107:V107"/>
    <mergeCell ref="D108:I108"/>
    <mergeCell ref="K108:L108"/>
    <mergeCell ref="M108:N108"/>
    <mergeCell ref="O106:P106"/>
    <mergeCell ref="Q106:V106"/>
    <mergeCell ref="K104:L104"/>
    <mergeCell ref="M104:N104"/>
    <mergeCell ref="K105:L105"/>
    <mergeCell ref="M105:N105"/>
    <mergeCell ref="O105:P105"/>
    <mergeCell ref="Q105:V105"/>
    <mergeCell ref="D106:I106"/>
    <mergeCell ref="K100:L100"/>
    <mergeCell ref="M100:N100"/>
    <mergeCell ref="K101:L101"/>
    <mergeCell ref="M101:N101"/>
    <mergeCell ref="O101:P101"/>
    <mergeCell ref="Q101:V101"/>
    <mergeCell ref="D102:I102"/>
    <mergeCell ref="O104:P104"/>
    <mergeCell ref="Q104:V104"/>
    <mergeCell ref="K102:L102"/>
    <mergeCell ref="M102:N102"/>
    <mergeCell ref="K103:L103"/>
    <mergeCell ref="M103:N103"/>
    <mergeCell ref="O103:P103"/>
    <mergeCell ref="Q103:V103"/>
    <mergeCell ref="D104:I104"/>
    <mergeCell ref="D90:I90"/>
    <mergeCell ref="K90:L90"/>
    <mergeCell ref="K110:L110"/>
    <mergeCell ref="M110:N110"/>
    <mergeCell ref="O98:P98"/>
    <mergeCell ref="Q98:V98"/>
    <mergeCell ref="K96:L96"/>
    <mergeCell ref="M96:N96"/>
    <mergeCell ref="K97:L97"/>
    <mergeCell ref="M97:N97"/>
    <mergeCell ref="O97:P97"/>
    <mergeCell ref="Q97:V97"/>
    <mergeCell ref="D98:I98"/>
    <mergeCell ref="O100:P100"/>
    <mergeCell ref="Q100:V100"/>
    <mergeCell ref="K98:L98"/>
    <mergeCell ref="M98:N98"/>
    <mergeCell ref="K99:L99"/>
    <mergeCell ref="M99:N99"/>
    <mergeCell ref="O99:P99"/>
    <mergeCell ref="Q99:V99"/>
    <mergeCell ref="D100:I100"/>
    <mergeCell ref="O102:P102"/>
    <mergeCell ref="Q102:V102"/>
    <mergeCell ref="M90:N90"/>
    <mergeCell ref="O90:P90"/>
    <mergeCell ref="Q90:V90"/>
    <mergeCell ref="K91:L91"/>
    <mergeCell ref="M91:N91"/>
    <mergeCell ref="O91:P91"/>
    <mergeCell ref="Q91:V91"/>
    <mergeCell ref="K88:L88"/>
    <mergeCell ref="M88:N88"/>
    <mergeCell ref="K89:L89"/>
    <mergeCell ref="M89:N89"/>
    <mergeCell ref="O89:P89"/>
    <mergeCell ref="K85:L85"/>
    <mergeCell ref="M85:N85"/>
    <mergeCell ref="O85:P85"/>
    <mergeCell ref="Q85:V85"/>
    <mergeCell ref="D86:I86"/>
    <mergeCell ref="O88:P88"/>
    <mergeCell ref="Q88:V88"/>
    <mergeCell ref="Q89:V89"/>
    <mergeCell ref="O86:P86"/>
    <mergeCell ref="Q86:V86"/>
    <mergeCell ref="K87:L87"/>
    <mergeCell ref="M87:N87"/>
    <mergeCell ref="O87:P87"/>
    <mergeCell ref="Q87:V87"/>
    <mergeCell ref="D88:I88"/>
    <mergeCell ref="O96:P96"/>
    <mergeCell ref="Q96:V96"/>
    <mergeCell ref="K93:L93"/>
    <mergeCell ref="K94:L94"/>
    <mergeCell ref="K95:L95"/>
    <mergeCell ref="M95:N95"/>
    <mergeCell ref="O95:P95"/>
    <mergeCell ref="Q95:V95"/>
    <mergeCell ref="D96:I96"/>
    <mergeCell ref="O93:P93"/>
    <mergeCell ref="Q93:V93"/>
    <mergeCell ref="M94:N94"/>
    <mergeCell ref="O94:P94"/>
    <mergeCell ref="D92:I92"/>
    <mergeCell ref="K92:L92"/>
    <mergeCell ref="M92:N92"/>
    <mergeCell ref="O92:P92"/>
    <mergeCell ref="Q92:V92"/>
    <mergeCell ref="M93:N93"/>
    <mergeCell ref="D94:I94"/>
    <mergeCell ref="Q94:V94"/>
    <mergeCell ref="O84:P84"/>
    <mergeCell ref="Q84:V84"/>
    <mergeCell ref="K82:L82"/>
    <mergeCell ref="M82:N82"/>
    <mergeCell ref="K83:L83"/>
    <mergeCell ref="M83:N83"/>
    <mergeCell ref="O83:P83"/>
    <mergeCell ref="Q83:V83"/>
    <mergeCell ref="D84:I84"/>
    <mergeCell ref="K84:L84"/>
    <mergeCell ref="M84:N84"/>
    <mergeCell ref="O82:P82"/>
    <mergeCell ref="Q82:V82"/>
    <mergeCell ref="K80:L80"/>
    <mergeCell ref="M80:N80"/>
    <mergeCell ref="K81:L81"/>
    <mergeCell ref="M81:N81"/>
    <mergeCell ref="O81:P81"/>
    <mergeCell ref="Q81:V81"/>
    <mergeCell ref="D82:I82"/>
    <mergeCell ref="O80:P80"/>
    <mergeCell ref="Q80:V80"/>
    <mergeCell ref="K78:L78"/>
    <mergeCell ref="M78:N78"/>
    <mergeCell ref="K79:L79"/>
    <mergeCell ref="M79:N79"/>
    <mergeCell ref="O79:P79"/>
    <mergeCell ref="Q79:V79"/>
    <mergeCell ref="D80:I80"/>
    <mergeCell ref="O78:P78"/>
    <mergeCell ref="Q78:V78"/>
    <mergeCell ref="K76:L76"/>
    <mergeCell ref="M76:N76"/>
    <mergeCell ref="K77:L77"/>
    <mergeCell ref="M77:N77"/>
    <mergeCell ref="O77:P77"/>
    <mergeCell ref="Q77:V77"/>
    <mergeCell ref="D78:I78"/>
    <mergeCell ref="O64:P64"/>
    <mergeCell ref="Q64:V64"/>
    <mergeCell ref="Q65:V65"/>
    <mergeCell ref="M66:N66"/>
    <mergeCell ref="O66:P66"/>
    <mergeCell ref="Q66:V66"/>
    <mergeCell ref="K86:L86"/>
    <mergeCell ref="M86:N86"/>
    <mergeCell ref="D62:I62"/>
    <mergeCell ref="D63:I63"/>
    <mergeCell ref="K63:L63"/>
    <mergeCell ref="M63:N63"/>
    <mergeCell ref="O63:P63"/>
    <mergeCell ref="Q63:V63"/>
    <mergeCell ref="D64:I64"/>
    <mergeCell ref="K64:L64"/>
    <mergeCell ref="M64:N64"/>
    <mergeCell ref="K65:L65"/>
    <mergeCell ref="M65:N65"/>
    <mergeCell ref="O65:P65"/>
    <mergeCell ref="D66:I66"/>
    <mergeCell ref="K66:L66"/>
    <mergeCell ref="K71:L71"/>
    <mergeCell ref="D72:I72"/>
    <mergeCell ref="M62:N62"/>
    <mergeCell ref="O62:P62"/>
    <mergeCell ref="D61:I61"/>
    <mergeCell ref="K61:L61"/>
    <mergeCell ref="M61:N61"/>
    <mergeCell ref="O61:P61"/>
    <mergeCell ref="Q61:V61"/>
    <mergeCell ref="K62:L62"/>
    <mergeCell ref="Q62:V62"/>
    <mergeCell ref="O60:P60"/>
    <mergeCell ref="Q60:V60"/>
    <mergeCell ref="D58:I58"/>
    <mergeCell ref="D59:I59"/>
    <mergeCell ref="K59:L59"/>
    <mergeCell ref="M59:N59"/>
    <mergeCell ref="O59:P59"/>
    <mergeCell ref="Q59:V59"/>
    <mergeCell ref="D60:I60"/>
    <mergeCell ref="D74:I74"/>
    <mergeCell ref="K74:L74"/>
    <mergeCell ref="Q74:V74"/>
    <mergeCell ref="O76:P76"/>
    <mergeCell ref="Q76:V76"/>
    <mergeCell ref="M74:N74"/>
    <mergeCell ref="O74:P74"/>
    <mergeCell ref="K75:L75"/>
    <mergeCell ref="M75:N75"/>
    <mergeCell ref="O75:P75"/>
    <mergeCell ref="Q75:V75"/>
    <mergeCell ref="D76:I76"/>
    <mergeCell ref="K69:L69"/>
    <mergeCell ref="M69:N69"/>
    <mergeCell ref="O69:P69"/>
    <mergeCell ref="Q69:V69"/>
    <mergeCell ref="D70:I70"/>
    <mergeCell ref="K70:L70"/>
    <mergeCell ref="K73:L73"/>
    <mergeCell ref="M73:N73"/>
    <mergeCell ref="O73:P73"/>
    <mergeCell ref="Q73:V73"/>
    <mergeCell ref="K72:L72"/>
    <mergeCell ref="M72:N72"/>
    <mergeCell ref="O72:P72"/>
    <mergeCell ref="M70:N70"/>
    <mergeCell ref="O70:P70"/>
    <mergeCell ref="Q70:V70"/>
    <mergeCell ref="M71:N71"/>
    <mergeCell ref="O71:P71"/>
    <mergeCell ref="Q71:V71"/>
    <mergeCell ref="Q72:V72"/>
    <mergeCell ref="K67:L67"/>
    <mergeCell ref="M67:N67"/>
    <mergeCell ref="O67:P67"/>
    <mergeCell ref="Q67:V67"/>
    <mergeCell ref="D68:I68"/>
    <mergeCell ref="K68:L68"/>
    <mergeCell ref="M68:N68"/>
    <mergeCell ref="O68:P68"/>
    <mergeCell ref="Q68:V68"/>
    <mergeCell ref="Z39:AA39"/>
    <mergeCell ref="Z40:AA40"/>
    <mergeCell ref="T37:U37"/>
    <mergeCell ref="X37:Y37"/>
    <mergeCell ref="X38:Y38"/>
    <mergeCell ref="Z38:AA38"/>
    <mergeCell ref="T39:U39"/>
    <mergeCell ref="X39:Y40"/>
    <mergeCell ref="T40:V40"/>
    <mergeCell ref="F37:G37"/>
    <mergeCell ref="D50:F50"/>
    <mergeCell ref="D51:F51"/>
    <mergeCell ref="D52:G52"/>
    <mergeCell ref="D53:G53"/>
    <mergeCell ref="D42:H43"/>
    <mergeCell ref="D44:F44"/>
    <mergeCell ref="D45:F45"/>
    <mergeCell ref="D46:F46"/>
    <mergeCell ref="D47:F47"/>
    <mergeCell ref="D48:F48"/>
    <mergeCell ref="D49:F49"/>
    <mergeCell ref="Z14:AA14"/>
    <mergeCell ref="D12:H13"/>
    <mergeCell ref="J12:P13"/>
    <mergeCell ref="X12:AA12"/>
    <mergeCell ref="X13:Y13"/>
    <mergeCell ref="Z13:AA13"/>
    <mergeCell ref="D14:G14"/>
    <mergeCell ref="J14:K14"/>
    <mergeCell ref="X27:Y27"/>
    <mergeCell ref="T23:U23"/>
    <mergeCell ref="T24:U24"/>
    <mergeCell ref="T25:U25"/>
    <mergeCell ref="T26:U26"/>
    <mergeCell ref="X26:AA26"/>
    <mergeCell ref="T27:U27"/>
    <mergeCell ref="R22:S22"/>
    <mergeCell ref="R23:S23"/>
    <mergeCell ref="R24:S24"/>
    <mergeCell ref="R25:S25"/>
    <mergeCell ref="R26:S26"/>
    <mergeCell ref="R27:S27"/>
    <mergeCell ref="D25:F25"/>
    <mergeCell ref="D26:F26"/>
    <mergeCell ref="D27:F27"/>
    <mergeCell ref="D2:E2"/>
    <mergeCell ref="G2:L2"/>
    <mergeCell ref="D3:E3"/>
    <mergeCell ref="N3:Q5"/>
    <mergeCell ref="H4:I4"/>
    <mergeCell ref="J4:K4"/>
    <mergeCell ref="H5:I5"/>
    <mergeCell ref="R12:V13"/>
    <mergeCell ref="R14:S14"/>
    <mergeCell ref="T14:U14"/>
    <mergeCell ref="K60:L60"/>
    <mergeCell ref="M60:N60"/>
    <mergeCell ref="J5:K5"/>
    <mergeCell ref="S5:X5"/>
    <mergeCell ref="U8:V8"/>
    <mergeCell ref="W8:X8"/>
    <mergeCell ref="N6:Q6"/>
    <mergeCell ref="N7:P7"/>
    <mergeCell ref="S7:T7"/>
    <mergeCell ref="U7:V7"/>
    <mergeCell ref="W7:X7"/>
    <mergeCell ref="N8:P8"/>
    <mergeCell ref="S8:T8"/>
    <mergeCell ref="X14:Y14"/>
    <mergeCell ref="X28:Y28"/>
    <mergeCell ref="T28:U28"/>
    <mergeCell ref="R31:S31"/>
    <mergeCell ref="R33:S33"/>
    <mergeCell ref="R29:S29"/>
    <mergeCell ref="X34:AA34"/>
    <mergeCell ref="X35:Y35"/>
    <mergeCell ref="Z35:AA35"/>
    <mergeCell ref="T29:U29"/>
    <mergeCell ref="X29:Y29"/>
    <mergeCell ref="D23:H24"/>
    <mergeCell ref="T33:U33"/>
    <mergeCell ref="T34:U34"/>
    <mergeCell ref="R35:S35"/>
    <mergeCell ref="T35:U35"/>
    <mergeCell ref="T36:U36"/>
    <mergeCell ref="X36:AA36"/>
    <mergeCell ref="R37:S37"/>
    <mergeCell ref="Z37:AA37"/>
    <mergeCell ref="T30:U30"/>
    <mergeCell ref="X30:Y30"/>
    <mergeCell ref="T31:U31"/>
    <mergeCell ref="T32:U32"/>
    <mergeCell ref="X32:AA33"/>
    <mergeCell ref="D28:F28"/>
    <mergeCell ref="D29:F29"/>
    <mergeCell ref="D30:F30"/>
    <mergeCell ref="D31:F31"/>
    <mergeCell ref="D32:F32"/>
    <mergeCell ref="D33:F33"/>
    <mergeCell ref="D34:F34"/>
    <mergeCell ref="D35:F35"/>
    <mergeCell ref="D36:E37"/>
    <mergeCell ref="F36:G36"/>
    <mergeCell ref="R21:S21"/>
    <mergeCell ref="T21:U21"/>
    <mergeCell ref="T22:U22"/>
    <mergeCell ref="D16:G16"/>
    <mergeCell ref="D17:G17"/>
    <mergeCell ref="D18:G18"/>
    <mergeCell ref="D19:G19"/>
    <mergeCell ref="D20:G20"/>
    <mergeCell ref="D21:G21"/>
    <mergeCell ref="R17:S17"/>
    <mergeCell ref="T17:U17"/>
    <mergeCell ref="Z17:AA17"/>
    <mergeCell ref="R18:S18"/>
    <mergeCell ref="T18:U18"/>
    <mergeCell ref="R19:S19"/>
    <mergeCell ref="T19:U19"/>
    <mergeCell ref="R20:S20"/>
    <mergeCell ref="T20:U20"/>
    <mergeCell ref="D15:G15"/>
    <mergeCell ref="R15:S15"/>
    <mergeCell ref="T15:U15"/>
    <mergeCell ref="Z15:AA15"/>
    <mergeCell ref="R16:S16"/>
    <mergeCell ref="T16:U16"/>
    <mergeCell ref="Z16:AA16"/>
    <mergeCell ref="X15:Y15"/>
    <mergeCell ref="X16:Y16"/>
    <mergeCell ref="D39:F40"/>
    <mergeCell ref="G39:H40"/>
    <mergeCell ref="R39:S39"/>
    <mergeCell ref="R40:S40"/>
    <mergeCell ref="J42:R42"/>
    <mergeCell ref="T42:V42"/>
    <mergeCell ref="D56:V57"/>
    <mergeCell ref="K58:L58"/>
    <mergeCell ref="Q58:V58"/>
    <mergeCell ref="M58:N58"/>
    <mergeCell ref="O58:P58"/>
  </mergeCells>
  <conditionalFormatting sqref="Z39:AA40">
    <cfRule type="cellIs" dxfId="15" priority="1" operator="greaterThanOrEqual">
      <formula>0</formula>
    </cfRule>
    <cfRule type="cellIs" dxfId="14" priority="3" operator="lessThan">
      <formula>0</formula>
    </cfRule>
    <cfRule type="containsText" dxfId="13" priority="4" operator="containsText" text="falta">
      <formula>NOT(ISERROR(SEARCH(("falta"),(Z39))))</formula>
    </cfRule>
  </conditionalFormatting>
  <conditionalFormatting sqref="Z40:AA40">
    <cfRule type="containsText" dxfId="12" priority="2" operator="containsText" text="sobra">
      <formula>NOT(ISERROR(SEARCH(("sobra"),(Z40))))</formula>
    </cfRule>
  </conditionalFormatting>
  <dataValidations count="3">
    <dataValidation type="list" allowBlank="1" showErrorMessage="1" sqref="G45:G51" xr:uid="{00000000-0002-0000-0A00-000000000000}">
      <formula1>"Ahorro,Inversión"</formula1>
    </dataValidation>
    <dataValidation type="list" allowBlank="1" showErrorMessage="1" sqref="K59:K119" xr:uid="{00000000-0002-0000-0A00-000001000000}">
      <formula1>"Transporte,Alimentación,Restaurantes,Delivery,Bares,Ropa,Belleza,Gasolina,Hogar,Tarjeta de crédito,Ocio,Pequeñas compras,Tasas/Impuestos,Viajes/vacaciones,Tecnología,Reparaciones,Salud,Higiene,Cursos/Formación/Trabajo,Mascotas,Familia,Otros,Préstamos"</formula1>
    </dataValidation>
    <dataValidation type="list" allowBlank="1" showErrorMessage="1" sqref="N15:N39 M59:M119" xr:uid="{00000000-0002-0000-0A00-000002000000}">
      <formula1>"Transferencia,Tarjeta de débito,Efectivo,Tarjeta de crédito"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D1044"/>
  <sheetViews>
    <sheetView workbookViewId="0"/>
  </sheetViews>
  <sheetFormatPr baseColWidth="10" defaultColWidth="12.6328125" defaultRowHeight="15.75" customHeight="1" x14ac:dyDescent="0.25"/>
  <cols>
    <col min="7" max="7" width="13.7265625" customWidth="1"/>
    <col min="14" max="14" width="17.6328125" customWidth="1"/>
  </cols>
  <sheetData>
    <row r="1" spans="1:30" ht="15.7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8"/>
      <c r="O1" s="28"/>
      <c r="P1" s="28"/>
      <c r="Q1" s="28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x14ac:dyDescent="0.3">
      <c r="A2" s="2"/>
      <c r="B2" s="2"/>
      <c r="C2" s="2"/>
      <c r="D2" s="254" t="s">
        <v>45</v>
      </c>
      <c r="E2" s="200"/>
      <c r="F2" s="11"/>
      <c r="G2" s="244" t="s">
        <v>46</v>
      </c>
      <c r="H2" s="245"/>
      <c r="I2" s="245"/>
      <c r="J2" s="245"/>
      <c r="K2" s="245"/>
      <c r="L2" s="246"/>
      <c r="M2" s="29"/>
      <c r="N2" s="11"/>
      <c r="O2" s="11"/>
      <c r="P2" s="11"/>
      <c r="Q2" s="11"/>
      <c r="R2" s="11"/>
      <c r="S2" s="11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5.75" customHeight="1" x14ac:dyDescent="0.4">
      <c r="A3" s="2"/>
      <c r="B3" s="2"/>
      <c r="C3" s="2"/>
      <c r="D3" s="255">
        <f>CTAS!H8</f>
        <v>0</v>
      </c>
      <c r="E3" s="236"/>
      <c r="F3" s="2"/>
      <c r="G3" s="2"/>
      <c r="H3" s="2"/>
      <c r="I3" s="2"/>
      <c r="J3" s="2"/>
      <c r="K3" s="2"/>
      <c r="L3" s="2"/>
      <c r="M3" s="11"/>
      <c r="N3" s="256" t="s">
        <v>9</v>
      </c>
      <c r="O3" s="209"/>
      <c r="P3" s="209"/>
      <c r="Q3" s="129"/>
      <c r="R3" s="30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3">
      <c r="A4" s="2"/>
      <c r="B4" s="2"/>
      <c r="C4" s="2"/>
      <c r="D4" s="28"/>
      <c r="E4" s="28"/>
      <c r="F4" s="2"/>
      <c r="G4" s="28"/>
      <c r="H4" s="259" t="s">
        <v>15</v>
      </c>
      <c r="I4" s="224"/>
      <c r="J4" s="260" t="s">
        <v>47</v>
      </c>
      <c r="K4" s="119"/>
      <c r="L4" s="31" t="s">
        <v>14</v>
      </c>
      <c r="M4" s="32"/>
      <c r="N4" s="257"/>
      <c r="O4" s="197"/>
      <c r="P4" s="197"/>
      <c r="Q4" s="258"/>
      <c r="R4" s="30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x14ac:dyDescent="0.3">
      <c r="A5" s="2"/>
      <c r="B5" s="2"/>
      <c r="C5" s="2"/>
      <c r="D5" s="2"/>
      <c r="E5" s="2"/>
      <c r="F5" s="2"/>
      <c r="G5" s="33" t="s">
        <v>48</v>
      </c>
      <c r="H5" s="261">
        <f>H37</f>
        <v>0</v>
      </c>
      <c r="I5" s="219"/>
      <c r="J5" s="243">
        <f>G39</f>
        <v>0</v>
      </c>
      <c r="K5" s="201"/>
      <c r="L5" s="34">
        <f>H5+J5</f>
        <v>0</v>
      </c>
      <c r="M5" s="32"/>
      <c r="N5" s="257"/>
      <c r="O5" s="197"/>
      <c r="P5" s="197"/>
      <c r="Q5" s="258"/>
      <c r="R5" s="29"/>
      <c r="S5" s="244" t="s">
        <v>49</v>
      </c>
      <c r="T5" s="245"/>
      <c r="U5" s="245"/>
      <c r="V5" s="245"/>
      <c r="W5" s="245"/>
      <c r="X5" s="246"/>
      <c r="Y5" s="30"/>
      <c r="Z5" s="2"/>
      <c r="AA5" s="2"/>
      <c r="AB5" s="2"/>
      <c r="AC5" s="2"/>
      <c r="AD5" s="2"/>
    </row>
    <row r="6" spans="1:30" ht="15.75" customHeight="1" x14ac:dyDescent="0.25">
      <c r="A6" s="2"/>
      <c r="B6" s="2"/>
      <c r="C6" s="2"/>
      <c r="D6" s="35"/>
      <c r="E6" s="35"/>
      <c r="F6" s="2"/>
      <c r="G6" s="35"/>
      <c r="H6" s="2"/>
      <c r="I6" s="36"/>
      <c r="J6" s="37"/>
      <c r="K6" s="37"/>
      <c r="L6" s="37"/>
      <c r="M6" s="38"/>
      <c r="N6" s="248">
        <v>2026</v>
      </c>
      <c r="O6" s="218"/>
      <c r="P6" s="218"/>
      <c r="Q6" s="249"/>
      <c r="R6" s="30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x14ac:dyDescent="0.3">
      <c r="A7" s="2"/>
      <c r="B7" s="2"/>
      <c r="C7" s="2"/>
      <c r="D7" s="2"/>
      <c r="E7" s="2"/>
      <c r="F7" s="2"/>
      <c r="G7" s="2"/>
      <c r="H7" s="39" t="s">
        <v>50</v>
      </c>
      <c r="I7" s="39" t="s">
        <v>51</v>
      </c>
      <c r="J7" s="7" t="s">
        <v>19</v>
      </c>
      <c r="K7" s="7" t="s">
        <v>52</v>
      </c>
      <c r="L7" s="7" t="s">
        <v>14</v>
      </c>
      <c r="M7" s="40"/>
      <c r="N7" s="250" t="s">
        <v>53</v>
      </c>
      <c r="O7" s="224"/>
      <c r="P7" s="227"/>
      <c r="Q7" s="41">
        <v>46296</v>
      </c>
      <c r="R7" s="30"/>
      <c r="S7" s="251" t="s">
        <v>54</v>
      </c>
      <c r="T7" s="219"/>
      <c r="U7" s="252" t="s">
        <v>55</v>
      </c>
      <c r="V7" s="219"/>
      <c r="W7" s="253" t="s">
        <v>56</v>
      </c>
      <c r="X7" s="219"/>
      <c r="Y7" s="2"/>
      <c r="Z7" s="2"/>
      <c r="AA7" s="2"/>
      <c r="AB7" s="2"/>
      <c r="AC7" s="2"/>
      <c r="AD7" s="2"/>
    </row>
    <row r="8" spans="1:30" x14ac:dyDescent="0.3">
      <c r="A8" s="2"/>
      <c r="B8" s="2"/>
      <c r="C8" s="2"/>
      <c r="D8" s="2"/>
      <c r="E8" s="2"/>
      <c r="F8" s="2"/>
      <c r="G8" s="42" t="s">
        <v>55</v>
      </c>
      <c r="H8" s="43">
        <f>M40</f>
        <v>0</v>
      </c>
      <c r="I8" s="44">
        <f>O120</f>
        <v>0</v>
      </c>
      <c r="J8" s="45">
        <f>H52</f>
        <v>0</v>
      </c>
      <c r="K8" s="45">
        <f>H53</f>
        <v>0</v>
      </c>
      <c r="L8" s="46">
        <f>SUM(H8:K8)</f>
        <v>0</v>
      </c>
      <c r="M8" s="40"/>
      <c r="N8" s="250" t="s">
        <v>57</v>
      </c>
      <c r="O8" s="224"/>
      <c r="P8" s="227"/>
      <c r="Q8" s="41">
        <v>46326</v>
      </c>
      <c r="R8" s="30"/>
      <c r="S8" s="247">
        <f>L5</f>
        <v>0</v>
      </c>
      <c r="T8" s="142"/>
      <c r="U8" s="247">
        <f>L8</f>
        <v>0</v>
      </c>
      <c r="V8" s="142"/>
      <c r="W8" s="247">
        <f>S8-U8</f>
        <v>0</v>
      </c>
      <c r="X8" s="142"/>
      <c r="Y8" s="2"/>
      <c r="Z8" s="2"/>
      <c r="AA8" s="2"/>
      <c r="AB8" s="2"/>
      <c r="AC8" s="2"/>
      <c r="AD8" s="2"/>
    </row>
    <row r="9" spans="1:30" ht="15.75" customHeight="1" x14ac:dyDescent="0.25">
      <c r="A9" s="2"/>
      <c r="B9" s="2"/>
      <c r="C9" s="2"/>
      <c r="D9" s="47"/>
      <c r="E9" s="47"/>
      <c r="F9" s="2"/>
      <c r="G9" s="2"/>
      <c r="H9" s="35"/>
      <c r="I9" s="35"/>
      <c r="J9" s="48"/>
      <c r="K9" s="48"/>
      <c r="L9" s="48"/>
      <c r="M9" s="49"/>
      <c r="N9" s="49"/>
      <c r="O9" s="49"/>
      <c r="P9" s="49"/>
      <c r="Q9" s="49"/>
      <c r="R9" s="49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15.75" customHeight="1" x14ac:dyDescent="0.25">
      <c r="A10" s="2"/>
      <c r="B10" s="2"/>
      <c r="C10" s="2"/>
      <c r="D10" s="35"/>
      <c r="E10" s="35"/>
      <c r="F10" s="2"/>
      <c r="G10" s="2"/>
      <c r="H10" s="2"/>
      <c r="I10" s="2"/>
      <c r="J10" s="49"/>
      <c r="K10" s="49"/>
      <c r="L10" s="49"/>
      <c r="M10" s="49"/>
      <c r="N10" s="49"/>
      <c r="O10" s="49"/>
      <c r="P10" s="49"/>
      <c r="Q10" s="49"/>
      <c r="R10" s="49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15.75" customHeight="1" x14ac:dyDescent="0.25">
      <c r="A11" s="2"/>
      <c r="B11" s="2"/>
      <c r="C11" s="2"/>
      <c r="D11" s="28"/>
      <c r="E11" s="28"/>
      <c r="F11" s="28"/>
      <c r="G11" s="28"/>
      <c r="H11" s="28"/>
      <c r="I11" s="2"/>
      <c r="J11" s="50"/>
      <c r="K11" s="50"/>
      <c r="L11" s="50"/>
      <c r="M11" s="50"/>
      <c r="N11" s="50"/>
      <c r="O11" s="50"/>
      <c r="P11" s="50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15.75" customHeight="1" x14ac:dyDescent="0.35">
      <c r="A12" s="2"/>
      <c r="B12" s="2"/>
      <c r="C12" s="11"/>
      <c r="D12" s="215" t="s">
        <v>58</v>
      </c>
      <c r="E12" s="209"/>
      <c r="F12" s="209"/>
      <c r="G12" s="209"/>
      <c r="H12" s="129"/>
      <c r="I12" s="29"/>
      <c r="J12" s="216" t="s">
        <v>16</v>
      </c>
      <c r="K12" s="209"/>
      <c r="L12" s="209"/>
      <c r="M12" s="209"/>
      <c r="N12" s="209"/>
      <c r="O12" s="209"/>
      <c r="P12" s="129"/>
      <c r="Q12" s="30"/>
      <c r="R12" s="208" t="s">
        <v>17</v>
      </c>
      <c r="S12" s="209"/>
      <c r="T12" s="209"/>
      <c r="U12" s="209"/>
      <c r="V12" s="129"/>
      <c r="X12" s="217" t="s">
        <v>18</v>
      </c>
      <c r="Y12" s="218"/>
      <c r="Z12" s="218"/>
      <c r="AA12" s="219"/>
      <c r="AB12" s="2"/>
      <c r="AC12" s="2"/>
      <c r="AD12" s="2"/>
    </row>
    <row r="13" spans="1:30" ht="15.75" customHeight="1" x14ac:dyDescent="0.25">
      <c r="A13" s="2"/>
      <c r="B13" s="2"/>
      <c r="C13" s="11"/>
      <c r="D13" s="130"/>
      <c r="E13" s="200"/>
      <c r="F13" s="200"/>
      <c r="G13" s="200"/>
      <c r="H13" s="131"/>
      <c r="I13" s="29"/>
      <c r="J13" s="130"/>
      <c r="K13" s="200"/>
      <c r="L13" s="200"/>
      <c r="M13" s="200"/>
      <c r="N13" s="200"/>
      <c r="O13" s="200"/>
      <c r="P13" s="131"/>
      <c r="Q13" s="30"/>
      <c r="R13" s="130"/>
      <c r="S13" s="200"/>
      <c r="T13" s="200"/>
      <c r="U13" s="200"/>
      <c r="V13" s="131"/>
      <c r="W13" s="2"/>
      <c r="X13" s="220" t="s">
        <v>59</v>
      </c>
      <c r="Y13" s="221"/>
      <c r="Z13" s="222">
        <f>M40</f>
        <v>0</v>
      </c>
      <c r="AA13" s="198"/>
      <c r="AB13" s="2"/>
      <c r="AC13" s="2"/>
      <c r="AD13" s="2"/>
    </row>
    <row r="14" spans="1:30" ht="15.75" customHeight="1" x14ac:dyDescent="0.25">
      <c r="A14" s="2"/>
      <c r="B14" s="2"/>
      <c r="C14" s="11"/>
      <c r="D14" s="223" t="s">
        <v>62</v>
      </c>
      <c r="E14" s="224"/>
      <c r="F14" s="224"/>
      <c r="G14" s="225"/>
      <c r="H14" s="51" t="s">
        <v>61</v>
      </c>
      <c r="I14" s="29"/>
      <c r="J14" s="266" t="s">
        <v>62</v>
      </c>
      <c r="K14" s="119"/>
      <c r="L14" s="52" t="s">
        <v>63</v>
      </c>
      <c r="M14" s="52" t="s">
        <v>64</v>
      </c>
      <c r="N14" s="52" t="s">
        <v>65</v>
      </c>
      <c r="O14" s="52" t="s">
        <v>104</v>
      </c>
      <c r="P14" s="52" t="s">
        <v>67</v>
      </c>
      <c r="Q14" s="29"/>
      <c r="R14" s="210" t="s">
        <v>68</v>
      </c>
      <c r="S14" s="119"/>
      <c r="T14" s="210" t="s">
        <v>69</v>
      </c>
      <c r="U14" s="119"/>
      <c r="V14" s="53" t="s">
        <v>70</v>
      </c>
      <c r="W14" s="29"/>
      <c r="X14" s="262" t="s">
        <v>71</v>
      </c>
      <c r="Y14" s="263"/>
      <c r="Z14" s="264">
        <f>O120</f>
        <v>0</v>
      </c>
      <c r="AA14" s="265"/>
      <c r="AB14" s="30"/>
      <c r="AC14" s="2"/>
      <c r="AD14" s="2"/>
    </row>
    <row r="15" spans="1:30" ht="15.75" customHeight="1" x14ac:dyDescent="0.25">
      <c r="A15" s="2"/>
      <c r="B15" s="2"/>
      <c r="C15" s="11"/>
      <c r="D15" s="226"/>
      <c r="E15" s="224"/>
      <c r="F15" s="224"/>
      <c r="G15" s="227"/>
      <c r="H15" s="54">
        <v>0</v>
      </c>
      <c r="I15" s="29"/>
      <c r="J15" s="117"/>
      <c r="K15" s="4"/>
      <c r="L15" s="4"/>
      <c r="M15" s="4"/>
      <c r="N15" s="4"/>
      <c r="O15" s="4"/>
      <c r="P15" s="56">
        <v>0</v>
      </c>
      <c r="Q15" s="29"/>
      <c r="R15" s="231" t="s">
        <v>22</v>
      </c>
      <c r="S15" s="232"/>
      <c r="T15" s="233">
        <f t="shared" ref="T15:T37" si="0">SUMIF($K$59:$L$119,R15,$O$59:$P$119)</f>
        <v>0</v>
      </c>
      <c r="U15" s="232"/>
      <c r="V15" s="57" t="e">
        <f t="shared" ref="V15:V37" si="1">T15*1/$T$40</f>
        <v>#DIV/0!</v>
      </c>
      <c r="W15" s="30"/>
      <c r="X15" s="211" t="s">
        <v>73</v>
      </c>
      <c r="Y15" s="212"/>
      <c r="Z15" s="213">
        <f t="shared" ref="Z15:Z16" si="2">H52</f>
        <v>0</v>
      </c>
      <c r="AA15" s="214"/>
      <c r="AB15" s="2"/>
      <c r="AC15" s="2"/>
      <c r="AD15" s="2"/>
    </row>
    <row r="16" spans="1:30" ht="15.75" customHeight="1" x14ac:dyDescent="0.25">
      <c r="A16" s="2"/>
      <c r="B16" s="2"/>
      <c r="C16" s="2"/>
      <c r="D16" s="240"/>
      <c r="E16" s="224"/>
      <c r="F16" s="224"/>
      <c r="G16" s="241"/>
      <c r="H16" s="58">
        <v>0</v>
      </c>
      <c r="I16" s="11"/>
      <c r="J16" s="66"/>
      <c r="K16" s="59"/>
      <c r="L16" s="59"/>
      <c r="M16" s="59"/>
      <c r="N16" s="59"/>
      <c r="O16" s="59"/>
      <c r="P16" s="61">
        <v>0</v>
      </c>
      <c r="Q16" s="29"/>
      <c r="R16" s="234" t="s">
        <v>23</v>
      </c>
      <c r="S16" s="142"/>
      <c r="T16" s="235">
        <f t="shared" si="0"/>
        <v>0</v>
      </c>
      <c r="U16" s="236"/>
      <c r="V16" s="62" t="e">
        <f t="shared" si="1"/>
        <v>#DIV/0!</v>
      </c>
      <c r="W16" s="30"/>
      <c r="X16" s="237" t="s">
        <v>74</v>
      </c>
      <c r="Y16" s="238"/>
      <c r="Z16" s="228">
        <f t="shared" si="2"/>
        <v>0</v>
      </c>
      <c r="AA16" s="198"/>
      <c r="AB16" s="2"/>
      <c r="AC16" s="2"/>
      <c r="AD16" s="2"/>
    </row>
    <row r="17" spans="1:30" x14ac:dyDescent="0.3">
      <c r="A17" s="2"/>
      <c r="B17" s="2"/>
      <c r="C17" s="2"/>
      <c r="D17" s="226"/>
      <c r="E17" s="224"/>
      <c r="F17" s="224"/>
      <c r="G17" s="227"/>
      <c r="H17" s="54">
        <v>0</v>
      </c>
      <c r="I17" s="11"/>
      <c r="J17" s="63"/>
      <c r="K17" s="3"/>
      <c r="L17" s="3"/>
      <c r="M17" s="3"/>
      <c r="N17" s="3"/>
      <c r="O17" s="3"/>
      <c r="P17" s="64">
        <v>0</v>
      </c>
      <c r="Q17" s="29"/>
      <c r="R17" s="231" t="s">
        <v>24</v>
      </c>
      <c r="S17" s="232"/>
      <c r="T17" s="233">
        <f t="shared" si="0"/>
        <v>0</v>
      </c>
      <c r="U17" s="232"/>
      <c r="V17" s="57" t="e">
        <f t="shared" si="1"/>
        <v>#DIV/0!</v>
      </c>
      <c r="W17" s="30"/>
      <c r="X17" s="65" t="s">
        <v>14</v>
      </c>
      <c r="Y17" s="65"/>
      <c r="Z17" s="229">
        <f>SUM(Z13:Z16)</f>
        <v>0</v>
      </c>
      <c r="AA17" s="230"/>
      <c r="AB17" s="2"/>
      <c r="AC17" s="2"/>
      <c r="AD17" s="2"/>
    </row>
    <row r="18" spans="1:30" ht="15.75" customHeight="1" x14ac:dyDescent="0.25">
      <c r="A18" s="2"/>
      <c r="B18" s="2"/>
      <c r="C18" s="2"/>
      <c r="D18" s="240"/>
      <c r="E18" s="224"/>
      <c r="F18" s="224"/>
      <c r="G18" s="241"/>
      <c r="H18" s="58">
        <v>0</v>
      </c>
      <c r="I18" s="11"/>
      <c r="J18" s="66"/>
      <c r="K18" s="59"/>
      <c r="L18" s="59"/>
      <c r="M18" s="59"/>
      <c r="N18" s="59"/>
      <c r="O18" s="59"/>
      <c r="P18" s="61">
        <v>0</v>
      </c>
      <c r="Q18" s="29"/>
      <c r="R18" s="239" t="s">
        <v>25</v>
      </c>
      <c r="S18" s="236"/>
      <c r="T18" s="235">
        <f t="shared" si="0"/>
        <v>0</v>
      </c>
      <c r="U18" s="236"/>
      <c r="V18" s="62" t="e">
        <f t="shared" si="1"/>
        <v>#DIV/0!</v>
      </c>
      <c r="W18" s="30"/>
      <c r="X18" s="2"/>
      <c r="Y18" s="2"/>
      <c r="Z18" s="2"/>
      <c r="AA18" s="2"/>
      <c r="AB18" s="2"/>
      <c r="AC18" s="2"/>
      <c r="AD18" s="2"/>
    </row>
    <row r="19" spans="1:30" ht="15.75" customHeight="1" x14ac:dyDescent="0.25">
      <c r="A19" s="2"/>
      <c r="B19" s="2"/>
      <c r="C19" s="2"/>
      <c r="D19" s="226"/>
      <c r="E19" s="224"/>
      <c r="F19" s="224"/>
      <c r="G19" s="227"/>
      <c r="H19" s="54">
        <v>0</v>
      </c>
      <c r="I19" s="11"/>
      <c r="J19" s="63"/>
      <c r="K19" s="3"/>
      <c r="L19" s="3"/>
      <c r="M19" s="3"/>
      <c r="N19" s="3"/>
      <c r="O19" s="3"/>
      <c r="P19" s="64">
        <v>0</v>
      </c>
      <c r="Q19" s="29"/>
      <c r="R19" s="231" t="s">
        <v>26</v>
      </c>
      <c r="S19" s="232"/>
      <c r="T19" s="233">
        <f t="shared" si="0"/>
        <v>0</v>
      </c>
      <c r="U19" s="232"/>
      <c r="V19" s="57" t="e">
        <f t="shared" si="1"/>
        <v>#DIV/0!</v>
      </c>
      <c r="W19" s="30"/>
      <c r="X19" s="2"/>
      <c r="Y19" s="2"/>
      <c r="Z19" s="2"/>
      <c r="AA19" s="2"/>
      <c r="AB19" s="2"/>
      <c r="AC19" s="2"/>
      <c r="AD19" s="2"/>
    </row>
    <row r="20" spans="1:30" ht="15.75" customHeight="1" x14ac:dyDescent="0.25">
      <c r="A20" s="2"/>
      <c r="B20" s="2"/>
      <c r="C20" s="2"/>
      <c r="D20" s="240"/>
      <c r="E20" s="224"/>
      <c r="F20" s="224"/>
      <c r="G20" s="241"/>
      <c r="H20" s="58">
        <v>0</v>
      </c>
      <c r="I20" s="11"/>
      <c r="J20" s="66"/>
      <c r="K20" s="59"/>
      <c r="L20" s="59"/>
      <c r="M20" s="59"/>
      <c r="N20" s="59"/>
      <c r="O20" s="59"/>
      <c r="P20" s="61">
        <v>0</v>
      </c>
      <c r="Q20" s="29"/>
      <c r="R20" s="239" t="s">
        <v>27</v>
      </c>
      <c r="S20" s="236"/>
      <c r="T20" s="235">
        <f t="shared" si="0"/>
        <v>0</v>
      </c>
      <c r="U20" s="236"/>
      <c r="V20" s="62" t="e">
        <f t="shared" si="1"/>
        <v>#DIV/0!</v>
      </c>
      <c r="W20" s="30"/>
      <c r="X20" s="2"/>
      <c r="Y20" s="2"/>
      <c r="Z20" s="2"/>
      <c r="AA20" s="2"/>
      <c r="AB20" s="2"/>
      <c r="AC20" s="2"/>
      <c r="AD20" s="2"/>
    </row>
    <row r="21" spans="1:30" ht="15.75" customHeight="1" x14ac:dyDescent="0.25">
      <c r="A21" s="2"/>
      <c r="B21" s="2"/>
      <c r="C21" s="2"/>
      <c r="D21" s="226"/>
      <c r="E21" s="224"/>
      <c r="F21" s="224"/>
      <c r="G21" s="227"/>
      <c r="H21" s="54">
        <v>0</v>
      </c>
      <c r="I21" s="11"/>
      <c r="J21" s="63"/>
      <c r="K21" s="3"/>
      <c r="L21" s="3"/>
      <c r="M21" s="3"/>
      <c r="N21" s="3"/>
      <c r="O21" s="3"/>
      <c r="P21" s="64">
        <v>0</v>
      </c>
      <c r="Q21" s="29"/>
      <c r="R21" s="231" t="s">
        <v>28</v>
      </c>
      <c r="S21" s="232"/>
      <c r="T21" s="233">
        <f t="shared" si="0"/>
        <v>0</v>
      </c>
      <c r="U21" s="232"/>
      <c r="V21" s="57" t="e">
        <f t="shared" si="1"/>
        <v>#DIV/0!</v>
      </c>
      <c r="W21" s="30"/>
      <c r="X21" s="2"/>
      <c r="Y21" s="2"/>
      <c r="Z21" s="2"/>
      <c r="AA21" s="2"/>
      <c r="AB21" s="2"/>
      <c r="AC21" s="2"/>
      <c r="AD21" s="2"/>
    </row>
    <row r="22" spans="1:30" ht="15.75" customHeight="1" x14ac:dyDescent="0.25">
      <c r="A22" s="2"/>
      <c r="B22" s="2"/>
      <c r="C22" s="2"/>
      <c r="D22" s="28"/>
      <c r="E22" s="28"/>
      <c r="F22" s="28"/>
      <c r="G22" s="28"/>
      <c r="H22" s="28"/>
      <c r="I22" s="11"/>
      <c r="J22" s="66"/>
      <c r="K22" s="59"/>
      <c r="L22" s="59"/>
      <c r="M22" s="59"/>
      <c r="N22" s="59"/>
      <c r="O22" s="59"/>
      <c r="P22" s="61">
        <v>0</v>
      </c>
      <c r="Q22" s="29"/>
      <c r="R22" s="239" t="s">
        <v>29</v>
      </c>
      <c r="S22" s="236"/>
      <c r="T22" s="235">
        <f t="shared" si="0"/>
        <v>0</v>
      </c>
      <c r="U22" s="236"/>
      <c r="V22" s="62" t="e">
        <f t="shared" si="1"/>
        <v>#DIV/0!</v>
      </c>
      <c r="W22" s="30"/>
      <c r="X22" s="2"/>
      <c r="Y22" s="2"/>
      <c r="Z22" s="2"/>
      <c r="AA22" s="2"/>
      <c r="AB22" s="2"/>
      <c r="AC22" s="2"/>
      <c r="AD22" s="2"/>
    </row>
    <row r="23" spans="1:30" ht="15.75" customHeight="1" x14ac:dyDescent="0.25">
      <c r="A23" s="2"/>
      <c r="B23" s="2"/>
      <c r="C23" s="11"/>
      <c r="D23" s="242" t="s">
        <v>15</v>
      </c>
      <c r="E23" s="209"/>
      <c r="F23" s="209"/>
      <c r="G23" s="209"/>
      <c r="H23" s="129"/>
      <c r="I23" s="29"/>
      <c r="J23" s="63"/>
      <c r="K23" s="3"/>
      <c r="L23" s="3"/>
      <c r="M23" s="3"/>
      <c r="N23" s="3"/>
      <c r="O23" s="3"/>
      <c r="P23" s="64">
        <v>0</v>
      </c>
      <c r="Q23" s="29"/>
      <c r="R23" s="231" t="s">
        <v>30</v>
      </c>
      <c r="S23" s="232"/>
      <c r="T23" s="233">
        <f t="shared" si="0"/>
        <v>0</v>
      </c>
      <c r="U23" s="232"/>
      <c r="V23" s="57" t="e">
        <f t="shared" si="1"/>
        <v>#DIV/0!</v>
      </c>
      <c r="W23" s="30"/>
      <c r="X23" s="2"/>
      <c r="Y23" s="2"/>
      <c r="Z23" s="2"/>
      <c r="AA23" s="2"/>
      <c r="AB23" s="2"/>
      <c r="AC23" s="2"/>
      <c r="AD23" s="2"/>
    </row>
    <row r="24" spans="1:30" ht="15.75" customHeight="1" x14ac:dyDescent="0.25">
      <c r="A24" s="2"/>
      <c r="B24" s="2"/>
      <c r="C24" s="11"/>
      <c r="D24" s="130"/>
      <c r="E24" s="200"/>
      <c r="F24" s="200"/>
      <c r="G24" s="200"/>
      <c r="H24" s="131"/>
      <c r="I24" s="29"/>
      <c r="J24" s="66"/>
      <c r="K24" s="59"/>
      <c r="L24" s="59"/>
      <c r="M24" s="59"/>
      <c r="N24" s="59"/>
      <c r="O24" s="59"/>
      <c r="P24" s="61">
        <v>0</v>
      </c>
      <c r="Q24" s="29"/>
      <c r="R24" s="239" t="s">
        <v>31</v>
      </c>
      <c r="S24" s="236"/>
      <c r="T24" s="235">
        <f t="shared" si="0"/>
        <v>0</v>
      </c>
      <c r="U24" s="236"/>
      <c r="V24" s="62" t="e">
        <f t="shared" si="1"/>
        <v>#DIV/0!</v>
      </c>
      <c r="W24" s="30"/>
      <c r="X24" s="67"/>
      <c r="Y24" s="67"/>
      <c r="Z24" s="67"/>
      <c r="AA24" s="67"/>
      <c r="AB24" s="2"/>
      <c r="AC24" s="2"/>
      <c r="AD24" s="2"/>
    </row>
    <row r="25" spans="1:30" ht="15.75" customHeight="1" x14ac:dyDescent="0.25">
      <c r="A25" s="2"/>
      <c r="B25" s="2"/>
      <c r="C25" s="11"/>
      <c r="D25" s="275" t="s">
        <v>62</v>
      </c>
      <c r="E25" s="224"/>
      <c r="F25" s="119"/>
      <c r="G25" s="68" t="s">
        <v>75</v>
      </c>
      <c r="H25" s="69" t="s">
        <v>76</v>
      </c>
      <c r="I25" s="29"/>
      <c r="J25" s="63"/>
      <c r="K25" s="3"/>
      <c r="L25" s="3"/>
      <c r="M25" s="3"/>
      <c r="N25" s="3"/>
      <c r="O25" s="3"/>
      <c r="P25" s="64">
        <v>0</v>
      </c>
      <c r="Q25" s="29"/>
      <c r="R25" s="231" t="s">
        <v>32</v>
      </c>
      <c r="S25" s="232"/>
      <c r="T25" s="233">
        <f t="shared" si="0"/>
        <v>0</v>
      </c>
      <c r="U25" s="232"/>
      <c r="V25" s="57" t="e">
        <f t="shared" si="1"/>
        <v>#DIV/0!</v>
      </c>
      <c r="W25" s="2"/>
      <c r="X25" s="2"/>
      <c r="Y25" s="2"/>
      <c r="Z25" s="2"/>
      <c r="AA25" s="2"/>
      <c r="AB25" s="2"/>
      <c r="AC25" s="2"/>
      <c r="AD25" s="2"/>
    </row>
    <row r="26" spans="1:30" ht="15.75" customHeight="1" x14ac:dyDescent="0.25">
      <c r="A26" s="2"/>
      <c r="B26" s="2"/>
      <c r="C26" s="11"/>
      <c r="D26" s="276"/>
      <c r="E26" s="277"/>
      <c r="F26" s="142"/>
      <c r="G26" s="70"/>
      <c r="H26" s="71"/>
      <c r="I26" s="29"/>
      <c r="J26" s="66"/>
      <c r="K26" s="59"/>
      <c r="L26" s="59"/>
      <c r="M26" s="59"/>
      <c r="N26" s="59"/>
      <c r="O26" s="59"/>
      <c r="P26" s="61">
        <v>0</v>
      </c>
      <c r="Q26" s="29"/>
      <c r="R26" s="239" t="s">
        <v>33</v>
      </c>
      <c r="S26" s="236"/>
      <c r="T26" s="235">
        <f t="shared" si="0"/>
        <v>0</v>
      </c>
      <c r="U26" s="236"/>
      <c r="V26" s="62" t="e">
        <f t="shared" si="1"/>
        <v>#DIV/0!</v>
      </c>
      <c r="W26" s="29"/>
      <c r="X26" s="278" t="s">
        <v>77</v>
      </c>
      <c r="Y26" s="224"/>
      <c r="Z26" s="224"/>
      <c r="AA26" s="119"/>
      <c r="AB26" s="30"/>
      <c r="AC26" s="2"/>
      <c r="AD26" s="2"/>
    </row>
    <row r="27" spans="1:30" x14ac:dyDescent="0.3">
      <c r="A27" s="2"/>
      <c r="B27" s="2"/>
      <c r="C27" s="11"/>
      <c r="D27" s="279"/>
      <c r="E27" s="245"/>
      <c r="F27" s="280"/>
      <c r="G27" s="72"/>
      <c r="H27" s="73"/>
      <c r="I27" s="29"/>
      <c r="J27" s="63"/>
      <c r="K27" s="3"/>
      <c r="L27" s="3"/>
      <c r="M27" s="3"/>
      <c r="N27" s="3"/>
      <c r="O27" s="3"/>
      <c r="P27" s="64">
        <v>0</v>
      </c>
      <c r="Q27" s="29"/>
      <c r="R27" s="231" t="s">
        <v>34</v>
      </c>
      <c r="S27" s="232"/>
      <c r="T27" s="233">
        <f t="shared" si="0"/>
        <v>0</v>
      </c>
      <c r="U27" s="232"/>
      <c r="V27" s="57" t="e">
        <f t="shared" si="1"/>
        <v>#DIV/0!</v>
      </c>
      <c r="W27" s="29"/>
      <c r="X27" s="270" t="s">
        <v>78</v>
      </c>
      <c r="Y27" s="119"/>
      <c r="Z27" s="74">
        <f>SUMIF(M59:N119,"Tarjeta de débito",O59:P119)+SUMIF(N15:N39,"Tarjeta de débito",M15:M39)</f>
        <v>0</v>
      </c>
      <c r="AA27" s="75" t="e">
        <f t="shared" ref="AA27:AA30" si="3">Z27*1/$U$8</f>
        <v>#DIV/0!</v>
      </c>
      <c r="AB27" s="30"/>
      <c r="AC27" s="2"/>
      <c r="AD27" s="2"/>
    </row>
    <row r="28" spans="1:30" x14ac:dyDescent="0.3">
      <c r="A28" s="2"/>
      <c r="B28" s="2"/>
      <c r="C28" s="11"/>
      <c r="D28" s="286"/>
      <c r="E28" s="245"/>
      <c r="F28" s="236"/>
      <c r="G28" s="76"/>
      <c r="H28" s="77"/>
      <c r="I28" s="29"/>
      <c r="J28" s="66"/>
      <c r="K28" s="59"/>
      <c r="L28" s="59"/>
      <c r="M28" s="59"/>
      <c r="N28" s="59"/>
      <c r="O28" s="59"/>
      <c r="P28" s="61">
        <v>0</v>
      </c>
      <c r="Q28" s="29"/>
      <c r="R28" s="78" t="s">
        <v>35</v>
      </c>
      <c r="S28" s="79"/>
      <c r="T28" s="235">
        <f t="shared" si="0"/>
        <v>0</v>
      </c>
      <c r="U28" s="236"/>
      <c r="V28" s="62" t="e">
        <f t="shared" si="1"/>
        <v>#DIV/0!</v>
      </c>
      <c r="W28" s="29"/>
      <c r="X28" s="281" t="s">
        <v>31</v>
      </c>
      <c r="Y28" s="119"/>
      <c r="Z28" s="80">
        <f>SUMIF(M59:N119,"Tarjeta de crédito",O59:P119)+SUMIF(N15:N39,"Tarjeta de crédito",M15:M39)</f>
        <v>0</v>
      </c>
      <c r="AA28" s="75" t="e">
        <f t="shared" si="3"/>
        <v>#DIV/0!</v>
      </c>
      <c r="AB28" s="30"/>
      <c r="AC28" s="2"/>
      <c r="AD28" s="2"/>
    </row>
    <row r="29" spans="1:30" x14ac:dyDescent="0.3">
      <c r="A29" s="2"/>
      <c r="B29" s="2"/>
      <c r="C29" s="11"/>
      <c r="D29" s="279"/>
      <c r="E29" s="245"/>
      <c r="F29" s="280"/>
      <c r="G29" s="72"/>
      <c r="H29" s="73"/>
      <c r="I29" s="29"/>
      <c r="J29" s="63"/>
      <c r="K29" s="3"/>
      <c r="L29" s="3"/>
      <c r="M29" s="3"/>
      <c r="N29" s="3"/>
      <c r="O29" s="3"/>
      <c r="P29" s="64">
        <v>0</v>
      </c>
      <c r="Q29" s="29"/>
      <c r="R29" s="231" t="s">
        <v>79</v>
      </c>
      <c r="S29" s="232"/>
      <c r="T29" s="233">
        <f t="shared" si="0"/>
        <v>0</v>
      </c>
      <c r="U29" s="232"/>
      <c r="V29" s="57" t="e">
        <f t="shared" si="1"/>
        <v>#DIV/0!</v>
      </c>
      <c r="W29" s="29"/>
      <c r="X29" s="282" t="s">
        <v>80</v>
      </c>
      <c r="Y29" s="119"/>
      <c r="Z29" s="80">
        <f>SUMIF(M59:N119,"Efectivo",O59:P119)+SUMIF(N15:N39,"Efectivo",M15:M39)</f>
        <v>0</v>
      </c>
      <c r="AA29" s="75" t="e">
        <f t="shared" si="3"/>
        <v>#DIV/0!</v>
      </c>
      <c r="AB29" s="30"/>
      <c r="AC29" s="2"/>
      <c r="AD29" s="2"/>
    </row>
    <row r="30" spans="1:30" x14ac:dyDescent="0.3">
      <c r="A30" s="2"/>
      <c r="B30" s="2"/>
      <c r="C30" s="11"/>
      <c r="D30" s="286"/>
      <c r="E30" s="245"/>
      <c r="F30" s="236"/>
      <c r="G30" s="76"/>
      <c r="H30" s="77"/>
      <c r="I30" s="29"/>
      <c r="J30" s="66"/>
      <c r="K30" s="59"/>
      <c r="L30" s="59"/>
      <c r="M30" s="59"/>
      <c r="N30" s="59"/>
      <c r="O30" s="59"/>
      <c r="P30" s="61">
        <v>0</v>
      </c>
      <c r="Q30" s="29"/>
      <c r="R30" s="78" t="s">
        <v>37</v>
      </c>
      <c r="S30" s="79"/>
      <c r="T30" s="235">
        <f t="shared" si="0"/>
        <v>0</v>
      </c>
      <c r="U30" s="236"/>
      <c r="V30" s="62" t="e">
        <f t="shared" si="1"/>
        <v>#DIV/0!</v>
      </c>
      <c r="W30" s="29"/>
      <c r="X30" s="283" t="s">
        <v>72</v>
      </c>
      <c r="Y30" s="119"/>
      <c r="Z30" s="74">
        <f>SUMIF(M59:N119,"Transferencia",O59:P119)+SUMIF(N15:N39,"Transferencia",M15:M39)</f>
        <v>0</v>
      </c>
      <c r="AA30" s="75" t="e">
        <f t="shared" si="3"/>
        <v>#DIV/0!</v>
      </c>
      <c r="AB30" s="30"/>
      <c r="AC30" s="2"/>
      <c r="AD30" s="2"/>
    </row>
    <row r="31" spans="1:30" ht="15.75" customHeight="1" x14ac:dyDescent="0.25">
      <c r="A31" s="2"/>
      <c r="B31" s="2"/>
      <c r="C31" s="11"/>
      <c r="D31" s="279"/>
      <c r="E31" s="245"/>
      <c r="F31" s="280"/>
      <c r="G31" s="72"/>
      <c r="H31" s="73"/>
      <c r="I31" s="29"/>
      <c r="J31" s="63"/>
      <c r="K31" s="3"/>
      <c r="L31" s="3"/>
      <c r="M31" s="3"/>
      <c r="N31" s="3"/>
      <c r="O31" s="3"/>
      <c r="P31" s="64">
        <v>0</v>
      </c>
      <c r="Q31" s="29"/>
      <c r="R31" s="231" t="s">
        <v>38</v>
      </c>
      <c r="S31" s="232"/>
      <c r="T31" s="233">
        <f t="shared" si="0"/>
        <v>0</v>
      </c>
      <c r="U31" s="232"/>
      <c r="V31" s="57" t="e">
        <f t="shared" si="1"/>
        <v>#DIV/0!</v>
      </c>
      <c r="W31" s="2"/>
      <c r="X31" s="28"/>
      <c r="Y31" s="28"/>
      <c r="Z31" s="28"/>
      <c r="AA31" s="28"/>
      <c r="AB31" s="2"/>
      <c r="AC31" s="2"/>
      <c r="AD31" s="2"/>
    </row>
    <row r="32" spans="1:30" ht="15.75" customHeight="1" x14ac:dyDescent="0.25">
      <c r="A32" s="2"/>
      <c r="B32" s="2"/>
      <c r="C32" s="11"/>
      <c r="D32" s="286"/>
      <c r="E32" s="245"/>
      <c r="F32" s="236"/>
      <c r="G32" s="76"/>
      <c r="H32" s="77"/>
      <c r="I32" s="29"/>
      <c r="J32" s="81"/>
      <c r="K32" s="82"/>
      <c r="L32" s="82"/>
      <c r="M32" s="82"/>
      <c r="N32" s="82"/>
      <c r="O32" s="82"/>
      <c r="P32" s="83">
        <v>0</v>
      </c>
      <c r="Q32" s="29"/>
      <c r="R32" s="78" t="s">
        <v>39</v>
      </c>
      <c r="S32" s="79"/>
      <c r="T32" s="235">
        <f t="shared" si="0"/>
        <v>0</v>
      </c>
      <c r="U32" s="236"/>
      <c r="V32" s="62" t="e">
        <f t="shared" si="1"/>
        <v>#DIV/0!</v>
      </c>
      <c r="W32" s="29"/>
      <c r="X32" s="284" t="s">
        <v>81</v>
      </c>
      <c r="Y32" s="209"/>
      <c r="Z32" s="209"/>
      <c r="AA32" s="129"/>
      <c r="AB32" s="30"/>
      <c r="AC32" s="2"/>
      <c r="AD32" s="2"/>
    </row>
    <row r="33" spans="1:30" ht="15.75" customHeight="1" x14ac:dyDescent="0.25">
      <c r="A33" s="2"/>
      <c r="B33" s="2"/>
      <c r="C33" s="11"/>
      <c r="D33" s="279"/>
      <c r="E33" s="245"/>
      <c r="F33" s="280"/>
      <c r="G33" s="72"/>
      <c r="H33" s="73"/>
      <c r="I33" s="29"/>
      <c r="J33" s="84"/>
      <c r="K33" s="85"/>
      <c r="L33" s="85"/>
      <c r="M33" s="85"/>
      <c r="N33" s="85"/>
      <c r="O33" s="85"/>
      <c r="P33" s="86">
        <v>0</v>
      </c>
      <c r="Q33" s="29"/>
      <c r="R33" s="231" t="s">
        <v>40</v>
      </c>
      <c r="S33" s="232"/>
      <c r="T33" s="233">
        <f t="shared" si="0"/>
        <v>0</v>
      </c>
      <c r="U33" s="232"/>
      <c r="V33" s="57" t="e">
        <f t="shared" si="1"/>
        <v>#DIV/0!</v>
      </c>
      <c r="W33" s="29"/>
      <c r="X33" s="130"/>
      <c r="Y33" s="200"/>
      <c r="Z33" s="200"/>
      <c r="AA33" s="131"/>
      <c r="AB33" s="30"/>
      <c r="AC33" s="2"/>
      <c r="AD33" s="2"/>
    </row>
    <row r="34" spans="1:30" x14ac:dyDescent="0.3">
      <c r="A34" s="2"/>
      <c r="B34" s="2"/>
      <c r="C34" s="11"/>
      <c r="D34" s="287"/>
      <c r="E34" s="245"/>
      <c r="F34" s="236"/>
      <c r="G34" s="87"/>
      <c r="H34" s="88"/>
      <c r="I34" s="29"/>
      <c r="J34" s="81"/>
      <c r="K34" s="82"/>
      <c r="L34" s="82"/>
      <c r="M34" s="82"/>
      <c r="N34" s="82"/>
      <c r="O34" s="82"/>
      <c r="P34" s="83">
        <v>0</v>
      </c>
      <c r="Q34" s="29"/>
      <c r="R34" s="78" t="s">
        <v>41</v>
      </c>
      <c r="S34" s="79"/>
      <c r="T34" s="235">
        <f t="shared" si="0"/>
        <v>0</v>
      </c>
      <c r="U34" s="236"/>
      <c r="V34" s="62" t="e">
        <f t="shared" si="1"/>
        <v>#DIV/0!</v>
      </c>
      <c r="W34" s="29"/>
      <c r="X34" s="285" t="s">
        <v>82</v>
      </c>
      <c r="Y34" s="224"/>
      <c r="Z34" s="224"/>
      <c r="AA34" s="119"/>
      <c r="AB34" s="30"/>
      <c r="AC34" s="2"/>
      <c r="AD34" s="2"/>
    </row>
    <row r="35" spans="1:30" ht="15.75" customHeight="1" x14ac:dyDescent="0.25">
      <c r="A35" s="2"/>
      <c r="B35" s="2"/>
      <c r="C35" s="11"/>
      <c r="D35" s="304"/>
      <c r="E35" s="194"/>
      <c r="F35" s="305"/>
      <c r="G35" s="89"/>
      <c r="H35" s="90"/>
      <c r="I35" s="29"/>
      <c r="J35" s="84"/>
      <c r="K35" s="85"/>
      <c r="L35" s="85"/>
      <c r="M35" s="85"/>
      <c r="N35" s="85"/>
      <c r="O35" s="85"/>
      <c r="P35" s="86">
        <v>0</v>
      </c>
      <c r="Q35" s="29"/>
      <c r="R35" s="231" t="s">
        <v>42</v>
      </c>
      <c r="S35" s="232"/>
      <c r="T35" s="233">
        <f t="shared" si="0"/>
        <v>0</v>
      </c>
      <c r="U35" s="232"/>
      <c r="V35" s="57" t="e">
        <f t="shared" si="1"/>
        <v>#DIV/0!</v>
      </c>
      <c r="W35" s="29"/>
      <c r="X35" s="294" t="s">
        <v>83</v>
      </c>
      <c r="Y35" s="295"/>
      <c r="Z35" s="296">
        <f>W8</f>
        <v>0</v>
      </c>
      <c r="AA35" s="258"/>
      <c r="AB35" s="30"/>
      <c r="AC35" s="2"/>
      <c r="AD35" s="2"/>
    </row>
    <row r="36" spans="1:30" x14ac:dyDescent="0.3">
      <c r="A36" s="2"/>
      <c r="B36" s="2"/>
      <c r="C36" s="11"/>
      <c r="D36" s="306" t="s">
        <v>84</v>
      </c>
      <c r="E36" s="129"/>
      <c r="F36" s="307" t="s">
        <v>85</v>
      </c>
      <c r="G36" s="308"/>
      <c r="H36" s="91">
        <f>SUM(G26:G35)</f>
        <v>0</v>
      </c>
      <c r="I36" s="29"/>
      <c r="J36" s="81"/>
      <c r="K36" s="82"/>
      <c r="L36" s="82"/>
      <c r="M36" s="82"/>
      <c r="N36" s="82"/>
      <c r="O36" s="82"/>
      <c r="P36" s="83">
        <v>0</v>
      </c>
      <c r="Q36" s="29"/>
      <c r="R36" s="78" t="s">
        <v>43</v>
      </c>
      <c r="S36" s="79"/>
      <c r="T36" s="235">
        <f t="shared" si="0"/>
        <v>0</v>
      </c>
      <c r="U36" s="236"/>
      <c r="V36" s="62" t="e">
        <f t="shared" si="1"/>
        <v>#DIV/0!</v>
      </c>
      <c r="W36" s="29"/>
      <c r="X36" s="285" t="s">
        <v>86</v>
      </c>
      <c r="Y36" s="224"/>
      <c r="Z36" s="224"/>
      <c r="AA36" s="119"/>
      <c r="AB36" s="30"/>
      <c r="AC36" s="2"/>
      <c r="AD36" s="2"/>
    </row>
    <row r="37" spans="1:30" ht="13" x14ac:dyDescent="0.3">
      <c r="A37" s="2"/>
      <c r="B37" s="2"/>
      <c r="C37" s="11"/>
      <c r="D37" s="130"/>
      <c r="E37" s="131"/>
      <c r="F37" s="309" t="s">
        <v>87</v>
      </c>
      <c r="G37" s="310"/>
      <c r="H37" s="92">
        <f>SUM(H26:H35)</f>
        <v>0</v>
      </c>
      <c r="I37" s="29"/>
      <c r="J37" s="84"/>
      <c r="K37" s="85"/>
      <c r="L37" s="85"/>
      <c r="M37" s="85"/>
      <c r="N37" s="85"/>
      <c r="O37" s="85"/>
      <c r="P37" s="86">
        <v>0</v>
      </c>
      <c r="Q37" s="29"/>
      <c r="R37" s="231" t="s">
        <v>88</v>
      </c>
      <c r="S37" s="232"/>
      <c r="T37" s="233">
        <f t="shared" si="0"/>
        <v>0</v>
      </c>
      <c r="U37" s="232"/>
      <c r="V37" s="57" t="e">
        <f t="shared" si="1"/>
        <v>#DIV/0!</v>
      </c>
      <c r="W37" s="29"/>
      <c r="X37" s="297" t="s">
        <v>89</v>
      </c>
      <c r="Y37" s="298"/>
      <c r="Z37" s="299"/>
      <c r="AA37" s="300"/>
      <c r="AB37" s="30"/>
      <c r="AC37" s="2"/>
      <c r="AD37" s="2"/>
    </row>
    <row r="38" spans="1:30" ht="12.5" x14ac:dyDescent="0.25">
      <c r="A38" s="2"/>
      <c r="B38" s="2"/>
      <c r="C38" s="2"/>
      <c r="D38" s="36"/>
      <c r="E38" s="36"/>
      <c r="F38" s="36"/>
      <c r="G38" s="36"/>
      <c r="H38" s="36"/>
      <c r="I38" s="11"/>
      <c r="J38" s="81"/>
      <c r="K38" s="82"/>
      <c r="L38" s="82"/>
      <c r="M38" s="82"/>
      <c r="N38" s="82"/>
      <c r="O38" s="82"/>
      <c r="P38" s="83">
        <v>0</v>
      </c>
      <c r="Q38" s="29"/>
      <c r="R38" s="93"/>
      <c r="S38" s="2"/>
      <c r="T38" s="2"/>
      <c r="U38" s="2"/>
      <c r="V38" s="94"/>
      <c r="W38" s="29"/>
      <c r="X38" s="301" t="s">
        <v>80</v>
      </c>
      <c r="Y38" s="302"/>
      <c r="Z38" s="288"/>
      <c r="AA38" s="289"/>
      <c r="AB38" s="30"/>
      <c r="AC38" s="2"/>
      <c r="AD38" s="2"/>
    </row>
    <row r="39" spans="1:30" ht="13" x14ac:dyDescent="0.25">
      <c r="A39" s="2"/>
      <c r="B39" s="2"/>
      <c r="C39" s="11"/>
      <c r="D39" s="311" t="s">
        <v>90</v>
      </c>
      <c r="E39" s="209"/>
      <c r="F39" s="209"/>
      <c r="G39" s="312"/>
      <c r="H39" s="129"/>
      <c r="I39" s="29"/>
      <c r="J39" s="84"/>
      <c r="K39" s="85"/>
      <c r="L39" s="85"/>
      <c r="M39" s="85"/>
      <c r="N39" s="85"/>
      <c r="O39" s="85"/>
      <c r="P39" s="86">
        <v>0</v>
      </c>
      <c r="Q39" s="29"/>
      <c r="R39" s="271"/>
      <c r="S39" s="232"/>
      <c r="T39" s="274"/>
      <c r="U39" s="232"/>
      <c r="V39" s="95"/>
      <c r="W39" s="29"/>
      <c r="X39" s="303" t="s">
        <v>91</v>
      </c>
      <c r="Y39" s="129"/>
      <c r="Z39" s="290">
        <f>(Z38+Z37)-Z35</f>
        <v>0</v>
      </c>
      <c r="AA39" s="119"/>
      <c r="AB39" s="30"/>
      <c r="AC39" s="2"/>
      <c r="AD39" s="2"/>
    </row>
    <row r="40" spans="1:30" ht="13" x14ac:dyDescent="0.3">
      <c r="A40" s="2"/>
      <c r="B40" s="2"/>
      <c r="C40" s="11"/>
      <c r="D40" s="130"/>
      <c r="E40" s="200"/>
      <c r="F40" s="200"/>
      <c r="G40" s="130"/>
      <c r="H40" s="131"/>
      <c r="I40" s="29"/>
      <c r="J40" s="96" t="s">
        <v>14</v>
      </c>
      <c r="K40" s="97"/>
      <c r="L40" s="97">
        <f t="shared" ref="L40:M40" si="4">SUM(L15:L39)</f>
        <v>0</v>
      </c>
      <c r="M40" s="97">
        <f t="shared" si="4"/>
        <v>0</v>
      </c>
      <c r="N40" s="97"/>
      <c r="O40" s="97"/>
      <c r="P40" s="98"/>
      <c r="Q40" s="29"/>
      <c r="R40" s="272" t="s">
        <v>14</v>
      </c>
      <c r="S40" s="273"/>
      <c r="T40" s="291">
        <f>SUM(T15:U39)</f>
        <v>0</v>
      </c>
      <c r="U40" s="224"/>
      <c r="V40" s="119"/>
      <c r="W40" s="29"/>
      <c r="X40" s="130"/>
      <c r="Y40" s="131"/>
      <c r="Z40" s="290" t="str">
        <f>IF(Z39&lt;0,"Te falta dinero o anotar algo", "Te sobra dinero o anotar algo")</f>
        <v>Te sobra dinero o anotar algo</v>
      </c>
      <c r="AA40" s="119"/>
      <c r="AB40" s="30"/>
      <c r="AC40" s="2"/>
      <c r="AD40" s="2"/>
    </row>
    <row r="41" spans="1:30" ht="12.5" x14ac:dyDescent="0.25">
      <c r="A41" s="2"/>
      <c r="B41" s="2"/>
      <c r="C41" s="2"/>
      <c r="D41" s="35"/>
      <c r="E41" s="35"/>
      <c r="F41" s="35"/>
      <c r="G41" s="35"/>
      <c r="H41" s="35"/>
      <c r="I41" s="2"/>
      <c r="J41" s="99"/>
      <c r="K41" s="99"/>
      <c r="L41" s="99"/>
      <c r="M41" s="99"/>
      <c r="N41" s="99"/>
      <c r="O41" s="99"/>
      <c r="P41" s="99"/>
      <c r="Q41" s="28"/>
      <c r="R41" s="36"/>
      <c r="S41" s="36"/>
      <c r="T41" s="36"/>
      <c r="U41" s="36"/>
      <c r="V41" s="36"/>
      <c r="W41" s="2"/>
      <c r="X41" s="35"/>
      <c r="Y41" s="35"/>
      <c r="Z41" s="35"/>
      <c r="AA41" s="35"/>
      <c r="AB41" s="2"/>
      <c r="AC41" s="2"/>
      <c r="AD41" s="2"/>
    </row>
    <row r="42" spans="1:30" ht="13" x14ac:dyDescent="0.3">
      <c r="A42" s="2"/>
      <c r="B42" s="2"/>
      <c r="C42" s="2"/>
      <c r="D42" s="313" t="s">
        <v>92</v>
      </c>
      <c r="E42" s="209"/>
      <c r="F42" s="209"/>
      <c r="G42" s="209"/>
      <c r="H42" s="129"/>
      <c r="I42" s="11"/>
      <c r="J42" s="292" t="s">
        <v>93</v>
      </c>
      <c r="K42" s="224"/>
      <c r="L42" s="224"/>
      <c r="M42" s="224"/>
      <c r="N42" s="224"/>
      <c r="O42" s="224"/>
      <c r="P42" s="224"/>
      <c r="Q42" s="224"/>
      <c r="R42" s="224"/>
      <c r="S42" s="100">
        <f>M40+O120</f>
        <v>0</v>
      </c>
      <c r="T42" s="293"/>
      <c r="U42" s="224"/>
      <c r="V42" s="119"/>
      <c r="W42" s="30"/>
      <c r="X42" s="2"/>
      <c r="Y42" s="2"/>
      <c r="Z42" s="2"/>
      <c r="AA42" s="2"/>
      <c r="AB42" s="2"/>
      <c r="AC42" s="2"/>
      <c r="AD42" s="2"/>
    </row>
    <row r="43" spans="1:30" ht="12.5" x14ac:dyDescent="0.25">
      <c r="A43" s="2"/>
      <c r="B43" s="2"/>
      <c r="C43" s="2"/>
      <c r="D43" s="130"/>
      <c r="E43" s="200"/>
      <c r="F43" s="200"/>
      <c r="G43" s="200"/>
      <c r="H43" s="131"/>
      <c r="I43" s="2"/>
      <c r="J43" s="4"/>
      <c r="K43" s="4"/>
      <c r="L43" s="4"/>
      <c r="M43" s="4"/>
      <c r="N43" s="4"/>
      <c r="O43" s="4"/>
      <c r="P43" s="4"/>
      <c r="Q43" s="35"/>
      <c r="R43" s="35"/>
      <c r="S43" s="35"/>
      <c r="T43" s="35"/>
      <c r="U43" s="35"/>
      <c r="V43" s="35"/>
      <c r="W43" s="2"/>
      <c r="X43" s="2"/>
      <c r="Y43" s="2"/>
      <c r="Z43" s="2"/>
      <c r="AA43" s="2"/>
      <c r="AB43" s="2"/>
      <c r="AC43" s="2"/>
      <c r="AD43" s="2"/>
    </row>
    <row r="44" spans="1:30" ht="13" x14ac:dyDescent="0.25">
      <c r="A44" s="2"/>
      <c r="B44" s="2"/>
      <c r="C44" s="2"/>
      <c r="D44" s="324" t="s">
        <v>62</v>
      </c>
      <c r="E44" s="224"/>
      <c r="F44" s="325"/>
      <c r="G44" s="101" t="s">
        <v>94</v>
      </c>
      <c r="H44" s="102" t="s">
        <v>95</v>
      </c>
      <c r="I44" s="2"/>
      <c r="J44" s="3"/>
      <c r="K44" s="3"/>
      <c r="L44" s="3"/>
      <c r="M44" s="3"/>
      <c r="N44" s="3"/>
      <c r="O44" s="3"/>
      <c r="P44" s="3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2.5" x14ac:dyDescent="0.25">
      <c r="A45" s="2"/>
      <c r="B45" s="2"/>
      <c r="C45" s="11"/>
      <c r="D45" s="326"/>
      <c r="E45" s="327"/>
      <c r="F45" s="230"/>
      <c r="G45" s="103"/>
      <c r="H45" s="104"/>
      <c r="I45" s="30"/>
      <c r="J45" s="3"/>
      <c r="K45" s="3"/>
      <c r="L45" s="3"/>
      <c r="M45" s="3"/>
      <c r="N45" s="3"/>
      <c r="O45" s="3"/>
      <c r="P45" s="3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2.5" x14ac:dyDescent="0.25">
      <c r="A46" s="2"/>
      <c r="B46" s="2"/>
      <c r="C46" s="11"/>
      <c r="D46" s="328"/>
      <c r="E46" s="245"/>
      <c r="F46" s="329"/>
      <c r="G46" s="105"/>
      <c r="H46" s="106"/>
      <c r="I46" s="30"/>
      <c r="J46" s="3"/>
      <c r="K46" s="3"/>
      <c r="L46" s="3"/>
      <c r="M46" s="3"/>
      <c r="N46" s="3"/>
      <c r="O46" s="3"/>
      <c r="P46" s="3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2.5" x14ac:dyDescent="0.25">
      <c r="A47" s="2"/>
      <c r="B47" s="2"/>
      <c r="C47" s="11"/>
      <c r="D47" s="330"/>
      <c r="E47" s="245"/>
      <c r="F47" s="236"/>
      <c r="G47" s="2"/>
      <c r="H47" s="94"/>
      <c r="I47" s="30"/>
      <c r="J47" s="3"/>
      <c r="K47" s="3"/>
      <c r="L47" s="3"/>
      <c r="M47" s="3"/>
      <c r="N47" s="3"/>
      <c r="O47" s="3"/>
      <c r="P47" s="3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2.5" x14ac:dyDescent="0.25">
      <c r="A48" s="2"/>
      <c r="B48" s="2"/>
      <c r="C48" s="11"/>
      <c r="D48" s="328"/>
      <c r="E48" s="245"/>
      <c r="F48" s="329"/>
      <c r="G48" s="105"/>
      <c r="H48" s="106"/>
      <c r="I48" s="30"/>
      <c r="J48" s="3"/>
      <c r="K48" s="3"/>
      <c r="L48" s="3"/>
      <c r="M48" s="3"/>
      <c r="N48" s="3"/>
      <c r="O48" s="3"/>
      <c r="P48" s="3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2.5" x14ac:dyDescent="0.25">
      <c r="A49" s="2"/>
      <c r="B49" s="2"/>
      <c r="C49" s="11"/>
      <c r="D49" s="330"/>
      <c r="E49" s="245"/>
      <c r="F49" s="236"/>
      <c r="G49" s="2"/>
      <c r="H49" s="94"/>
      <c r="I49" s="30"/>
      <c r="J49" s="3"/>
      <c r="K49" s="3"/>
      <c r="L49" s="3"/>
      <c r="M49" s="3"/>
      <c r="N49" s="3"/>
      <c r="O49" s="3"/>
      <c r="P49" s="3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2.5" x14ac:dyDescent="0.25">
      <c r="A50" s="2"/>
      <c r="B50" s="2"/>
      <c r="C50" s="11"/>
      <c r="D50" s="328"/>
      <c r="E50" s="245"/>
      <c r="F50" s="329"/>
      <c r="G50" s="105"/>
      <c r="H50" s="106"/>
      <c r="I50" s="30"/>
      <c r="J50" s="3"/>
      <c r="K50" s="3"/>
      <c r="L50" s="3"/>
      <c r="M50" s="3"/>
      <c r="N50" s="3"/>
      <c r="O50" s="3"/>
      <c r="P50" s="3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2.5" x14ac:dyDescent="0.25">
      <c r="A51" s="2"/>
      <c r="B51" s="2"/>
      <c r="C51" s="11"/>
      <c r="D51" s="331"/>
      <c r="E51" s="218"/>
      <c r="F51" s="219"/>
      <c r="G51" s="47"/>
      <c r="H51" s="107"/>
      <c r="I51" s="30"/>
      <c r="J51" s="3"/>
      <c r="K51" s="3"/>
      <c r="L51" s="3"/>
      <c r="M51" s="3"/>
      <c r="N51" s="3"/>
      <c r="O51" s="3"/>
      <c r="P51" s="3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3" x14ac:dyDescent="0.3">
      <c r="A52" s="2"/>
      <c r="B52" s="2"/>
      <c r="C52" s="11"/>
      <c r="D52" s="332" t="s">
        <v>96</v>
      </c>
      <c r="E52" s="224"/>
      <c r="F52" s="224"/>
      <c r="G52" s="325"/>
      <c r="H52" s="108">
        <f>SUMIF(G45:G51, "Ahorro", H45:H51)</f>
        <v>0</v>
      </c>
      <c r="I52" s="30"/>
      <c r="J52" s="3"/>
      <c r="K52" s="3"/>
      <c r="L52" s="3"/>
      <c r="M52" s="3"/>
      <c r="N52" s="3"/>
      <c r="O52" s="3"/>
      <c r="P52" s="3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3" x14ac:dyDescent="0.3">
      <c r="A53" s="2"/>
      <c r="B53" s="2"/>
      <c r="C53" s="11"/>
      <c r="D53" s="332" t="s">
        <v>97</v>
      </c>
      <c r="E53" s="224"/>
      <c r="F53" s="224"/>
      <c r="G53" s="325"/>
      <c r="H53" s="108">
        <f>SUMIF(G45:G51, "Inversión", H45:H51)</f>
        <v>0</v>
      </c>
      <c r="I53" s="30"/>
      <c r="J53" s="3"/>
      <c r="K53" s="3"/>
      <c r="L53" s="3"/>
      <c r="M53" s="3"/>
      <c r="N53" s="3"/>
      <c r="O53" s="3"/>
      <c r="P53" s="3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2.5" x14ac:dyDescent="0.25">
      <c r="A54" s="2"/>
      <c r="B54" s="2"/>
      <c r="C54" s="2"/>
      <c r="D54" s="35"/>
      <c r="E54" s="35"/>
      <c r="F54" s="35"/>
      <c r="G54" s="35"/>
      <c r="H54" s="35"/>
      <c r="I54" s="2"/>
      <c r="J54" s="3"/>
      <c r="K54" s="3"/>
      <c r="L54" s="3"/>
      <c r="M54" s="3"/>
      <c r="N54" s="3"/>
      <c r="O54" s="3"/>
      <c r="P54" s="3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2.5" x14ac:dyDescent="0.25">
      <c r="A55" s="2"/>
      <c r="B55" s="2"/>
      <c r="C55" s="2"/>
      <c r="D55" s="28"/>
      <c r="E55" s="28"/>
      <c r="F55" s="28"/>
      <c r="G55" s="28"/>
      <c r="H55" s="28"/>
      <c r="I55" s="28"/>
      <c r="J55" s="5"/>
      <c r="K55" s="5"/>
      <c r="L55" s="5"/>
      <c r="M55" s="5"/>
      <c r="N55" s="5"/>
      <c r="O55" s="5"/>
      <c r="P55" s="5"/>
      <c r="Q55" s="28"/>
      <c r="R55" s="28"/>
      <c r="S55" s="28"/>
      <c r="T55" s="28"/>
      <c r="U55" s="28"/>
      <c r="V55" s="28"/>
      <c r="W55" s="2"/>
      <c r="X55" s="2"/>
      <c r="Y55" s="2"/>
      <c r="Z55" s="2"/>
      <c r="AA55" s="2"/>
      <c r="AB55" s="2"/>
      <c r="AC55" s="2"/>
      <c r="AD55" s="2"/>
    </row>
    <row r="56" spans="1:30" ht="12.5" x14ac:dyDescent="0.25">
      <c r="A56" s="2"/>
      <c r="B56" s="2"/>
      <c r="C56" s="11"/>
      <c r="D56" s="208" t="s">
        <v>98</v>
      </c>
      <c r="E56" s="209"/>
      <c r="F56" s="209"/>
      <c r="G56" s="209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9"/>
      <c r="S56" s="209"/>
      <c r="T56" s="209"/>
      <c r="U56" s="209"/>
      <c r="V56" s="129"/>
      <c r="W56" s="30"/>
      <c r="X56" s="2"/>
      <c r="Y56" s="2"/>
      <c r="Z56" s="2"/>
      <c r="AA56" s="2"/>
      <c r="AB56" s="2"/>
      <c r="AC56" s="2"/>
      <c r="AD56" s="2"/>
    </row>
    <row r="57" spans="1:30" ht="12.5" x14ac:dyDescent="0.25">
      <c r="A57" s="2"/>
      <c r="B57" s="2"/>
      <c r="C57" s="11"/>
      <c r="D57" s="333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277"/>
      <c r="P57" s="277"/>
      <c r="Q57" s="277"/>
      <c r="R57" s="277"/>
      <c r="S57" s="277"/>
      <c r="T57" s="277"/>
      <c r="U57" s="277"/>
      <c r="V57" s="334"/>
      <c r="W57" s="30"/>
      <c r="X57" s="2"/>
      <c r="Y57" s="2"/>
      <c r="Z57" s="2"/>
      <c r="AA57" s="2"/>
      <c r="AB57" s="2"/>
      <c r="AC57" s="2"/>
      <c r="AD57" s="2"/>
    </row>
    <row r="58" spans="1:30" ht="13" x14ac:dyDescent="0.3">
      <c r="A58" s="2"/>
      <c r="B58" s="2"/>
      <c r="C58" s="11"/>
      <c r="D58" s="335" t="s">
        <v>62</v>
      </c>
      <c r="E58" s="224"/>
      <c r="F58" s="224"/>
      <c r="G58" s="224"/>
      <c r="H58" s="224"/>
      <c r="I58" s="119"/>
      <c r="J58" s="109" t="s">
        <v>99</v>
      </c>
      <c r="K58" s="319" t="s">
        <v>68</v>
      </c>
      <c r="L58" s="119"/>
      <c r="M58" s="319" t="s">
        <v>100</v>
      </c>
      <c r="N58" s="119"/>
      <c r="O58" s="319" t="s">
        <v>95</v>
      </c>
      <c r="P58" s="119"/>
      <c r="Q58" s="319" t="s">
        <v>101</v>
      </c>
      <c r="R58" s="224"/>
      <c r="S58" s="224"/>
      <c r="T58" s="224"/>
      <c r="U58" s="224"/>
      <c r="V58" s="119"/>
      <c r="W58" s="30"/>
      <c r="X58" s="2"/>
      <c r="Y58" s="2"/>
      <c r="Z58" s="2"/>
      <c r="AA58" s="2"/>
      <c r="AB58" s="2"/>
      <c r="AC58" s="2"/>
      <c r="AD58" s="2"/>
    </row>
    <row r="59" spans="1:30" ht="12.5" x14ac:dyDescent="0.25">
      <c r="A59" s="2"/>
      <c r="B59" s="2"/>
      <c r="C59" s="11"/>
      <c r="D59" s="336"/>
      <c r="E59" s="277"/>
      <c r="F59" s="277"/>
      <c r="G59" s="277"/>
      <c r="H59" s="277"/>
      <c r="I59" s="142"/>
      <c r="J59" s="4"/>
      <c r="K59" s="314"/>
      <c r="L59" s="142"/>
      <c r="M59" s="314"/>
      <c r="N59" s="142"/>
      <c r="O59" s="315"/>
      <c r="P59" s="142"/>
      <c r="Q59" s="247"/>
      <c r="R59" s="277"/>
      <c r="S59" s="277"/>
      <c r="T59" s="277"/>
      <c r="U59" s="277"/>
      <c r="V59" s="334"/>
      <c r="W59" s="30"/>
      <c r="X59" s="2"/>
      <c r="Y59" s="2"/>
      <c r="Z59" s="2"/>
      <c r="AA59" s="2"/>
      <c r="AB59" s="2"/>
      <c r="AC59" s="2"/>
      <c r="AD59" s="2"/>
    </row>
    <row r="60" spans="1:30" ht="12.5" x14ac:dyDescent="0.25">
      <c r="A60" s="2"/>
      <c r="B60" s="2"/>
      <c r="C60" s="11"/>
      <c r="D60" s="337"/>
      <c r="E60" s="277"/>
      <c r="F60" s="277"/>
      <c r="G60" s="277"/>
      <c r="H60" s="277"/>
      <c r="I60" s="338"/>
      <c r="J60" s="111"/>
      <c r="K60" s="316"/>
      <c r="L60" s="232"/>
      <c r="M60" s="316"/>
      <c r="N60" s="232"/>
      <c r="O60" s="317"/>
      <c r="P60" s="232"/>
      <c r="Q60" s="274"/>
      <c r="R60" s="245"/>
      <c r="S60" s="245"/>
      <c r="T60" s="245"/>
      <c r="U60" s="245"/>
      <c r="V60" s="246"/>
      <c r="W60" s="30"/>
      <c r="X60" s="2"/>
      <c r="Y60" s="2"/>
      <c r="Z60" s="2"/>
      <c r="AA60" s="2"/>
      <c r="AB60" s="2"/>
      <c r="AC60" s="2"/>
      <c r="AD60" s="2"/>
    </row>
    <row r="61" spans="1:30" ht="12.5" x14ac:dyDescent="0.25">
      <c r="A61" s="2"/>
      <c r="B61" s="2"/>
      <c r="C61" s="11"/>
      <c r="D61" s="336"/>
      <c r="E61" s="277"/>
      <c r="F61" s="277"/>
      <c r="G61" s="277"/>
      <c r="H61" s="277"/>
      <c r="I61" s="142"/>
      <c r="J61" s="3"/>
      <c r="K61" s="314"/>
      <c r="L61" s="142"/>
      <c r="M61" s="314"/>
      <c r="N61" s="142"/>
      <c r="O61" s="320"/>
      <c r="P61" s="236"/>
      <c r="Q61" s="318"/>
      <c r="R61" s="245"/>
      <c r="S61" s="245"/>
      <c r="T61" s="245"/>
      <c r="U61" s="245"/>
      <c r="V61" s="246"/>
      <c r="W61" s="30"/>
      <c r="X61" s="2"/>
      <c r="Y61" s="2"/>
      <c r="Z61" s="2"/>
      <c r="AA61" s="2"/>
      <c r="AB61" s="2"/>
      <c r="AC61" s="2"/>
      <c r="AD61" s="2"/>
    </row>
    <row r="62" spans="1:30" ht="12.5" x14ac:dyDescent="0.25">
      <c r="A62" s="2"/>
      <c r="B62" s="2"/>
      <c r="C62" s="11"/>
      <c r="D62" s="337"/>
      <c r="E62" s="277"/>
      <c r="F62" s="277"/>
      <c r="G62" s="277"/>
      <c r="H62" s="277"/>
      <c r="I62" s="338"/>
      <c r="J62" s="111"/>
      <c r="K62" s="316"/>
      <c r="L62" s="232"/>
      <c r="M62" s="316"/>
      <c r="N62" s="232"/>
      <c r="O62" s="317"/>
      <c r="P62" s="232"/>
      <c r="Q62" s="274"/>
      <c r="R62" s="245"/>
      <c r="S62" s="245"/>
      <c r="T62" s="245"/>
      <c r="U62" s="245"/>
      <c r="V62" s="246"/>
      <c r="W62" s="30"/>
      <c r="X62" s="2"/>
      <c r="Y62" s="2"/>
      <c r="Z62" s="2"/>
      <c r="AA62" s="2"/>
      <c r="AB62" s="2"/>
      <c r="AC62" s="2"/>
      <c r="AD62" s="2"/>
    </row>
    <row r="63" spans="1:30" ht="12.5" x14ac:dyDescent="0.25">
      <c r="A63" s="2"/>
      <c r="B63" s="2"/>
      <c r="C63" s="11"/>
      <c r="D63" s="336"/>
      <c r="E63" s="277"/>
      <c r="F63" s="277"/>
      <c r="G63" s="277"/>
      <c r="H63" s="277"/>
      <c r="I63" s="142"/>
      <c r="J63" s="3"/>
      <c r="K63" s="314"/>
      <c r="L63" s="142"/>
      <c r="M63" s="314"/>
      <c r="N63" s="142"/>
      <c r="O63" s="320"/>
      <c r="P63" s="236"/>
      <c r="Q63" s="318"/>
      <c r="R63" s="245"/>
      <c r="S63" s="245"/>
      <c r="T63" s="245"/>
      <c r="U63" s="245"/>
      <c r="V63" s="246"/>
      <c r="W63" s="30"/>
      <c r="X63" s="2"/>
      <c r="Y63" s="2"/>
      <c r="Z63" s="2"/>
      <c r="AA63" s="2"/>
      <c r="AB63" s="2"/>
      <c r="AC63" s="2"/>
      <c r="AD63" s="2"/>
    </row>
    <row r="64" spans="1:30" ht="14" x14ac:dyDescent="0.3">
      <c r="A64" s="2"/>
      <c r="B64" s="2"/>
      <c r="C64" s="11"/>
      <c r="D64" s="337"/>
      <c r="E64" s="277"/>
      <c r="F64" s="277"/>
      <c r="G64" s="277"/>
      <c r="H64" s="277"/>
      <c r="I64" s="338"/>
      <c r="J64" s="111"/>
      <c r="K64" s="316"/>
      <c r="L64" s="232"/>
      <c r="M64" s="316"/>
      <c r="N64" s="232"/>
      <c r="O64" s="321"/>
      <c r="P64" s="232"/>
      <c r="Q64" s="274"/>
      <c r="R64" s="245"/>
      <c r="S64" s="245"/>
      <c r="T64" s="245"/>
      <c r="U64" s="245"/>
      <c r="V64" s="246"/>
      <c r="W64" s="30"/>
      <c r="X64" s="2"/>
      <c r="Y64" s="2"/>
      <c r="Z64" s="2"/>
      <c r="AA64" s="2"/>
      <c r="AB64" s="2"/>
      <c r="AC64" s="2"/>
      <c r="AD64" s="2"/>
    </row>
    <row r="65" spans="1:30" ht="12.5" x14ac:dyDescent="0.25">
      <c r="A65" s="2"/>
      <c r="B65" s="2"/>
      <c r="C65" s="11"/>
      <c r="D65" s="93"/>
      <c r="E65" s="2"/>
      <c r="F65" s="2"/>
      <c r="G65" s="2"/>
      <c r="H65" s="2"/>
      <c r="I65" s="2"/>
      <c r="J65" s="3"/>
      <c r="K65" s="314"/>
      <c r="L65" s="142"/>
      <c r="M65" s="314"/>
      <c r="N65" s="142"/>
      <c r="O65" s="320"/>
      <c r="P65" s="236"/>
      <c r="Q65" s="318"/>
      <c r="R65" s="245"/>
      <c r="S65" s="245"/>
      <c r="T65" s="245"/>
      <c r="U65" s="245"/>
      <c r="V65" s="246"/>
      <c r="W65" s="30"/>
      <c r="X65" s="2"/>
      <c r="Y65" s="2"/>
      <c r="Z65" s="2"/>
      <c r="AA65" s="2"/>
      <c r="AB65" s="2"/>
      <c r="AC65" s="2"/>
      <c r="AD65" s="2"/>
    </row>
    <row r="66" spans="1:30" ht="12.5" x14ac:dyDescent="0.25">
      <c r="A66" s="2"/>
      <c r="B66" s="2"/>
      <c r="C66" s="11"/>
      <c r="D66" s="337"/>
      <c r="E66" s="277"/>
      <c r="F66" s="277"/>
      <c r="G66" s="277"/>
      <c r="H66" s="277"/>
      <c r="I66" s="338"/>
      <c r="J66" s="111"/>
      <c r="K66" s="316"/>
      <c r="L66" s="232"/>
      <c r="M66" s="316"/>
      <c r="N66" s="232"/>
      <c r="O66" s="317"/>
      <c r="P66" s="232"/>
      <c r="Q66" s="274"/>
      <c r="R66" s="245"/>
      <c r="S66" s="245"/>
      <c r="T66" s="245"/>
      <c r="U66" s="245"/>
      <c r="V66" s="246"/>
      <c r="W66" s="30"/>
      <c r="X66" s="2"/>
      <c r="Y66" s="2"/>
      <c r="Z66" s="2"/>
      <c r="AA66" s="2"/>
      <c r="AB66" s="2"/>
      <c r="AC66" s="2"/>
      <c r="AD66" s="2"/>
    </row>
    <row r="67" spans="1:30" ht="12.5" x14ac:dyDescent="0.25">
      <c r="A67" s="2"/>
      <c r="B67" s="2"/>
      <c r="C67" s="11"/>
      <c r="D67" s="93"/>
      <c r="E67" s="2"/>
      <c r="F67" s="2"/>
      <c r="G67" s="2"/>
      <c r="H67" s="2"/>
      <c r="I67" s="2"/>
      <c r="J67" s="3"/>
      <c r="K67" s="314"/>
      <c r="L67" s="142"/>
      <c r="M67" s="314"/>
      <c r="N67" s="142"/>
      <c r="O67" s="320"/>
      <c r="P67" s="236"/>
      <c r="Q67" s="318"/>
      <c r="R67" s="245"/>
      <c r="S67" s="245"/>
      <c r="T67" s="245"/>
      <c r="U67" s="245"/>
      <c r="V67" s="246"/>
      <c r="W67" s="30"/>
      <c r="X67" s="2"/>
      <c r="Y67" s="2"/>
      <c r="Z67" s="2"/>
      <c r="AA67" s="2"/>
      <c r="AB67" s="2"/>
      <c r="AC67" s="2"/>
      <c r="AD67" s="2"/>
    </row>
    <row r="68" spans="1:30" ht="12.5" x14ac:dyDescent="0.25">
      <c r="A68" s="2"/>
      <c r="B68" s="2"/>
      <c r="C68" s="11"/>
      <c r="D68" s="337"/>
      <c r="E68" s="277"/>
      <c r="F68" s="277"/>
      <c r="G68" s="277"/>
      <c r="H68" s="277"/>
      <c r="I68" s="338"/>
      <c r="J68" s="111"/>
      <c r="K68" s="316"/>
      <c r="L68" s="232"/>
      <c r="M68" s="316"/>
      <c r="N68" s="232"/>
      <c r="O68" s="317"/>
      <c r="P68" s="232"/>
      <c r="Q68" s="274"/>
      <c r="R68" s="245"/>
      <c r="S68" s="245"/>
      <c r="T68" s="245"/>
      <c r="U68" s="245"/>
      <c r="V68" s="246"/>
      <c r="W68" s="30"/>
      <c r="X68" s="2"/>
      <c r="Y68" s="2"/>
      <c r="Z68" s="2"/>
      <c r="AA68" s="2"/>
      <c r="AB68" s="2"/>
      <c r="AC68" s="2"/>
      <c r="AD68" s="2"/>
    </row>
    <row r="69" spans="1:30" ht="12.5" x14ac:dyDescent="0.25">
      <c r="A69" s="2"/>
      <c r="B69" s="2"/>
      <c r="C69" s="11"/>
      <c r="D69" s="93"/>
      <c r="E69" s="2"/>
      <c r="F69" s="2"/>
      <c r="G69" s="2"/>
      <c r="H69" s="2"/>
      <c r="I69" s="2"/>
      <c r="J69" s="3"/>
      <c r="K69" s="314"/>
      <c r="L69" s="142"/>
      <c r="M69" s="314"/>
      <c r="N69" s="142"/>
      <c r="O69" s="320"/>
      <c r="P69" s="236"/>
      <c r="Q69" s="318"/>
      <c r="R69" s="245"/>
      <c r="S69" s="245"/>
      <c r="T69" s="245"/>
      <c r="U69" s="245"/>
      <c r="V69" s="246"/>
      <c r="W69" s="30"/>
      <c r="X69" s="2"/>
      <c r="Y69" s="2"/>
      <c r="Z69" s="2"/>
      <c r="AA69" s="2"/>
      <c r="AB69" s="2"/>
      <c r="AC69" s="2"/>
      <c r="AD69" s="2"/>
    </row>
    <row r="70" spans="1:30" ht="12.5" x14ac:dyDescent="0.25">
      <c r="A70" s="2"/>
      <c r="B70" s="2"/>
      <c r="C70" s="11"/>
      <c r="D70" s="337"/>
      <c r="E70" s="277"/>
      <c r="F70" s="277"/>
      <c r="G70" s="277"/>
      <c r="H70" s="277"/>
      <c r="I70" s="338"/>
      <c r="J70" s="111"/>
      <c r="K70" s="316"/>
      <c r="L70" s="232"/>
      <c r="M70" s="316"/>
      <c r="N70" s="232"/>
      <c r="O70" s="317"/>
      <c r="P70" s="232"/>
      <c r="Q70" s="274"/>
      <c r="R70" s="245"/>
      <c r="S70" s="245"/>
      <c r="T70" s="245"/>
      <c r="U70" s="245"/>
      <c r="V70" s="246"/>
      <c r="W70" s="30"/>
      <c r="X70" s="2"/>
      <c r="Y70" s="2"/>
      <c r="Z70" s="2"/>
      <c r="AA70" s="2"/>
      <c r="AB70" s="2"/>
      <c r="AC70" s="2"/>
      <c r="AD70" s="2"/>
    </row>
    <row r="71" spans="1:30" ht="12.5" x14ac:dyDescent="0.25">
      <c r="A71" s="2"/>
      <c r="B71" s="2"/>
      <c r="C71" s="11"/>
      <c r="D71" s="93"/>
      <c r="E71" s="2"/>
      <c r="F71" s="2"/>
      <c r="G71" s="2"/>
      <c r="H71" s="2"/>
      <c r="I71" s="2"/>
      <c r="J71" s="3"/>
      <c r="K71" s="314"/>
      <c r="L71" s="142"/>
      <c r="M71" s="314"/>
      <c r="N71" s="142"/>
      <c r="O71" s="320"/>
      <c r="P71" s="236"/>
      <c r="Q71" s="318"/>
      <c r="R71" s="245"/>
      <c r="S71" s="245"/>
      <c r="T71" s="245"/>
      <c r="U71" s="245"/>
      <c r="V71" s="246"/>
      <c r="W71" s="30"/>
      <c r="X71" s="2"/>
      <c r="Y71" s="2"/>
      <c r="Z71" s="2"/>
      <c r="AA71" s="2"/>
      <c r="AB71" s="2"/>
      <c r="AC71" s="2"/>
      <c r="AD71" s="2"/>
    </row>
    <row r="72" spans="1:30" ht="12.5" x14ac:dyDescent="0.25">
      <c r="A72" s="2"/>
      <c r="B72" s="2"/>
      <c r="C72" s="11"/>
      <c r="D72" s="337"/>
      <c r="E72" s="277"/>
      <c r="F72" s="277"/>
      <c r="G72" s="277"/>
      <c r="H72" s="277"/>
      <c r="I72" s="338"/>
      <c r="J72" s="111"/>
      <c r="K72" s="316"/>
      <c r="L72" s="232"/>
      <c r="M72" s="316"/>
      <c r="N72" s="232"/>
      <c r="O72" s="317"/>
      <c r="P72" s="232"/>
      <c r="Q72" s="274"/>
      <c r="R72" s="245"/>
      <c r="S72" s="245"/>
      <c r="T72" s="245"/>
      <c r="U72" s="245"/>
      <c r="V72" s="246"/>
      <c r="W72" s="30"/>
      <c r="X72" s="2"/>
      <c r="Y72" s="2"/>
      <c r="Z72" s="2"/>
      <c r="AA72" s="2"/>
      <c r="AB72" s="2"/>
      <c r="AC72" s="2"/>
      <c r="AD72" s="2"/>
    </row>
    <row r="73" spans="1:30" ht="12.5" x14ac:dyDescent="0.25">
      <c r="A73" s="2"/>
      <c r="B73" s="2"/>
      <c r="C73" s="11"/>
      <c r="D73" s="93"/>
      <c r="E73" s="2"/>
      <c r="F73" s="2"/>
      <c r="G73" s="2"/>
      <c r="H73" s="2"/>
      <c r="I73" s="2"/>
      <c r="J73" s="3"/>
      <c r="K73" s="314"/>
      <c r="L73" s="142"/>
      <c r="M73" s="314"/>
      <c r="N73" s="142"/>
      <c r="O73" s="320"/>
      <c r="P73" s="236"/>
      <c r="Q73" s="318"/>
      <c r="R73" s="245"/>
      <c r="S73" s="245"/>
      <c r="T73" s="245"/>
      <c r="U73" s="245"/>
      <c r="V73" s="246"/>
      <c r="W73" s="30"/>
      <c r="X73" s="2"/>
      <c r="Y73" s="2"/>
      <c r="Z73" s="2"/>
      <c r="AA73" s="2"/>
      <c r="AB73" s="2"/>
      <c r="AC73" s="2"/>
      <c r="AD73" s="2"/>
    </row>
    <row r="74" spans="1:30" ht="12.5" x14ac:dyDescent="0.25">
      <c r="A74" s="2"/>
      <c r="B74" s="2"/>
      <c r="C74" s="11"/>
      <c r="D74" s="337"/>
      <c r="E74" s="277"/>
      <c r="F74" s="277"/>
      <c r="G74" s="277"/>
      <c r="H74" s="277"/>
      <c r="I74" s="338"/>
      <c r="J74" s="111"/>
      <c r="K74" s="316"/>
      <c r="L74" s="232"/>
      <c r="M74" s="316"/>
      <c r="N74" s="232"/>
      <c r="O74" s="317"/>
      <c r="P74" s="232"/>
      <c r="Q74" s="274"/>
      <c r="R74" s="245"/>
      <c r="S74" s="245"/>
      <c r="T74" s="245"/>
      <c r="U74" s="245"/>
      <c r="V74" s="246"/>
      <c r="W74" s="30"/>
      <c r="X74" s="2"/>
      <c r="Y74" s="2"/>
      <c r="Z74" s="2"/>
      <c r="AA74" s="2"/>
      <c r="AB74" s="2"/>
      <c r="AC74" s="2"/>
      <c r="AD74" s="2"/>
    </row>
    <row r="75" spans="1:30" ht="12.5" x14ac:dyDescent="0.25">
      <c r="A75" s="2"/>
      <c r="B75" s="2"/>
      <c r="C75" s="11"/>
      <c r="D75" s="93"/>
      <c r="E75" s="2"/>
      <c r="F75" s="2"/>
      <c r="G75" s="2"/>
      <c r="H75" s="2"/>
      <c r="I75" s="2"/>
      <c r="J75" s="3"/>
      <c r="K75" s="314"/>
      <c r="L75" s="142"/>
      <c r="M75" s="314"/>
      <c r="N75" s="142"/>
      <c r="O75" s="320"/>
      <c r="P75" s="236"/>
      <c r="Q75" s="318"/>
      <c r="R75" s="245"/>
      <c r="S75" s="245"/>
      <c r="T75" s="245"/>
      <c r="U75" s="245"/>
      <c r="V75" s="246"/>
      <c r="W75" s="30"/>
      <c r="X75" s="2"/>
      <c r="Y75" s="2"/>
      <c r="Z75" s="2"/>
      <c r="AA75" s="2"/>
      <c r="AB75" s="2"/>
      <c r="AC75" s="2"/>
      <c r="AD75" s="2"/>
    </row>
    <row r="76" spans="1:30" ht="12.5" x14ac:dyDescent="0.25">
      <c r="A76" s="2"/>
      <c r="B76" s="2"/>
      <c r="C76" s="11"/>
      <c r="D76" s="337"/>
      <c r="E76" s="277"/>
      <c r="F76" s="277"/>
      <c r="G76" s="277"/>
      <c r="H76" s="277"/>
      <c r="I76" s="338"/>
      <c r="J76" s="111"/>
      <c r="K76" s="316"/>
      <c r="L76" s="232"/>
      <c r="M76" s="316"/>
      <c r="N76" s="232"/>
      <c r="O76" s="317"/>
      <c r="P76" s="232"/>
      <c r="Q76" s="274"/>
      <c r="R76" s="245"/>
      <c r="S76" s="245"/>
      <c r="T76" s="245"/>
      <c r="U76" s="245"/>
      <c r="V76" s="246"/>
      <c r="W76" s="30"/>
      <c r="X76" s="2"/>
      <c r="Y76" s="2"/>
      <c r="Z76" s="2"/>
      <c r="AA76" s="2"/>
      <c r="AB76" s="2"/>
      <c r="AC76" s="2"/>
      <c r="AD76" s="2"/>
    </row>
    <row r="77" spans="1:30" ht="12.5" x14ac:dyDescent="0.25">
      <c r="A77" s="2"/>
      <c r="B77" s="2"/>
      <c r="C77" s="11"/>
      <c r="D77" s="93"/>
      <c r="E77" s="2"/>
      <c r="F77" s="2"/>
      <c r="G77" s="2"/>
      <c r="H77" s="2"/>
      <c r="I77" s="2"/>
      <c r="J77" s="3"/>
      <c r="K77" s="314"/>
      <c r="L77" s="142"/>
      <c r="M77" s="314"/>
      <c r="N77" s="142"/>
      <c r="O77" s="320"/>
      <c r="P77" s="236"/>
      <c r="Q77" s="318"/>
      <c r="R77" s="245"/>
      <c r="S77" s="245"/>
      <c r="T77" s="245"/>
      <c r="U77" s="245"/>
      <c r="V77" s="246"/>
      <c r="W77" s="30"/>
      <c r="X77" s="2"/>
      <c r="Y77" s="2"/>
      <c r="Z77" s="2"/>
      <c r="AA77" s="2"/>
      <c r="AB77" s="2"/>
      <c r="AC77" s="2"/>
      <c r="AD77" s="2"/>
    </row>
    <row r="78" spans="1:30" ht="12.5" x14ac:dyDescent="0.25">
      <c r="A78" s="2"/>
      <c r="B78" s="2"/>
      <c r="C78" s="11"/>
      <c r="D78" s="337"/>
      <c r="E78" s="277"/>
      <c r="F78" s="277"/>
      <c r="G78" s="277"/>
      <c r="H78" s="277"/>
      <c r="I78" s="338"/>
      <c r="J78" s="111"/>
      <c r="K78" s="316"/>
      <c r="L78" s="232"/>
      <c r="M78" s="316"/>
      <c r="N78" s="232"/>
      <c r="O78" s="317"/>
      <c r="P78" s="232"/>
      <c r="Q78" s="274"/>
      <c r="R78" s="245"/>
      <c r="S78" s="245"/>
      <c r="T78" s="245"/>
      <c r="U78" s="245"/>
      <c r="V78" s="246"/>
      <c r="W78" s="30"/>
      <c r="X78" s="2"/>
      <c r="Y78" s="2"/>
      <c r="Z78" s="2"/>
      <c r="AA78" s="2"/>
      <c r="AB78" s="2"/>
      <c r="AC78" s="2"/>
      <c r="AD78" s="2"/>
    </row>
    <row r="79" spans="1:30" ht="12.5" x14ac:dyDescent="0.25">
      <c r="A79" s="2"/>
      <c r="B79" s="2"/>
      <c r="C79" s="11"/>
      <c r="D79" s="93"/>
      <c r="E79" s="2"/>
      <c r="F79" s="2"/>
      <c r="G79" s="2"/>
      <c r="H79" s="2"/>
      <c r="I79" s="2"/>
      <c r="J79" s="3"/>
      <c r="K79" s="314"/>
      <c r="L79" s="142"/>
      <c r="M79" s="314"/>
      <c r="N79" s="142"/>
      <c r="O79" s="320"/>
      <c r="P79" s="236"/>
      <c r="Q79" s="318"/>
      <c r="R79" s="245"/>
      <c r="S79" s="245"/>
      <c r="T79" s="245"/>
      <c r="U79" s="245"/>
      <c r="V79" s="246"/>
      <c r="W79" s="30"/>
      <c r="X79" s="2"/>
      <c r="Y79" s="2"/>
      <c r="Z79" s="2"/>
      <c r="AA79" s="2"/>
      <c r="AB79" s="2"/>
      <c r="AC79" s="2"/>
      <c r="AD79" s="2"/>
    </row>
    <row r="80" spans="1:30" ht="12.5" x14ac:dyDescent="0.25">
      <c r="A80" s="2"/>
      <c r="B80" s="2"/>
      <c r="C80" s="11"/>
      <c r="D80" s="337"/>
      <c r="E80" s="277"/>
      <c r="F80" s="277"/>
      <c r="G80" s="277"/>
      <c r="H80" s="277"/>
      <c r="I80" s="338"/>
      <c r="J80" s="111"/>
      <c r="K80" s="316"/>
      <c r="L80" s="232"/>
      <c r="M80" s="316"/>
      <c r="N80" s="232"/>
      <c r="O80" s="317"/>
      <c r="P80" s="232"/>
      <c r="Q80" s="274"/>
      <c r="R80" s="245"/>
      <c r="S80" s="245"/>
      <c r="T80" s="245"/>
      <c r="U80" s="245"/>
      <c r="V80" s="246"/>
      <c r="W80" s="30"/>
      <c r="X80" s="2"/>
      <c r="Y80" s="2"/>
      <c r="Z80" s="2"/>
      <c r="AA80" s="2"/>
      <c r="AB80" s="2"/>
      <c r="AC80" s="2"/>
      <c r="AD80" s="2"/>
    </row>
    <row r="81" spans="1:30" ht="12.5" x14ac:dyDescent="0.25">
      <c r="A81" s="2"/>
      <c r="B81" s="2"/>
      <c r="C81" s="11"/>
      <c r="D81" s="93"/>
      <c r="E81" s="2"/>
      <c r="F81" s="2"/>
      <c r="G81" s="2"/>
      <c r="H81" s="2"/>
      <c r="I81" s="2"/>
      <c r="J81" s="3"/>
      <c r="K81" s="314"/>
      <c r="L81" s="142"/>
      <c r="M81" s="314"/>
      <c r="N81" s="142"/>
      <c r="O81" s="320"/>
      <c r="P81" s="236"/>
      <c r="Q81" s="318"/>
      <c r="R81" s="245"/>
      <c r="S81" s="245"/>
      <c r="T81" s="245"/>
      <c r="U81" s="245"/>
      <c r="V81" s="246"/>
      <c r="W81" s="30"/>
      <c r="X81" s="2"/>
      <c r="Y81" s="2"/>
      <c r="Z81" s="2"/>
      <c r="AA81" s="2"/>
      <c r="AB81" s="2"/>
      <c r="AC81" s="2"/>
      <c r="AD81" s="2"/>
    </row>
    <row r="82" spans="1:30" ht="12.5" x14ac:dyDescent="0.25">
      <c r="A82" s="2"/>
      <c r="B82" s="2"/>
      <c r="C82" s="11"/>
      <c r="D82" s="337"/>
      <c r="E82" s="277"/>
      <c r="F82" s="277"/>
      <c r="G82" s="277"/>
      <c r="H82" s="277"/>
      <c r="I82" s="338"/>
      <c r="J82" s="111"/>
      <c r="K82" s="316"/>
      <c r="L82" s="232"/>
      <c r="M82" s="316"/>
      <c r="N82" s="232"/>
      <c r="O82" s="317"/>
      <c r="P82" s="232"/>
      <c r="Q82" s="274"/>
      <c r="R82" s="245"/>
      <c r="S82" s="245"/>
      <c r="T82" s="245"/>
      <c r="U82" s="245"/>
      <c r="V82" s="246"/>
      <c r="W82" s="30"/>
      <c r="X82" s="2"/>
      <c r="Y82" s="2"/>
      <c r="Z82" s="2"/>
      <c r="AA82" s="2"/>
      <c r="AB82" s="2"/>
      <c r="AC82" s="2"/>
      <c r="AD82" s="2"/>
    </row>
    <row r="83" spans="1:30" ht="12.5" x14ac:dyDescent="0.25">
      <c r="A83" s="2"/>
      <c r="B83" s="2"/>
      <c r="C83" s="11"/>
      <c r="D83" s="93"/>
      <c r="E83" s="2"/>
      <c r="F83" s="2"/>
      <c r="G83" s="2"/>
      <c r="H83" s="2"/>
      <c r="I83" s="2"/>
      <c r="J83" s="3"/>
      <c r="K83" s="314"/>
      <c r="L83" s="142"/>
      <c r="M83" s="314"/>
      <c r="N83" s="142"/>
      <c r="O83" s="320"/>
      <c r="P83" s="236"/>
      <c r="Q83" s="318"/>
      <c r="R83" s="245"/>
      <c r="S83" s="245"/>
      <c r="T83" s="245"/>
      <c r="U83" s="245"/>
      <c r="V83" s="246"/>
      <c r="W83" s="30"/>
      <c r="X83" s="2"/>
      <c r="Y83" s="2"/>
      <c r="Z83" s="2"/>
      <c r="AA83" s="2"/>
      <c r="AB83" s="2"/>
      <c r="AC83" s="2"/>
      <c r="AD83" s="2"/>
    </row>
    <row r="84" spans="1:30" ht="12.5" x14ac:dyDescent="0.25">
      <c r="A84" s="2"/>
      <c r="B84" s="2"/>
      <c r="C84" s="11"/>
      <c r="D84" s="337"/>
      <c r="E84" s="277"/>
      <c r="F84" s="277"/>
      <c r="G84" s="277"/>
      <c r="H84" s="277"/>
      <c r="I84" s="338"/>
      <c r="J84" s="111"/>
      <c r="K84" s="316"/>
      <c r="L84" s="232"/>
      <c r="M84" s="316"/>
      <c r="N84" s="232"/>
      <c r="O84" s="317"/>
      <c r="P84" s="232"/>
      <c r="Q84" s="274"/>
      <c r="R84" s="245"/>
      <c r="S84" s="245"/>
      <c r="T84" s="245"/>
      <c r="U84" s="245"/>
      <c r="V84" s="246"/>
      <c r="W84" s="30"/>
      <c r="X84" s="2"/>
      <c r="Y84" s="2"/>
      <c r="Z84" s="2"/>
      <c r="AA84" s="2"/>
      <c r="AB84" s="2"/>
      <c r="AC84" s="2"/>
      <c r="AD84" s="2"/>
    </row>
    <row r="85" spans="1:30" ht="12.5" x14ac:dyDescent="0.25">
      <c r="A85" s="2"/>
      <c r="B85" s="2"/>
      <c r="C85" s="11"/>
      <c r="D85" s="93"/>
      <c r="E85" s="2"/>
      <c r="F85" s="2"/>
      <c r="G85" s="2"/>
      <c r="H85" s="2"/>
      <c r="I85" s="2"/>
      <c r="J85" s="3"/>
      <c r="K85" s="314"/>
      <c r="L85" s="142"/>
      <c r="M85" s="314"/>
      <c r="N85" s="142"/>
      <c r="O85" s="320"/>
      <c r="P85" s="236"/>
      <c r="Q85" s="318"/>
      <c r="R85" s="245"/>
      <c r="S85" s="245"/>
      <c r="T85" s="245"/>
      <c r="U85" s="245"/>
      <c r="V85" s="246"/>
      <c r="W85" s="30"/>
      <c r="X85" s="2"/>
      <c r="Y85" s="2"/>
      <c r="Z85" s="2"/>
      <c r="AA85" s="2"/>
      <c r="AB85" s="2"/>
      <c r="AC85" s="2"/>
      <c r="AD85" s="2"/>
    </row>
    <row r="86" spans="1:30" ht="12.5" x14ac:dyDescent="0.25">
      <c r="A86" s="2"/>
      <c r="B86" s="2"/>
      <c r="C86" s="11"/>
      <c r="D86" s="337"/>
      <c r="E86" s="277"/>
      <c r="F86" s="277"/>
      <c r="G86" s="277"/>
      <c r="H86" s="277"/>
      <c r="I86" s="338"/>
      <c r="J86" s="111"/>
      <c r="K86" s="316"/>
      <c r="L86" s="232"/>
      <c r="M86" s="316"/>
      <c r="N86" s="232"/>
      <c r="O86" s="317"/>
      <c r="P86" s="232"/>
      <c r="Q86" s="274"/>
      <c r="R86" s="245"/>
      <c r="S86" s="245"/>
      <c r="T86" s="245"/>
      <c r="U86" s="245"/>
      <c r="V86" s="246"/>
      <c r="W86" s="30"/>
      <c r="X86" s="2"/>
      <c r="Y86" s="2"/>
      <c r="Z86" s="2"/>
      <c r="AA86" s="2"/>
      <c r="AB86" s="2"/>
      <c r="AC86" s="2"/>
      <c r="AD86" s="2"/>
    </row>
    <row r="87" spans="1:30" ht="12.5" x14ac:dyDescent="0.25">
      <c r="A87" s="2"/>
      <c r="B87" s="2"/>
      <c r="C87" s="11"/>
      <c r="D87" s="93"/>
      <c r="E87" s="2"/>
      <c r="F87" s="2"/>
      <c r="G87" s="2"/>
      <c r="H87" s="2"/>
      <c r="I87" s="2"/>
      <c r="J87" s="3"/>
      <c r="K87" s="314"/>
      <c r="L87" s="142"/>
      <c r="M87" s="314"/>
      <c r="N87" s="142"/>
      <c r="O87" s="320"/>
      <c r="P87" s="236"/>
      <c r="Q87" s="318"/>
      <c r="R87" s="245"/>
      <c r="S87" s="245"/>
      <c r="T87" s="245"/>
      <c r="U87" s="245"/>
      <c r="V87" s="246"/>
      <c r="W87" s="30"/>
      <c r="X87" s="2"/>
      <c r="Y87" s="2"/>
      <c r="Z87" s="2"/>
      <c r="AA87" s="2"/>
      <c r="AB87" s="2"/>
      <c r="AC87" s="2"/>
      <c r="AD87" s="2"/>
    </row>
    <row r="88" spans="1:30" ht="12.5" x14ac:dyDescent="0.25">
      <c r="A88" s="2"/>
      <c r="B88" s="2"/>
      <c r="C88" s="11"/>
      <c r="D88" s="337"/>
      <c r="E88" s="277"/>
      <c r="F88" s="277"/>
      <c r="G88" s="277"/>
      <c r="H88" s="277"/>
      <c r="I88" s="338"/>
      <c r="J88" s="111"/>
      <c r="K88" s="316"/>
      <c r="L88" s="232"/>
      <c r="M88" s="316"/>
      <c r="N88" s="232"/>
      <c r="O88" s="317"/>
      <c r="P88" s="232"/>
      <c r="Q88" s="274"/>
      <c r="R88" s="245"/>
      <c r="S88" s="245"/>
      <c r="T88" s="245"/>
      <c r="U88" s="245"/>
      <c r="V88" s="246"/>
      <c r="W88" s="30"/>
      <c r="X88" s="2"/>
      <c r="Y88" s="2"/>
      <c r="Z88" s="2"/>
      <c r="AA88" s="2"/>
      <c r="AB88" s="2"/>
      <c r="AC88" s="2"/>
      <c r="AD88" s="2"/>
    </row>
    <row r="89" spans="1:30" ht="12.5" x14ac:dyDescent="0.25">
      <c r="A89" s="2"/>
      <c r="B89" s="2"/>
      <c r="C89" s="11"/>
      <c r="D89" s="93"/>
      <c r="E89" s="2"/>
      <c r="F89" s="2"/>
      <c r="G89" s="2"/>
      <c r="H89" s="2"/>
      <c r="I89" s="2"/>
      <c r="J89" s="3"/>
      <c r="K89" s="314"/>
      <c r="L89" s="142"/>
      <c r="M89" s="314"/>
      <c r="N89" s="142"/>
      <c r="O89" s="320"/>
      <c r="P89" s="236"/>
      <c r="Q89" s="318"/>
      <c r="R89" s="245"/>
      <c r="S89" s="245"/>
      <c r="T89" s="245"/>
      <c r="U89" s="245"/>
      <c r="V89" s="246"/>
      <c r="W89" s="30"/>
      <c r="X89" s="2"/>
      <c r="Y89" s="2"/>
      <c r="Z89" s="2"/>
      <c r="AA89" s="2"/>
      <c r="AB89" s="2"/>
      <c r="AC89" s="2"/>
      <c r="AD89" s="2"/>
    </row>
    <row r="90" spans="1:30" ht="12.5" x14ac:dyDescent="0.25">
      <c r="A90" s="2"/>
      <c r="B90" s="2"/>
      <c r="C90" s="11"/>
      <c r="D90" s="337"/>
      <c r="E90" s="277"/>
      <c r="F90" s="277"/>
      <c r="G90" s="277"/>
      <c r="H90" s="277"/>
      <c r="I90" s="338"/>
      <c r="J90" s="111"/>
      <c r="K90" s="316"/>
      <c r="L90" s="232"/>
      <c r="M90" s="316"/>
      <c r="N90" s="232"/>
      <c r="O90" s="317"/>
      <c r="P90" s="232"/>
      <c r="Q90" s="274"/>
      <c r="R90" s="245"/>
      <c r="S90" s="245"/>
      <c r="T90" s="245"/>
      <c r="U90" s="245"/>
      <c r="V90" s="246"/>
      <c r="W90" s="30"/>
      <c r="X90" s="2"/>
      <c r="Y90" s="2"/>
      <c r="Z90" s="2"/>
      <c r="AA90" s="2"/>
      <c r="AB90" s="2"/>
      <c r="AC90" s="2"/>
      <c r="AD90" s="2"/>
    </row>
    <row r="91" spans="1:30" ht="12.5" x14ac:dyDescent="0.25">
      <c r="A91" s="2"/>
      <c r="B91" s="2"/>
      <c r="C91" s="11"/>
      <c r="D91" s="93"/>
      <c r="E91" s="2"/>
      <c r="F91" s="2"/>
      <c r="G91" s="2"/>
      <c r="H91" s="2"/>
      <c r="I91" s="2"/>
      <c r="J91" s="3"/>
      <c r="K91" s="314"/>
      <c r="L91" s="142"/>
      <c r="M91" s="314"/>
      <c r="N91" s="142"/>
      <c r="O91" s="320"/>
      <c r="P91" s="236"/>
      <c r="Q91" s="318"/>
      <c r="R91" s="245"/>
      <c r="S91" s="245"/>
      <c r="T91" s="245"/>
      <c r="U91" s="245"/>
      <c r="V91" s="246"/>
      <c r="W91" s="30"/>
      <c r="X91" s="2"/>
      <c r="Y91" s="2"/>
      <c r="Z91" s="2"/>
      <c r="AA91" s="2"/>
      <c r="AB91" s="2"/>
      <c r="AC91" s="2"/>
      <c r="AD91" s="2"/>
    </row>
    <row r="92" spans="1:30" ht="12.5" x14ac:dyDescent="0.25">
      <c r="A92" s="2"/>
      <c r="B92" s="2"/>
      <c r="C92" s="11"/>
      <c r="D92" s="337"/>
      <c r="E92" s="277"/>
      <c r="F92" s="277"/>
      <c r="G92" s="277"/>
      <c r="H92" s="277"/>
      <c r="I92" s="338"/>
      <c r="J92" s="111"/>
      <c r="K92" s="316"/>
      <c r="L92" s="232"/>
      <c r="M92" s="316"/>
      <c r="N92" s="232"/>
      <c r="O92" s="317"/>
      <c r="P92" s="232"/>
      <c r="Q92" s="274"/>
      <c r="R92" s="245"/>
      <c r="S92" s="245"/>
      <c r="T92" s="245"/>
      <c r="U92" s="245"/>
      <c r="V92" s="246"/>
      <c r="W92" s="30"/>
      <c r="X92" s="2"/>
      <c r="Y92" s="2"/>
      <c r="Z92" s="2"/>
      <c r="AA92" s="2"/>
      <c r="AB92" s="2"/>
      <c r="AC92" s="2"/>
      <c r="AD92" s="2"/>
    </row>
    <row r="93" spans="1:30" ht="12.5" x14ac:dyDescent="0.25">
      <c r="A93" s="2"/>
      <c r="B93" s="2"/>
      <c r="C93" s="11"/>
      <c r="D93" s="93"/>
      <c r="E93" s="2"/>
      <c r="F93" s="2"/>
      <c r="G93" s="2"/>
      <c r="H93" s="2"/>
      <c r="I93" s="2"/>
      <c r="J93" s="3"/>
      <c r="K93" s="314"/>
      <c r="L93" s="142"/>
      <c r="M93" s="314"/>
      <c r="N93" s="142"/>
      <c r="O93" s="320"/>
      <c r="P93" s="236"/>
      <c r="Q93" s="318"/>
      <c r="R93" s="245"/>
      <c r="S93" s="245"/>
      <c r="T93" s="245"/>
      <c r="U93" s="245"/>
      <c r="V93" s="246"/>
      <c r="W93" s="30"/>
      <c r="X93" s="2"/>
      <c r="Y93" s="2"/>
      <c r="Z93" s="2"/>
      <c r="AA93" s="2"/>
      <c r="AB93" s="2"/>
      <c r="AC93" s="2"/>
      <c r="AD93" s="2"/>
    </row>
    <row r="94" spans="1:30" ht="12.5" x14ac:dyDescent="0.25">
      <c r="A94" s="2"/>
      <c r="B94" s="2"/>
      <c r="C94" s="11"/>
      <c r="D94" s="337"/>
      <c r="E94" s="277"/>
      <c r="F94" s="277"/>
      <c r="G94" s="277"/>
      <c r="H94" s="277"/>
      <c r="I94" s="338"/>
      <c r="J94" s="111"/>
      <c r="K94" s="316"/>
      <c r="L94" s="232"/>
      <c r="M94" s="316"/>
      <c r="N94" s="232"/>
      <c r="O94" s="317"/>
      <c r="P94" s="232"/>
      <c r="Q94" s="274"/>
      <c r="R94" s="245"/>
      <c r="S94" s="245"/>
      <c r="T94" s="245"/>
      <c r="U94" s="245"/>
      <c r="V94" s="246"/>
      <c r="W94" s="30"/>
      <c r="X94" s="2"/>
      <c r="Y94" s="2"/>
      <c r="Z94" s="2"/>
      <c r="AA94" s="2"/>
      <c r="AB94" s="2"/>
      <c r="AC94" s="2"/>
      <c r="AD94" s="2"/>
    </row>
    <row r="95" spans="1:30" ht="12.5" x14ac:dyDescent="0.25">
      <c r="A95" s="2"/>
      <c r="B95" s="2"/>
      <c r="C95" s="11"/>
      <c r="D95" s="93"/>
      <c r="E95" s="2"/>
      <c r="F95" s="2"/>
      <c r="G95" s="2"/>
      <c r="H95" s="2"/>
      <c r="I95" s="2"/>
      <c r="J95" s="3"/>
      <c r="K95" s="314"/>
      <c r="L95" s="142"/>
      <c r="M95" s="314"/>
      <c r="N95" s="142"/>
      <c r="O95" s="320"/>
      <c r="P95" s="236"/>
      <c r="Q95" s="318"/>
      <c r="R95" s="245"/>
      <c r="S95" s="245"/>
      <c r="T95" s="245"/>
      <c r="U95" s="245"/>
      <c r="V95" s="246"/>
      <c r="W95" s="30"/>
      <c r="X95" s="2"/>
      <c r="Y95" s="2"/>
      <c r="Z95" s="2"/>
      <c r="AA95" s="2"/>
      <c r="AB95" s="2"/>
      <c r="AC95" s="2"/>
      <c r="AD95" s="2"/>
    </row>
    <row r="96" spans="1:30" ht="12.5" x14ac:dyDescent="0.25">
      <c r="A96" s="2"/>
      <c r="B96" s="2"/>
      <c r="C96" s="11"/>
      <c r="D96" s="337"/>
      <c r="E96" s="277"/>
      <c r="F96" s="277"/>
      <c r="G96" s="277"/>
      <c r="H96" s="277"/>
      <c r="I96" s="338"/>
      <c r="J96" s="111"/>
      <c r="K96" s="316"/>
      <c r="L96" s="232"/>
      <c r="M96" s="316"/>
      <c r="N96" s="232"/>
      <c r="O96" s="317"/>
      <c r="P96" s="232"/>
      <c r="Q96" s="274"/>
      <c r="R96" s="245"/>
      <c r="S96" s="245"/>
      <c r="T96" s="245"/>
      <c r="U96" s="245"/>
      <c r="V96" s="246"/>
      <c r="W96" s="30"/>
      <c r="X96" s="2"/>
      <c r="Y96" s="2"/>
      <c r="Z96" s="2"/>
      <c r="AA96" s="2"/>
      <c r="AB96" s="2"/>
      <c r="AC96" s="2"/>
      <c r="AD96" s="2"/>
    </row>
    <row r="97" spans="1:30" ht="12.5" x14ac:dyDescent="0.25">
      <c r="A97" s="2"/>
      <c r="B97" s="2"/>
      <c r="C97" s="11"/>
      <c r="D97" s="93"/>
      <c r="E97" s="2"/>
      <c r="F97" s="2"/>
      <c r="G97" s="2"/>
      <c r="H97" s="2"/>
      <c r="I97" s="2"/>
      <c r="J97" s="3"/>
      <c r="K97" s="314"/>
      <c r="L97" s="142"/>
      <c r="M97" s="314"/>
      <c r="N97" s="142"/>
      <c r="O97" s="320"/>
      <c r="P97" s="236"/>
      <c r="Q97" s="318"/>
      <c r="R97" s="245"/>
      <c r="S97" s="245"/>
      <c r="T97" s="245"/>
      <c r="U97" s="245"/>
      <c r="V97" s="246"/>
      <c r="W97" s="30"/>
      <c r="X97" s="2"/>
      <c r="Y97" s="2"/>
      <c r="Z97" s="2"/>
      <c r="AA97" s="2"/>
      <c r="AB97" s="2"/>
      <c r="AC97" s="2"/>
      <c r="AD97" s="2"/>
    </row>
    <row r="98" spans="1:30" ht="12.5" x14ac:dyDescent="0.25">
      <c r="A98" s="2"/>
      <c r="B98" s="2"/>
      <c r="C98" s="11"/>
      <c r="D98" s="337"/>
      <c r="E98" s="277"/>
      <c r="F98" s="277"/>
      <c r="G98" s="277"/>
      <c r="H98" s="277"/>
      <c r="I98" s="338"/>
      <c r="J98" s="111"/>
      <c r="K98" s="316"/>
      <c r="L98" s="232"/>
      <c r="M98" s="316"/>
      <c r="N98" s="232"/>
      <c r="O98" s="317"/>
      <c r="P98" s="232"/>
      <c r="Q98" s="274"/>
      <c r="R98" s="245"/>
      <c r="S98" s="245"/>
      <c r="T98" s="245"/>
      <c r="U98" s="245"/>
      <c r="V98" s="246"/>
      <c r="W98" s="30"/>
      <c r="X98" s="2"/>
      <c r="Y98" s="2"/>
      <c r="Z98" s="2"/>
      <c r="AA98" s="2"/>
      <c r="AB98" s="2"/>
      <c r="AC98" s="2"/>
      <c r="AD98" s="2"/>
    </row>
    <row r="99" spans="1:30" ht="12.5" x14ac:dyDescent="0.25">
      <c r="A99" s="2"/>
      <c r="B99" s="2"/>
      <c r="C99" s="11"/>
      <c r="D99" s="93"/>
      <c r="E99" s="2"/>
      <c r="F99" s="2"/>
      <c r="G99" s="2"/>
      <c r="H99" s="2"/>
      <c r="I99" s="2"/>
      <c r="J99" s="3"/>
      <c r="K99" s="314"/>
      <c r="L99" s="142"/>
      <c r="M99" s="314"/>
      <c r="N99" s="142"/>
      <c r="O99" s="320"/>
      <c r="P99" s="236"/>
      <c r="Q99" s="318"/>
      <c r="R99" s="245"/>
      <c r="S99" s="245"/>
      <c r="T99" s="245"/>
      <c r="U99" s="245"/>
      <c r="V99" s="246"/>
      <c r="W99" s="30"/>
      <c r="X99" s="2"/>
      <c r="Y99" s="2"/>
      <c r="Z99" s="2"/>
      <c r="AA99" s="2"/>
      <c r="AB99" s="2"/>
      <c r="AC99" s="2"/>
      <c r="AD99" s="2"/>
    </row>
    <row r="100" spans="1:30" ht="12.5" x14ac:dyDescent="0.25">
      <c r="A100" s="2"/>
      <c r="B100" s="2"/>
      <c r="C100" s="11"/>
      <c r="D100" s="337"/>
      <c r="E100" s="277"/>
      <c r="F100" s="277"/>
      <c r="G100" s="277"/>
      <c r="H100" s="277"/>
      <c r="I100" s="338"/>
      <c r="J100" s="111"/>
      <c r="K100" s="316"/>
      <c r="L100" s="232"/>
      <c r="M100" s="316"/>
      <c r="N100" s="232"/>
      <c r="O100" s="317"/>
      <c r="P100" s="232"/>
      <c r="Q100" s="274"/>
      <c r="R100" s="245"/>
      <c r="S100" s="245"/>
      <c r="T100" s="245"/>
      <c r="U100" s="245"/>
      <c r="V100" s="246"/>
      <c r="W100" s="30"/>
      <c r="X100" s="2"/>
      <c r="Y100" s="2"/>
      <c r="Z100" s="2"/>
      <c r="AA100" s="2"/>
      <c r="AB100" s="2"/>
      <c r="AC100" s="2"/>
      <c r="AD100" s="2"/>
    </row>
    <row r="101" spans="1:30" ht="12.5" x14ac:dyDescent="0.25">
      <c r="A101" s="2"/>
      <c r="B101" s="2"/>
      <c r="C101" s="11"/>
      <c r="D101" s="93"/>
      <c r="E101" s="2"/>
      <c r="F101" s="2"/>
      <c r="G101" s="2"/>
      <c r="H101" s="2"/>
      <c r="I101" s="2"/>
      <c r="J101" s="3"/>
      <c r="K101" s="314"/>
      <c r="L101" s="142"/>
      <c r="M101" s="314"/>
      <c r="N101" s="142"/>
      <c r="O101" s="320"/>
      <c r="P101" s="236"/>
      <c r="Q101" s="318"/>
      <c r="R101" s="245"/>
      <c r="S101" s="245"/>
      <c r="T101" s="245"/>
      <c r="U101" s="245"/>
      <c r="V101" s="246"/>
      <c r="W101" s="30"/>
      <c r="X101" s="2"/>
      <c r="Y101" s="2"/>
      <c r="Z101" s="2"/>
      <c r="AA101" s="2"/>
      <c r="AB101" s="2"/>
      <c r="AC101" s="2"/>
      <c r="AD101" s="2"/>
    </row>
    <row r="102" spans="1:30" ht="12.5" x14ac:dyDescent="0.25">
      <c r="A102" s="2"/>
      <c r="B102" s="2"/>
      <c r="C102" s="11"/>
      <c r="D102" s="337"/>
      <c r="E102" s="277"/>
      <c r="F102" s="277"/>
      <c r="G102" s="277"/>
      <c r="H102" s="277"/>
      <c r="I102" s="338"/>
      <c r="J102" s="111"/>
      <c r="K102" s="316"/>
      <c r="L102" s="232"/>
      <c r="M102" s="316"/>
      <c r="N102" s="232"/>
      <c r="O102" s="317"/>
      <c r="P102" s="232"/>
      <c r="Q102" s="274"/>
      <c r="R102" s="245"/>
      <c r="S102" s="245"/>
      <c r="T102" s="245"/>
      <c r="U102" s="245"/>
      <c r="V102" s="246"/>
      <c r="W102" s="30"/>
      <c r="X102" s="2"/>
      <c r="Y102" s="2"/>
      <c r="Z102" s="2"/>
      <c r="AA102" s="2"/>
      <c r="AB102" s="2"/>
      <c r="AC102" s="2"/>
      <c r="AD102" s="2"/>
    </row>
    <row r="103" spans="1:30" ht="12.5" x14ac:dyDescent="0.25">
      <c r="A103" s="2"/>
      <c r="B103" s="2"/>
      <c r="C103" s="11"/>
      <c r="D103" s="93"/>
      <c r="E103" s="2"/>
      <c r="F103" s="2"/>
      <c r="G103" s="2"/>
      <c r="H103" s="2"/>
      <c r="I103" s="2"/>
      <c r="J103" s="3"/>
      <c r="K103" s="314"/>
      <c r="L103" s="142"/>
      <c r="M103" s="314"/>
      <c r="N103" s="142"/>
      <c r="O103" s="320"/>
      <c r="P103" s="236"/>
      <c r="Q103" s="318"/>
      <c r="R103" s="245"/>
      <c r="S103" s="245"/>
      <c r="T103" s="245"/>
      <c r="U103" s="245"/>
      <c r="V103" s="246"/>
      <c r="W103" s="30"/>
      <c r="X103" s="2"/>
      <c r="Y103" s="2"/>
      <c r="Z103" s="2"/>
      <c r="AA103" s="2"/>
      <c r="AB103" s="2"/>
      <c r="AC103" s="2"/>
      <c r="AD103" s="2"/>
    </row>
    <row r="104" spans="1:30" ht="12.5" x14ac:dyDescent="0.25">
      <c r="A104" s="2"/>
      <c r="B104" s="2"/>
      <c r="C104" s="11"/>
      <c r="D104" s="337"/>
      <c r="E104" s="277"/>
      <c r="F104" s="277"/>
      <c r="G104" s="277"/>
      <c r="H104" s="277"/>
      <c r="I104" s="338"/>
      <c r="J104" s="111"/>
      <c r="K104" s="316"/>
      <c r="L104" s="232"/>
      <c r="M104" s="316"/>
      <c r="N104" s="232"/>
      <c r="O104" s="317"/>
      <c r="P104" s="232"/>
      <c r="Q104" s="274"/>
      <c r="R104" s="245"/>
      <c r="S104" s="245"/>
      <c r="T104" s="245"/>
      <c r="U104" s="245"/>
      <c r="V104" s="246"/>
      <c r="W104" s="30"/>
      <c r="X104" s="2"/>
      <c r="Y104" s="2"/>
      <c r="Z104" s="2"/>
      <c r="AA104" s="2"/>
      <c r="AB104" s="2"/>
      <c r="AC104" s="2"/>
      <c r="AD104" s="2"/>
    </row>
    <row r="105" spans="1:30" ht="12.5" x14ac:dyDescent="0.25">
      <c r="A105" s="2"/>
      <c r="B105" s="2"/>
      <c r="C105" s="11"/>
      <c r="D105" s="93"/>
      <c r="E105" s="2"/>
      <c r="F105" s="2"/>
      <c r="G105" s="2"/>
      <c r="H105" s="2"/>
      <c r="I105" s="2"/>
      <c r="J105" s="3"/>
      <c r="K105" s="314"/>
      <c r="L105" s="142"/>
      <c r="M105" s="314"/>
      <c r="N105" s="142"/>
      <c r="O105" s="320"/>
      <c r="P105" s="236"/>
      <c r="Q105" s="318"/>
      <c r="R105" s="245"/>
      <c r="S105" s="245"/>
      <c r="T105" s="245"/>
      <c r="U105" s="245"/>
      <c r="V105" s="246"/>
      <c r="W105" s="30"/>
      <c r="X105" s="2"/>
      <c r="Y105" s="2"/>
      <c r="Z105" s="2"/>
      <c r="AA105" s="2"/>
      <c r="AB105" s="2"/>
      <c r="AC105" s="2"/>
      <c r="AD105" s="2"/>
    </row>
    <row r="106" spans="1:30" ht="12.5" x14ac:dyDescent="0.25">
      <c r="A106" s="2"/>
      <c r="B106" s="2"/>
      <c r="C106" s="11"/>
      <c r="D106" s="337"/>
      <c r="E106" s="277"/>
      <c r="F106" s="277"/>
      <c r="G106" s="277"/>
      <c r="H106" s="277"/>
      <c r="I106" s="338"/>
      <c r="J106" s="111"/>
      <c r="K106" s="316"/>
      <c r="L106" s="232"/>
      <c r="M106" s="316"/>
      <c r="N106" s="232"/>
      <c r="O106" s="317"/>
      <c r="P106" s="232"/>
      <c r="Q106" s="274"/>
      <c r="R106" s="245"/>
      <c r="S106" s="245"/>
      <c r="T106" s="245"/>
      <c r="U106" s="245"/>
      <c r="V106" s="246"/>
      <c r="W106" s="30"/>
      <c r="X106" s="2"/>
      <c r="Y106" s="2"/>
      <c r="Z106" s="2"/>
      <c r="AA106" s="2"/>
      <c r="AB106" s="2"/>
      <c r="AC106" s="2"/>
      <c r="AD106" s="2"/>
    </row>
    <row r="107" spans="1:30" ht="12.5" x14ac:dyDescent="0.25">
      <c r="A107" s="2"/>
      <c r="B107" s="2"/>
      <c r="C107" s="11"/>
      <c r="D107" s="93"/>
      <c r="E107" s="2"/>
      <c r="F107" s="2"/>
      <c r="G107" s="2"/>
      <c r="H107" s="2"/>
      <c r="I107" s="2"/>
      <c r="J107" s="3"/>
      <c r="K107" s="314"/>
      <c r="L107" s="142"/>
      <c r="M107" s="314"/>
      <c r="N107" s="142"/>
      <c r="O107" s="320"/>
      <c r="P107" s="236"/>
      <c r="Q107" s="318"/>
      <c r="R107" s="245"/>
      <c r="S107" s="245"/>
      <c r="T107" s="245"/>
      <c r="U107" s="245"/>
      <c r="V107" s="246"/>
      <c r="W107" s="30"/>
      <c r="X107" s="2"/>
      <c r="Y107" s="2"/>
      <c r="Z107" s="2"/>
      <c r="AA107" s="2"/>
      <c r="AB107" s="2"/>
      <c r="AC107" s="2"/>
      <c r="AD107" s="2"/>
    </row>
    <row r="108" spans="1:30" ht="12.5" x14ac:dyDescent="0.25">
      <c r="A108" s="2"/>
      <c r="B108" s="2"/>
      <c r="C108" s="11"/>
      <c r="D108" s="337"/>
      <c r="E108" s="277"/>
      <c r="F108" s="277"/>
      <c r="G108" s="277"/>
      <c r="H108" s="277"/>
      <c r="I108" s="338"/>
      <c r="J108" s="111"/>
      <c r="K108" s="316"/>
      <c r="L108" s="232"/>
      <c r="M108" s="316"/>
      <c r="N108" s="232"/>
      <c r="O108" s="317"/>
      <c r="P108" s="232"/>
      <c r="Q108" s="274"/>
      <c r="R108" s="245"/>
      <c r="S108" s="245"/>
      <c r="T108" s="245"/>
      <c r="U108" s="245"/>
      <c r="V108" s="246"/>
      <c r="W108" s="30"/>
      <c r="X108" s="2"/>
      <c r="Y108" s="2"/>
      <c r="Z108" s="2"/>
      <c r="AA108" s="2"/>
      <c r="AB108" s="2"/>
      <c r="AC108" s="2"/>
      <c r="AD108" s="2"/>
    </row>
    <row r="109" spans="1:30" ht="12.5" x14ac:dyDescent="0.25">
      <c r="A109" s="2"/>
      <c r="B109" s="2"/>
      <c r="C109" s="11"/>
      <c r="D109" s="93"/>
      <c r="E109" s="2"/>
      <c r="F109" s="2"/>
      <c r="G109" s="2"/>
      <c r="H109" s="2"/>
      <c r="I109" s="2"/>
      <c r="J109" s="3"/>
      <c r="K109" s="314"/>
      <c r="L109" s="142"/>
      <c r="M109" s="314"/>
      <c r="N109" s="142"/>
      <c r="O109" s="320"/>
      <c r="P109" s="236"/>
      <c r="Q109" s="318"/>
      <c r="R109" s="245"/>
      <c r="S109" s="245"/>
      <c r="T109" s="245"/>
      <c r="U109" s="245"/>
      <c r="V109" s="246"/>
      <c r="W109" s="30"/>
      <c r="X109" s="2"/>
      <c r="Y109" s="2"/>
      <c r="Z109" s="2"/>
      <c r="AA109" s="2"/>
      <c r="AB109" s="2"/>
      <c r="AC109" s="2"/>
      <c r="AD109" s="2"/>
    </row>
    <row r="110" spans="1:30" ht="12.5" x14ac:dyDescent="0.25">
      <c r="A110" s="2"/>
      <c r="B110" s="2"/>
      <c r="C110" s="11"/>
      <c r="D110" s="337"/>
      <c r="E110" s="277"/>
      <c r="F110" s="277"/>
      <c r="G110" s="277"/>
      <c r="H110" s="277"/>
      <c r="I110" s="338"/>
      <c r="J110" s="111"/>
      <c r="K110" s="316"/>
      <c r="L110" s="232"/>
      <c r="M110" s="316"/>
      <c r="N110" s="232"/>
      <c r="O110" s="317"/>
      <c r="P110" s="232"/>
      <c r="Q110" s="274"/>
      <c r="R110" s="245"/>
      <c r="S110" s="245"/>
      <c r="T110" s="245"/>
      <c r="U110" s="245"/>
      <c r="V110" s="246"/>
      <c r="W110" s="30"/>
      <c r="X110" s="2"/>
      <c r="Y110" s="2"/>
      <c r="Z110" s="2"/>
      <c r="AA110" s="2"/>
      <c r="AB110" s="2"/>
      <c r="AC110" s="2"/>
      <c r="AD110" s="2"/>
    </row>
    <row r="111" spans="1:30" ht="12.5" x14ac:dyDescent="0.25">
      <c r="A111" s="2"/>
      <c r="B111" s="2"/>
      <c r="C111" s="11"/>
      <c r="D111" s="93"/>
      <c r="E111" s="2"/>
      <c r="F111" s="2"/>
      <c r="G111" s="2"/>
      <c r="H111" s="2"/>
      <c r="I111" s="2"/>
      <c r="J111" s="3"/>
      <c r="K111" s="314"/>
      <c r="L111" s="142"/>
      <c r="M111" s="314"/>
      <c r="N111" s="142"/>
      <c r="O111" s="320"/>
      <c r="P111" s="236"/>
      <c r="Q111" s="318"/>
      <c r="R111" s="245"/>
      <c r="S111" s="245"/>
      <c r="T111" s="245"/>
      <c r="U111" s="245"/>
      <c r="V111" s="246"/>
      <c r="W111" s="30"/>
      <c r="X111" s="2"/>
      <c r="Y111" s="2"/>
      <c r="Z111" s="2"/>
      <c r="AA111" s="2"/>
      <c r="AB111" s="2"/>
      <c r="AC111" s="2"/>
      <c r="AD111" s="2"/>
    </row>
    <row r="112" spans="1:30" ht="12.5" x14ac:dyDescent="0.25">
      <c r="A112" s="2"/>
      <c r="B112" s="2"/>
      <c r="C112" s="11"/>
      <c r="D112" s="337"/>
      <c r="E112" s="277"/>
      <c r="F112" s="277"/>
      <c r="G112" s="277"/>
      <c r="H112" s="277"/>
      <c r="I112" s="338"/>
      <c r="J112" s="111"/>
      <c r="K112" s="316"/>
      <c r="L112" s="232"/>
      <c r="M112" s="316"/>
      <c r="N112" s="232"/>
      <c r="O112" s="317"/>
      <c r="P112" s="232"/>
      <c r="Q112" s="274"/>
      <c r="R112" s="245"/>
      <c r="S112" s="245"/>
      <c r="T112" s="245"/>
      <c r="U112" s="245"/>
      <c r="V112" s="246"/>
      <c r="W112" s="30"/>
      <c r="X112" s="2"/>
      <c r="Y112" s="2"/>
      <c r="Z112" s="2"/>
      <c r="AA112" s="2"/>
      <c r="AB112" s="2"/>
      <c r="AC112" s="2"/>
      <c r="AD112" s="2"/>
    </row>
    <row r="113" spans="1:30" ht="12.5" x14ac:dyDescent="0.25">
      <c r="A113" s="2"/>
      <c r="B113" s="2"/>
      <c r="C113" s="11"/>
      <c r="D113" s="93"/>
      <c r="E113" s="2"/>
      <c r="F113" s="2"/>
      <c r="G113" s="2"/>
      <c r="H113" s="2"/>
      <c r="I113" s="2"/>
      <c r="J113" s="3"/>
      <c r="K113" s="314"/>
      <c r="L113" s="142"/>
      <c r="M113" s="314"/>
      <c r="N113" s="142"/>
      <c r="O113" s="320"/>
      <c r="P113" s="236"/>
      <c r="Q113" s="318"/>
      <c r="R113" s="245"/>
      <c r="S113" s="245"/>
      <c r="T113" s="245"/>
      <c r="U113" s="245"/>
      <c r="V113" s="246"/>
      <c r="W113" s="30"/>
      <c r="X113" s="2"/>
      <c r="Y113" s="2"/>
      <c r="Z113" s="2"/>
      <c r="AA113" s="2"/>
      <c r="AB113" s="2"/>
      <c r="AC113" s="2"/>
      <c r="AD113" s="2"/>
    </row>
    <row r="114" spans="1:30" ht="12.5" x14ac:dyDescent="0.25">
      <c r="A114" s="2"/>
      <c r="B114" s="2"/>
      <c r="C114" s="11"/>
      <c r="D114" s="337"/>
      <c r="E114" s="277"/>
      <c r="F114" s="277"/>
      <c r="G114" s="277"/>
      <c r="H114" s="277"/>
      <c r="I114" s="338"/>
      <c r="J114" s="111"/>
      <c r="K114" s="316"/>
      <c r="L114" s="232"/>
      <c r="M114" s="316"/>
      <c r="N114" s="232"/>
      <c r="O114" s="317"/>
      <c r="P114" s="232"/>
      <c r="Q114" s="274"/>
      <c r="R114" s="245"/>
      <c r="S114" s="245"/>
      <c r="T114" s="245"/>
      <c r="U114" s="245"/>
      <c r="V114" s="246"/>
      <c r="W114" s="30"/>
      <c r="X114" s="2"/>
      <c r="Y114" s="2"/>
      <c r="Z114" s="2"/>
      <c r="AA114" s="2"/>
      <c r="AB114" s="2"/>
      <c r="AC114" s="2"/>
      <c r="AD114" s="2"/>
    </row>
    <row r="115" spans="1:30" ht="12.5" x14ac:dyDescent="0.25">
      <c r="A115" s="2"/>
      <c r="B115" s="2"/>
      <c r="C115" s="11"/>
      <c r="D115" s="93"/>
      <c r="E115" s="2"/>
      <c r="F115" s="2"/>
      <c r="G115" s="2"/>
      <c r="H115" s="2"/>
      <c r="I115" s="2"/>
      <c r="J115" s="3"/>
      <c r="K115" s="314"/>
      <c r="L115" s="142"/>
      <c r="M115" s="314"/>
      <c r="N115" s="142"/>
      <c r="O115" s="320"/>
      <c r="P115" s="236"/>
      <c r="Q115" s="318"/>
      <c r="R115" s="245"/>
      <c r="S115" s="245"/>
      <c r="T115" s="245"/>
      <c r="U115" s="245"/>
      <c r="V115" s="246"/>
      <c r="W115" s="30"/>
      <c r="X115" s="2"/>
      <c r="Y115" s="2"/>
      <c r="Z115" s="2"/>
      <c r="AA115" s="2"/>
      <c r="AB115" s="2"/>
      <c r="AC115" s="2"/>
      <c r="AD115" s="2"/>
    </row>
    <row r="116" spans="1:30" ht="12.5" x14ac:dyDescent="0.25">
      <c r="A116" s="2"/>
      <c r="B116" s="2"/>
      <c r="C116" s="11"/>
      <c r="D116" s="337"/>
      <c r="E116" s="277"/>
      <c r="F116" s="277"/>
      <c r="G116" s="277"/>
      <c r="H116" s="277"/>
      <c r="I116" s="338"/>
      <c r="J116" s="111"/>
      <c r="K116" s="316"/>
      <c r="L116" s="232"/>
      <c r="M116" s="316"/>
      <c r="N116" s="232"/>
      <c r="O116" s="317"/>
      <c r="P116" s="232"/>
      <c r="Q116" s="274"/>
      <c r="R116" s="245"/>
      <c r="S116" s="245"/>
      <c r="T116" s="245"/>
      <c r="U116" s="245"/>
      <c r="V116" s="246"/>
      <c r="W116" s="30"/>
      <c r="X116" s="2"/>
      <c r="Y116" s="2"/>
      <c r="Z116" s="2"/>
      <c r="AA116" s="2"/>
      <c r="AB116" s="2"/>
      <c r="AC116" s="2"/>
      <c r="AD116" s="2"/>
    </row>
    <row r="117" spans="1:30" ht="12.5" x14ac:dyDescent="0.25">
      <c r="A117" s="2"/>
      <c r="B117" s="2"/>
      <c r="C117" s="11"/>
      <c r="D117" s="93"/>
      <c r="E117" s="2"/>
      <c r="F117" s="2"/>
      <c r="G117" s="2"/>
      <c r="H117" s="2"/>
      <c r="I117" s="2"/>
      <c r="J117" s="3"/>
      <c r="K117" s="314"/>
      <c r="L117" s="142"/>
      <c r="M117" s="314"/>
      <c r="N117" s="142"/>
      <c r="O117" s="320"/>
      <c r="P117" s="236"/>
      <c r="Q117" s="318"/>
      <c r="R117" s="245"/>
      <c r="S117" s="245"/>
      <c r="T117" s="245"/>
      <c r="U117" s="245"/>
      <c r="V117" s="246"/>
      <c r="W117" s="30"/>
      <c r="X117" s="2"/>
      <c r="Y117" s="2"/>
      <c r="Z117" s="2"/>
      <c r="AA117" s="2"/>
      <c r="AB117" s="2"/>
      <c r="AC117" s="2"/>
      <c r="AD117" s="2"/>
    </row>
    <row r="118" spans="1:30" ht="12.5" x14ac:dyDescent="0.25">
      <c r="A118" s="2"/>
      <c r="B118" s="2"/>
      <c r="C118" s="11"/>
      <c r="D118" s="337"/>
      <c r="E118" s="277"/>
      <c r="F118" s="277"/>
      <c r="G118" s="277"/>
      <c r="H118" s="277"/>
      <c r="I118" s="338"/>
      <c r="J118" s="111"/>
      <c r="K118" s="316"/>
      <c r="L118" s="232"/>
      <c r="M118" s="316"/>
      <c r="N118" s="232"/>
      <c r="O118" s="317"/>
      <c r="P118" s="232"/>
      <c r="Q118" s="274"/>
      <c r="R118" s="245"/>
      <c r="S118" s="245"/>
      <c r="T118" s="245"/>
      <c r="U118" s="245"/>
      <c r="V118" s="246"/>
      <c r="W118" s="30"/>
      <c r="X118" s="2"/>
      <c r="Y118" s="2"/>
      <c r="Z118" s="2"/>
      <c r="AA118" s="2"/>
      <c r="AB118" s="2"/>
      <c r="AC118" s="2"/>
      <c r="AD118" s="2"/>
    </row>
    <row r="119" spans="1:30" ht="12.5" x14ac:dyDescent="0.25">
      <c r="A119" s="2"/>
      <c r="B119" s="2"/>
      <c r="C119" s="11"/>
      <c r="D119" s="112"/>
      <c r="E119" s="28"/>
      <c r="F119" s="28"/>
      <c r="G119" s="28"/>
      <c r="H119" s="28"/>
      <c r="I119" s="28"/>
      <c r="J119" s="5"/>
      <c r="K119" s="339"/>
      <c r="L119" s="198"/>
      <c r="M119" s="339"/>
      <c r="N119" s="198"/>
      <c r="O119" s="320"/>
      <c r="P119" s="236"/>
      <c r="Q119" s="322"/>
      <c r="R119" s="194"/>
      <c r="S119" s="194"/>
      <c r="T119" s="194"/>
      <c r="U119" s="194"/>
      <c r="V119" s="323"/>
      <c r="W119" s="30"/>
      <c r="X119" s="2"/>
      <c r="Y119" s="2"/>
      <c r="Z119" s="2"/>
      <c r="AA119" s="2"/>
      <c r="AB119" s="2"/>
      <c r="AC119" s="2"/>
      <c r="AD119" s="2"/>
    </row>
    <row r="120" spans="1:30" ht="13" x14ac:dyDescent="0.3">
      <c r="A120" s="2"/>
      <c r="B120" s="2"/>
      <c r="C120" s="11"/>
      <c r="D120" s="335" t="s">
        <v>14</v>
      </c>
      <c r="E120" s="224"/>
      <c r="F120" s="224"/>
      <c r="G120" s="224"/>
      <c r="H120" s="224"/>
      <c r="I120" s="224"/>
      <c r="J120" s="224"/>
      <c r="K120" s="224"/>
      <c r="L120" s="224"/>
      <c r="M120" s="224"/>
      <c r="N120" s="273"/>
      <c r="O120" s="340">
        <f>SUM(O59:P119)</f>
        <v>0</v>
      </c>
      <c r="P120" s="273"/>
      <c r="Q120" s="113"/>
      <c r="R120" s="113"/>
      <c r="S120" s="113"/>
      <c r="T120" s="113"/>
      <c r="U120" s="113"/>
      <c r="V120" s="114"/>
      <c r="W120" s="30"/>
      <c r="X120" s="2"/>
      <c r="Y120" s="2"/>
      <c r="Z120" s="2"/>
      <c r="AA120" s="2"/>
      <c r="AB120" s="2"/>
      <c r="AC120" s="2"/>
      <c r="AD120" s="2"/>
    </row>
    <row r="121" spans="1:30" ht="12.5" x14ac:dyDescent="0.25">
      <c r="A121" s="2"/>
      <c r="B121" s="2"/>
      <c r="C121" s="2"/>
      <c r="D121" s="35"/>
      <c r="E121" s="35"/>
      <c r="F121" s="35"/>
      <c r="G121" s="35"/>
      <c r="H121" s="35"/>
      <c r="I121" s="35"/>
      <c r="J121" s="4"/>
      <c r="K121" s="4"/>
      <c r="L121" s="4"/>
      <c r="M121" s="4"/>
      <c r="N121" s="4"/>
      <c r="O121" s="4"/>
      <c r="P121" s="4"/>
      <c r="Q121" s="35"/>
      <c r="R121" s="35"/>
      <c r="S121" s="35"/>
      <c r="T121" s="35"/>
      <c r="U121" s="35"/>
      <c r="V121" s="35"/>
      <c r="W121" s="2"/>
      <c r="X121" s="2"/>
      <c r="Y121" s="2"/>
      <c r="Z121" s="2"/>
      <c r="AA121" s="2"/>
      <c r="AB121" s="2"/>
      <c r="AC121" s="2"/>
      <c r="AD121" s="2"/>
    </row>
    <row r="122" spans="1:30" ht="12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3"/>
      <c r="K122" s="3"/>
      <c r="L122" s="3"/>
      <c r="M122" s="3"/>
      <c r="N122" s="3"/>
      <c r="O122" s="3"/>
      <c r="P122" s="3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2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3"/>
      <c r="K123" s="3"/>
      <c r="L123" s="3"/>
      <c r="M123" s="3"/>
      <c r="N123" s="3"/>
      <c r="O123" s="3"/>
      <c r="P123" s="3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2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3"/>
      <c r="K124" s="3"/>
      <c r="L124" s="3"/>
      <c r="M124" s="3"/>
      <c r="N124" s="3"/>
      <c r="O124" s="3"/>
      <c r="P124" s="3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2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3"/>
      <c r="K125" s="3"/>
      <c r="L125" s="3"/>
      <c r="M125" s="3"/>
      <c r="N125" s="3"/>
      <c r="O125" s="3"/>
      <c r="P125" s="3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2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3"/>
      <c r="K126" s="3"/>
      <c r="L126" s="3"/>
      <c r="M126" s="3"/>
      <c r="N126" s="3"/>
      <c r="O126" s="3"/>
      <c r="P126" s="3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2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3"/>
      <c r="K127" s="3"/>
      <c r="L127" s="3"/>
      <c r="M127" s="3"/>
      <c r="N127" s="3"/>
      <c r="O127" s="3"/>
      <c r="P127" s="3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2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3"/>
      <c r="K128" s="3"/>
      <c r="L128" s="3"/>
      <c r="M128" s="3"/>
      <c r="N128" s="3"/>
      <c r="O128" s="3"/>
      <c r="P128" s="3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2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3"/>
      <c r="K129" s="3"/>
      <c r="L129" s="3"/>
      <c r="M129" s="3"/>
      <c r="N129" s="3"/>
      <c r="O129" s="3"/>
      <c r="P129" s="3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2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3"/>
      <c r="K130" s="3"/>
      <c r="L130" s="3"/>
      <c r="M130" s="3"/>
      <c r="N130" s="3"/>
      <c r="O130" s="3"/>
      <c r="P130" s="3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2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3"/>
      <c r="K131" s="3"/>
      <c r="L131" s="3"/>
      <c r="M131" s="3"/>
      <c r="N131" s="3"/>
      <c r="O131" s="3"/>
      <c r="P131" s="3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2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3"/>
      <c r="K132" s="3"/>
      <c r="L132" s="3"/>
      <c r="M132" s="3"/>
      <c r="N132" s="3"/>
      <c r="O132" s="3"/>
      <c r="P132" s="3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2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3"/>
      <c r="K133" s="3"/>
      <c r="L133" s="3"/>
      <c r="M133" s="3"/>
      <c r="N133" s="3"/>
      <c r="O133" s="3"/>
      <c r="P133" s="3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2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3"/>
      <c r="K134" s="3"/>
      <c r="L134" s="3"/>
      <c r="M134" s="3"/>
      <c r="N134" s="3"/>
      <c r="O134" s="3"/>
      <c r="P134" s="3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2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3"/>
      <c r="K135" s="3"/>
      <c r="L135" s="3"/>
      <c r="M135" s="3"/>
      <c r="N135" s="3"/>
      <c r="O135" s="3"/>
      <c r="P135" s="3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2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3"/>
      <c r="K136" s="3"/>
      <c r="L136" s="3"/>
      <c r="M136" s="3"/>
      <c r="N136" s="3"/>
      <c r="O136" s="3"/>
      <c r="P136" s="3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2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3"/>
      <c r="K137" s="3"/>
      <c r="L137" s="3"/>
      <c r="M137" s="3"/>
      <c r="N137" s="3"/>
      <c r="O137" s="3"/>
      <c r="P137" s="3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2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3"/>
      <c r="K138" s="3"/>
      <c r="L138" s="3"/>
      <c r="M138" s="3"/>
      <c r="N138" s="3"/>
      <c r="O138" s="3"/>
      <c r="P138" s="3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2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3"/>
      <c r="K139" s="3"/>
      <c r="L139" s="3"/>
      <c r="M139" s="3"/>
      <c r="N139" s="3"/>
      <c r="O139" s="3"/>
      <c r="P139" s="3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2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3"/>
      <c r="K140" s="3"/>
      <c r="L140" s="3"/>
      <c r="M140" s="3"/>
      <c r="N140" s="3"/>
      <c r="O140" s="3"/>
      <c r="P140" s="3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2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3"/>
      <c r="K141" s="3"/>
      <c r="L141" s="3"/>
      <c r="M141" s="3"/>
      <c r="N141" s="3"/>
      <c r="O141" s="3"/>
      <c r="P141" s="3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2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3"/>
      <c r="K142" s="3"/>
      <c r="L142" s="3"/>
      <c r="M142" s="3"/>
      <c r="N142" s="3"/>
      <c r="O142" s="3"/>
      <c r="P142" s="3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2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3"/>
      <c r="K143" s="3"/>
      <c r="L143" s="3"/>
      <c r="M143" s="3"/>
      <c r="N143" s="3"/>
      <c r="O143" s="3"/>
      <c r="P143" s="3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2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3"/>
      <c r="K144" s="3"/>
      <c r="L144" s="3"/>
      <c r="M144" s="3"/>
      <c r="N144" s="3"/>
      <c r="O144" s="3"/>
      <c r="P144" s="3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2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3"/>
      <c r="K145" s="3"/>
      <c r="L145" s="3"/>
      <c r="M145" s="3"/>
      <c r="N145" s="3"/>
      <c r="O145" s="3"/>
      <c r="P145" s="3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2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3"/>
      <c r="K146" s="3"/>
      <c r="L146" s="3"/>
      <c r="M146" s="3"/>
      <c r="N146" s="3"/>
      <c r="O146" s="3"/>
      <c r="P146" s="3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2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3"/>
      <c r="K147" s="3"/>
      <c r="L147" s="3"/>
      <c r="M147" s="3"/>
      <c r="N147" s="3"/>
      <c r="O147" s="3"/>
      <c r="P147" s="3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2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3"/>
      <c r="K148" s="3"/>
      <c r="L148" s="3"/>
      <c r="M148" s="3"/>
      <c r="N148" s="3"/>
      <c r="O148" s="3"/>
      <c r="P148" s="3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2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3"/>
      <c r="K149" s="3"/>
      <c r="L149" s="3"/>
      <c r="M149" s="3"/>
      <c r="N149" s="3"/>
      <c r="O149" s="3"/>
      <c r="P149" s="3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2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3"/>
      <c r="K150" s="3"/>
      <c r="L150" s="3"/>
      <c r="M150" s="3"/>
      <c r="N150" s="3"/>
      <c r="O150" s="3"/>
      <c r="P150" s="3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2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3"/>
      <c r="K151" s="3"/>
      <c r="L151" s="3"/>
      <c r="M151" s="3"/>
      <c r="N151" s="3"/>
      <c r="O151" s="3"/>
      <c r="P151" s="3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2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3"/>
      <c r="K152" s="3"/>
      <c r="L152" s="3"/>
      <c r="M152" s="3"/>
      <c r="N152" s="3"/>
      <c r="O152" s="3"/>
      <c r="P152" s="3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2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3"/>
      <c r="K153" s="3"/>
      <c r="L153" s="3"/>
      <c r="M153" s="3"/>
      <c r="N153" s="3"/>
      <c r="O153" s="3"/>
      <c r="P153" s="3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2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3"/>
      <c r="K154" s="3"/>
      <c r="L154" s="3"/>
      <c r="M154" s="3"/>
      <c r="N154" s="3"/>
      <c r="O154" s="3"/>
      <c r="P154" s="3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2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3"/>
      <c r="K155" s="3"/>
      <c r="L155" s="3"/>
      <c r="M155" s="3"/>
      <c r="N155" s="3"/>
      <c r="O155" s="3"/>
      <c r="P155" s="3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2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3"/>
      <c r="K156" s="3"/>
      <c r="L156" s="3"/>
      <c r="M156" s="3"/>
      <c r="N156" s="3"/>
      <c r="O156" s="3"/>
      <c r="P156" s="3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2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3"/>
      <c r="K157" s="3"/>
      <c r="L157" s="3"/>
      <c r="M157" s="3"/>
      <c r="N157" s="3"/>
      <c r="O157" s="3"/>
      <c r="P157" s="3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2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3"/>
      <c r="K158" s="3"/>
      <c r="L158" s="3"/>
      <c r="M158" s="3"/>
      <c r="N158" s="3"/>
      <c r="O158" s="3"/>
      <c r="P158" s="3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2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3"/>
      <c r="K159" s="3"/>
      <c r="L159" s="3"/>
      <c r="M159" s="3"/>
      <c r="N159" s="3"/>
      <c r="O159" s="3"/>
      <c r="P159" s="3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2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3"/>
      <c r="K160" s="3"/>
      <c r="L160" s="3"/>
      <c r="M160" s="3"/>
      <c r="N160" s="3"/>
      <c r="O160" s="3"/>
      <c r="P160" s="3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2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3"/>
      <c r="K161" s="3"/>
      <c r="L161" s="3"/>
      <c r="M161" s="3"/>
      <c r="N161" s="3"/>
      <c r="O161" s="3"/>
      <c r="P161" s="3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2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3"/>
      <c r="K162" s="3"/>
      <c r="L162" s="3"/>
      <c r="M162" s="3"/>
      <c r="N162" s="3"/>
      <c r="O162" s="3"/>
      <c r="P162" s="3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2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3"/>
      <c r="K163" s="3"/>
      <c r="L163" s="3"/>
      <c r="M163" s="3"/>
      <c r="N163" s="3"/>
      <c r="O163" s="3"/>
      <c r="P163" s="3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2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3"/>
      <c r="K164" s="3"/>
      <c r="L164" s="3"/>
      <c r="M164" s="3"/>
      <c r="N164" s="3"/>
      <c r="O164" s="3"/>
      <c r="P164" s="3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2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3"/>
      <c r="K165" s="3"/>
      <c r="L165" s="3"/>
      <c r="M165" s="3"/>
      <c r="N165" s="3"/>
      <c r="O165" s="3"/>
      <c r="P165" s="3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2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3"/>
      <c r="K166" s="3"/>
      <c r="L166" s="3"/>
      <c r="M166" s="3"/>
      <c r="N166" s="3"/>
      <c r="O166" s="3"/>
      <c r="P166" s="3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2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3"/>
      <c r="K167" s="3"/>
      <c r="L167" s="3"/>
      <c r="M167" s="3"/>
      <c r="N167" s="3"/>
      <c r="O167" s="3"/>
      <c r="P167" s="3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2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3"/>
      <c r="K168" s="3"/>
      <c r="L168" s="3"/>
      <c r="M168" s="3"/>
      <c r="N168" s="3"/>
      <c r="O168" s="3"/>
      <c r="P168" s="3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2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3"/>
      <c r="K169" s="3"/>
      <c r="L169" s="3"/>
      <c r="M169" s="3"/>
      <c r="N169" s="3"/>
      <c r="O169" s="3"/>
      <c r="P169" s="3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2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3"/>
      <c r="K170" s="3"/>
      <c r="L170" s="3"/>
      <c r="M170" s="3"/>
      <c r="N170" s="3"/>
      <c r="O170" s="3"/>
      <c r="P170" s="3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2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3"/>
      <c r="K171" s="3"/>
      <c r="L171" s="3"/>
      <c r="M171" s="3"/>
      <c r="N171" s="3"/>
      <c r="O171" s="3"/>
      <c r="P171" s="3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2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3"/>
      <c r="K172" s="3"/>
      <c r="L172" s="3"/>
      <c r="M172" s="3"/>
      <c r="N172" s="3"/>
      <c r="O172" s="3"/>
      <c r="P172" s="3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2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3"/>
      <c r="K173" s="3"/>
      <c r="L173" s="3"/>
      <c r="M173" s="3"/>
      <c r="N173" s="3"/>
      <c r="O173" s="3"/>
      <c r="P173" s="3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2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3"/>
      <c r="K174" s="3"/>
      <c r="L174" s="3"/>
      <c r="M174" s="3"/>
      <c r="N174" s="3"/>
      <c r="O174" s="3"/>
      <c r="P174" s="3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2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3"/>
      <c r="K175" s="3"/>
      <c r="L175" s="3"/>
      <c r="M175" s="3"/>
      <c r="N175" s="3"/>
      <c r="O175" s="3"/>
      <c r="P175" s="3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2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3"/>
      <c r="K176" s="3"/>
      <c r="L176" s="3"/>
      <c r="M176" s="3"/>
      <c r="N176" s="3"/>
      <c r="O176" s="3"/>
      <c r="P176" s="3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2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3"/>
      <c r="K177" s="3"/>
      <c r="L177" s="3"/>
      <c r="M177" s="3"/>
      <c r="N177" s="3"/>
      <c r="O177" s="3"/>
      <c r="P177" s="3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2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3"/>
      <c r="K178" s="3"/>
      <c r="L178" s="3"/>
      <c r="M178" s="3"/>
      <c r="N178" s="3"/>
      <c r="O178" s="3"/>
      <c r="P178" s="3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2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3"/>
      <c r="K179" s="3"/>
      <c r="L179" s="3"/>
      <c r="M179" s="3"/>
      <c r="N179" s="3"/>
      <c r="O179" s="3"/>
      <c r="P179" s="3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2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3"/>
      <c r="K180" s="3"/>
      <c r="L180" s="3"/>
      <c r="M180" s="3"/>
      <c r="N180" s="3"/>
      <c r="O180" s="3"/>
      <c r="P180" s="3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2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3"/>
      <c r="K181" s="3"/>
      <c r="L181" s="3"/>
      <c r="M181" s="3"/>
      <c r="N181" s="3"/>
      <c r="O181" s="3"/>
      <c r="P181" s="3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2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3"/>
      <c r="K182" s="3"/>
      <c r="L182" s="3"/>
      <c r="M182" s="3"/>
      <c r="N182" s="3"/>
      <c r="O182" s="3"/>
      <c r="P182" s="3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2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3"/>
      <c r="K183" s="3"/>
      <c r="L183" s="3"/>
      <c r="M183" s="3"/>
      <c r="N183" s="3"/>
      <c r="O183" s="3"/>
      <c r="P183" s="3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2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3"/>
      <c r="K184" s="3"/>
      <c r="L184" s="3"/>
      <c r="M184" s="3"/>
      <c r="N184" s="3"/>
      <c r="O184" s="3"/>
      <c r="P184" s="3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2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3"/>
      <c r="K185" s="3"/>
      <c r="L185" s="3"/>
      <c r="M185" s="3"/>
      <c r="N185" s="3"/>
      <c r="O185" s="3"/>
      <c r="P185" s="3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2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3"/>
      <c r="K186" s="3"/>
      <c r="L186" s="3"/>
      <c r="M186" s="3"/>
      <c r="N186" s="3"/>
      <c r="O186" s="3"/>
      <c r="P186" s="3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2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3"/>
      <c r="K187" s="3"/>
      <c r="L187" s="3"/>
      <c r="M187" s="3"/>
      <c r="N187" s="3"/>
      <c r="O187" s="3"/>
      <c r="P187" s="3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2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3"/>
      <c r="K188" s="3"/>
      <c r="L188" s="3"/>
      <c r="M188" s="3"/>
      <c r="N188" s="3"/>
      <c r="O188" s="3"/>
      <c r="P188" s="3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2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3"/>
      <c r="K189" s="3"/>
      <c r="L189" s="3"/>
      <c r="M189" s="3"/>
      <c r="N189" s="3"/>
      <c r="O189" s="3"/>
      <c r="P189" s="3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2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3"/>
      <c r="K190" s="3"/>
      <c r="L190" s="3"/>
      <c r="M190" s="3"/>
      <c r="N190" s="3"/>
      <c r="O190" s="3"/>
      <c r="P190" s="3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2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3"/>
      <c r="K191" s="3"/>
      <c r="L191" s="3"/>
      <c r="M191" s="3"/>
      <c r="N191" s="3"/>
      <c r="O191" s="3"/>
      <c r="P191" s="3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3"/>
      <c r="K192" s="3"/>
      <c r="L192" s="3"/>
      <c r="M192" s="3"/>
      <c r="N192" s="3"/>
      <c r="O192" s="3"/>
      <c r="P192" s="3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3"/>
      <c r="K193" s="3"/>
      <c r="L193" s="3"/>
      <c r="M193" s="3"/>
      <c r="N193" s="3"/>
      <c r="O193" s="3"/>
      <c r="P193" s="3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3"/>
      <c r="K194" s="3"/>
      <c r="L194" s="3"/>
      <c r="M194" s="3"/>
      <c r="N194" s="3"/>
      <c r="O194" s="3"/>
      <c r="P194" s="3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3"/>
      <c r="K195" s="3"/>
      <c r="L195" s="3"/>
      <c r="M195" s="3"/>
      <c r="N195" s="3"/>
      <c r="O195" s="3"/>
      <c r="P195" s="3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3"/>
      <c r="K196" s="3"/>
      <c r="L196" s="3"/>
      <c r="M196" s="3"/>
      <c r="N196" s="3"/>
      <c r="O196" s="3"/>
      <c r="P196" s="3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3"/>
      <c r="K197" s="3"/>
      <c r="L197" s="3"/>
      <c r="M197" s="3"/>
      <c r="N197" s="3"/>
      <c r="O197" s="3"/>
      <c r="P197" s="3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3"/>
      <c r="K198" s="3"/>
      <c r="L198" s="3"/>
      <c r="M198" s="3"/>
      <c r="N198" s="3"/>
      <c r="O198" s="3"/>
      <c r="P198" s="3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3"/>
      <c r="K199" s="3"/>
      <c r="L199" s="3"/>
      <c r="M199" s="3"/>
      <c r="N199" s="3"/>
      <c r="O199" s="3"/>
      <c r="P199" s="3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3"/>
      <c r="K200" s="3"/>
      <c r="L200" s="3"/>
      <c r="M200" s="3"/>
      <c r="N200" s="3"/>
      <c r="O200" s="3"/>
      <c r="P200" s="3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3"/>
      <c r="K201" s="3"/>
      <c r="L201" s="3"/>
      <c r="M201" s="3"/>
      <c r="N201" s="3"/>
      <c r="O201" s="3"/>
      <c r="P201" s="3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3"/>
      <c r="K202" s="3"/>
      <c r="L202" s="3"/>
      <c r="M202" s="3"/>
      <c r="N202" s="3"/>
      <c r="O202" s="3"/>
      <c r="P202" s="3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3"/>
      <c r="K203" s="3"/>
      <c r="L203" s="3"/>
      <c r="M203" s="3"/>
      <c r="N203" s="3"/>
      <c r="O203" s="3"/>
      <c r="P203" s="3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3"/>
      <c r="K204" s="3"/>
      <c r="L204" s="3"/>
      <c r="M204" s="3"/>
      <c r="N204" s="3"/>
      <c r="O204" s="3"/>
      <c r="P204" s="3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3"/>
      <c r="K205" s="3"/>
      <c r="L205" s="3"/>
      <c r="M205" s="3"/>
      <c r="N205" s="3"/>
      <c r="O205" s="3"/>
      <c r="P205" s="3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3"/>
      <c r="K206" s="3"/>
      <c r="L206" s="3"/>
      <c r="M206" s="3"/>
      <c r="N206" s="3"/>
      <c r="O206" s="3"/>
      <c r="P206" s="3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3"/>
      <c r="K207" s="3"/>
      <c r="L207" s="3"/>
      <c r="M207" s="3"/>
      <c r="N207" s="3"/>
      <c r="O207" s="3"/>
      <c r="P207" s="3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3"/>
      <c r="K208" s="3"/>
      <c r="L208" s="3"/>
      <c r="M208" s="3"/>
      <c r="N208" s="3"/>
      <c r="O208" s="3"/>
      <c r="P208" s="3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3"/>
      <c r="K209" s="3"/>
      <c r="L209" s="3"/>
      <c r="M209" s="3"/>
      <c r="N209" s="3"/>
      <c r="O209" s="3"/>
      <c r="P209" s="3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3"/>
      <c r="K210" s="3"/>
      <c r="L210" s="3"/>
      <c r="M210" s="3"/>
      <c r="N210" s="3"/>
      <c r="O210" s="3"/>
      <c r="P210" s="3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3"/>
      <c r="K211" s="3"/>
      <c r="L211" s="3"/>
      <c r="M211" s="3"/>
      <c r="N211" s="3"/>
      <c r="O211" s="3"/>
      <c r="P211" s="3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3"/>
      <c r="K212" s="3"/>
      <c r="L212" s="3"/>
      <c r="M212" s="3"/>
      <c r="N212" s="3"/>
      <c r="O212" s="3"/>
      <c r="P212" s="3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3"/>
      <c r="K213" s="3"/>
      <c r="L213" s="3"/>
      <c r="M213" s="3"/>
      <c r="N213" s="3"/>
      <c r="O213" s="3"/>
      <c r="P213" s="3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3"/>
      <c r="K214" s="3"/>
      <c r="L214" s="3"/>
      <c r="M214" s="3"/>
      <c r="N214" s="3"/>
      <c r="O214" s="3"/>
      <c r="P214" s="3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3"/>
      <c r="K215" s="3"/>
      <c r="L215" s="3"/>
      <c r="M215" s="3"/>
      <c r="N215" s="3"/>
      <c r="O215" s="3"/>
      <c r="P215" s="3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3"/>
      <c r="K216" s="3"/>
      <c r="L216" s="3"/>
      <c r="M216" s="3"/>
      <c r="N216" s="3"/>
      <c r="O216" s="3"/>
      <c r="P216" s="3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3"/>
      <c r="K217" s="3"/>
      <c r="L217" s="3"/>
      <c r="M217" s="3"/>
      <c r="N217" s="3"/>
      <c r="O217" s="3"/>
      <c r="P217" s="3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3"/>
      <c r="K218" s="3"/>
      <c r="L218" s="3"/>
      <c r="M218" s="3"/>
      <c r="N218" s="3"/>
      <c r="O218" s="3"/>
      <c r="P218" s="3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3"/>
      <c r="K219" s="3"/>
      <c r="L219" s="3"/>
      <c r="M219" s="3"/>
      <c r="N219" s="3"/>
      <c r="O219" s="3"/>
      <c r="P219" s="3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3"/>
      <c r="K220" s="3"/>
      <c r="L220" s="3"/>
      <c r="M220" s="3"/>
      <c r="N220" s="3"/>
      <c r="O220" s="3"/>
      <c r="P220" s="3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3"/>
      <c r="K221" s="3"/>
      <c r="L221" s="3"/>
      <c r="M221" s="3"/>
      <c r="N221" s="3"/>
      <c r="O221" s="3"/>
      <c r="P221" s="3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3"/>
      <c r="K222" s="3"/>
      <c r="L222" s="3"/>
      <c r="M222" s="3"/>
      <c r="N222" s="3"/>
      <c r="O222" s="3"/>
      <c r="P222" s="3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3"/>
      <c r="K223" s="3"/>
      <c r="L223" s="3"/>
      <c r="M223" s="3"/>
      <c r="N223" s="3"/>
      <c r="O223" s="3"/>
      <c r="P223" s="3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3"/>
      <c r="K224" s="3"/>
      <c r="L224" s="3"/>
      <c r="M224" s="3"/>
      <c r="N224" s="3"/>
      <c r="O224" s="3"/>
      <c r="P224" s="3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3"/>
      <c r="K225" s="3"/>
      <c r="L225" s="3"/>
      <c r="M225" s="3"/>
      <c r="N225" s="3"/>
      <c r="O225" s="3"/>
      <c r="P225" s="3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3"/>
      <c r="K226" s="3"/>
      <c r="L226" s="3"/>
      <c r="M226" s="3"/>
      <c r="N226" s="3"/>
      <c r="O226" s="3"/>
      <c r="P226" s="3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3"/>
      <c r="K227" s="3"/>
      <c r="L227" s="3"/>
      <c r="M227" s="3"/>
      <c r="N227" s="3"/>
      <c r="O227" s="3"/>
      <c r="P227" s="3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3"/>
      <c r="K228" s="3"/>
      <c r="L228" s="3"/>
      <c r="M228" s="3"/>
      <c r="N228" s="3"/>
      <c r="O228" s="3"/>
      <c r="P228" s="3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3"/>
      <c r="K229" s="3"/>
      <c r="L229" s="3"/>
      <c r="M229" s="3"/>
      <c r="N229" s="3"/>
      <c r="O229" s="3"/>
      <c r="P229" s="3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3"/>
      <c r="K230" s="3"/>
      <c r="L230" s="3"/>
      <c r="M230" s="3"/>
      <c r="N230" s="3"/>
      <c r="O230" s="3"/>
      <c r="P230" s="3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3"/>
      <c r="K231" s="3"/>
      <c r="L231" s="3"/>
      <c r="M231" s="3"/>
      <c r="N231" s="3"/>
      <c r="O231" s="3"/>
      <c r="P231" s="3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3"/>
      <c r="K232" s="3"/>
      <c r="L232" s="3"/>
      <c r="M232" s="3"/>
      <c r="N232" s="3"/>
      <c r="O232" s="3"/>
      <c r="P232" s="3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3"/>
      <c r="K233" s="3"/>
      <c r="L233" s="3"/>
      <c r="M233" s="3"/>
      <c r="N233" s="3"/>
      <c r="O233" s="3"/>
      <c r="P233" s="3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3"/>
      <c r="K234" s="3"/>
      <c r="L234" s="3"/>
      <c r="M234" s="3"/>
      <c r="N234" s="3"/>
      <c r="O234" s="3"/>
      <c r="P234" s="3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3"/>
      <c r="K235" s="3"/>
      <c r="L235" s="3"/>
      <c r="M235" s="3"/>
      <c r="N235" s="3"/>
      <c r="O235" s="3"/>
      <c r="P235" s="3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3"/>
      <c r="K236" s="3"/>
      <c r="L236" s="3"/>
      <c r="M236" s="3"/>
      <c r="N236" s="3"/>
      <c r="O236" s="3"/>
      <c r="P236" s="3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3"/>
      <c r="K237" s="3"/>
      <c r="L237" s="3"/>
      <c r="M237" s="3"/>
      <c r="N237" s="3"/>
      <c r="O237" s="3"/>
      <c r="P237" s="3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3"/>
      <c r="K238" s="3"/>
      <c r="L238" s="3"/>
      <c r="M238" s="3"/>
      <c r="N238" s="3"/>
      <c r="O238" s="3"/>
      <c r="P238" s="3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3"/>
      <c r="K239" s="3"/>
      <c r="L239" s="3"/>
      <c r="M239" s="3"/>
      <c r="N239" s="3"/>
      <c r="O239" s="3"/>
      <c r="P239" s="3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3"/>
      <c r="K240" s="3"/>
      <c r="L240" s="3"/>
      <c r="M240" s="3"/>
      <c r="N240" s="3"/>
      <c r="O240" s="3"/>
      <c r="P240" s="3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3"/>
      <c r="K241" s="3"/>
      <c r="L241" s="3"/>
      <c r="M241" s="3"/>
      <c r="N241" s="3"/>
      <c r="O241" s="3"/>
      <c r="P241" s="3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3"/>
      <c r="K242" s="3"/>
      <c r="L242" s="3"/>
      <c r="M242" s="3"/>
      <c r="N242" s="3"/>
      <c r="O242" s="3"/>
      <c r="P242" s="3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3"/>
      <c r="K243" s="3"/>
      <c r="L243" s="3"/>
      <c r="M243" s="3"/>
      <c r="N243" s="3"/>
      <c r="O243" s="3"/>
      <c r="P243" s="3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3"/>
      <c r="K244" s="3"/>
      <c r="L244" s="3"/>
      <c r="M244" s="3"/>
      <c r="N244" s="3"/>
      <c r="O244" s="3"/>
      <c r="P244" s="3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3"/>
      <c r="K245" s="3"/>
      <c r="L245" s="3"/>
      <c r="M245" s="3"/>
      <c r="N245" s="3"/>
      <c r="O245" s="3"/>
      <c r="P245" s="3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3"/>
      <c r="K246" s="3"/>
      <c r="L246" s="3"/>
      <c r="M246" s="3"/>
      <c r="N246" s="3"/>
      <c r="O246" s="3"/>
      <c r="P246" s="3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3"/>
      <c r="K247" s="3"/>
      <c r="L247" s="3"/>
      <c r="M247" s="3"/>
      <c r="N247" s="3"/>
      <c r="O247" s="3"/>
      <c r="P247" s="3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3"/>
      <c r="K248" s="3"/>
      <c r="L248" s="3"/>
      <c r="M248" s="3"/>
      <c r="N248" s="3"/>
      <c r="O248" s="3"/>
      <c r="P248" s="3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3"/>
      <c r="K249" s="3"/>
      <c r="L249" s="3"/>
      <c r="M249" s="3"/>
      <c r="N249" s="3"/>
      <c r="O249" s="3"/>
      <c r="P249" s="3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3"/>
      <c r="K250" s="3"/>
      <c r="L250" s="3"/>
      <c r="M250" s="3"/>
      <c r="N250" s="3"/>
      <c r="O250" s="3"/>
      <c r="P250" s="3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3"/>
      <c r="K251" s="3"/>
      <c r="L251" s="3"/>
      <c r="M251" s="3"/>
      <c r="N251" s="3"/>
      <c r="O251" s="3"/>
      <c r="P251" s="3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3"/>
      <c r="K252" s="3"/>
      <c r="L252" s="3"/>
      <c r="M252" s="3"/>
      <c r="N252" s="3"/>
      <c r="O252" s="3"/>
      <c r="P252" s="3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3"/>
      <c r="K253" s="3"/>
      <c r="L253" s="3"/>
      <c r="M253" s="3"/>
      <c r="N253" s="3"/>
      <c r="O253" s="3"/>
      <c r="P253" s="3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3"/>
      <c r="K254" s="3"/>
      <c r="L254" s="3"/>
      <c r="M254" s="3"/>
      <c r="N254" s="3"/>
      <c r="O254" s="3"/>
      <c r="P254" s="3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3"/>
      <c r="K255" s="3"/>
      <c r="L255" s="3"/>
      <c r="M255" s="3"/>
      <c r="N255" s="3"/>
      <c r="O255" s="3"/>
      <c r="P255" s="3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3"/>
      <c r="K256" s="3"/>
      <c r="L256" s="3"/>
      <c r="M256" s="3"/>
      <c r="N256" s="3"/>
      <c r="O256" s="3"/>
      <c r="P256" s="3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3"/>
      <c r="K257" s="3"/>
      <c r="L257" s="3"/>
      <c r="M257" s="3"/>
      <c r="N257" s="3"/>
      <c r="O257" s="3"/>
      <c r="P257" s="3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3"/>
      <c r="K258" s="3"/>
      <c r="L258" s="3"/>
      <c r="M258" s="3"/>
      <c r="N258" s="3"/>
      <c r="O258" s="3"/>
      <c r="P258" s="3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3"/>
      <c r="K259" s="3"/>
      <c r="L259" s="3"/>
      <c r="M259" s="3"/>
      <c r="N259" s="3"/>
      <c r="O259" s="3"/>
      <c r="P259" s="3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3"/>
      <c r="K260" s="3"/>
      <c r="L260" s="3"/>
      <c r="M260" s="3"/>
      <c r="N260" s="3"/>
      <c r="O260" s="3"/>
      <c r="P260" s="3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3"/>
      <c r="K261" s="3"/>
      <c r="L261" s="3"/>
      <c r="M261" s="3"/>
      <c r="N261" s="3"/>
      <c r="O261" s="3"/>
      <c r="P261" s="3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3"/>
      <c r="K262" s="3"/>
      <c r="L262" s="3"/>
      <c r="M262" s="3"/>
      <c r="N262" s="3"/>
      <c r="O262" s="3"/>
      <c r="P262" s="3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3"/>
      <c r="K263" s="3"/>
      <c r="L263" s="3"/>
      <c r="M263" s="3"/>
      <c r="N263" s="3"/>
      <c r="O263" s="3"/>
      <c r="P263" s="3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3"/>
      <c r="K264" s="3"/>
      <c r="L264" s="3"/>
      <c r="M264" s="3"/>
      <c r="N264" s="3"/>
      <c r="O264" s="3"/>
      <c r="P264" s="3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3"/>
      <c r="K265" s="3"/>
      <c r="L265" s="3"/>
      <c r="M265" s="3"/>
      <c r="N265" s="3"/>
      <c r="O265" s="3"/>
      <c r="P265" s="3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3"/>
      <c r="K266" s="3"/>
      <c r="L266" s="3"/>
      <c r="M266" s="3"/>
      <c r="N266" s="3"/>
      <c r="O266" s="3"/>
      <c r="P266" s="3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3"/>
      <c r="K267" s="3"/>
      <c r="L267" s="3"/>
      <c r="M267" s="3"/>
      <c r="N267" s="3"/>
      <c r="O267" s="3"/>
      <c r="P267" s="3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3"/>
      <c r="K268" s="3"/>
      <c r="L268" s="3"/>
      <c r="M268" s="3"/>
      <c r="N268" s="3"/>
      <c r="O268" s="3"/>
      <c r="P268" s="3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3"/>
      <c r="K269" s="3"/>
      <c r="L269" s="3"/>
      <c r="M269" s="3"/>
      <c r="N269" s="3"/>
      <c r="O269" s="3"/>
      <c r="P269" s="3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3"/>
      <c r="K270" s="3"/>
      <c r="L270" s="3"/>
      <c r="M270" s="3"/>
      <c r="N270" s="3"/>
      <c r="O270" s="3"/>
      <c r="P270" s="3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3"/>
      <c r="K271" s="3"/>
      <c r="L271" s="3"/>
      <c r="M271" s="3"/>
      <c r="N271" s="3"/>
      <c r="O271" s="3"/>
      <c r="P271" s="3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3"/>
      <c r="K272" s="3"/>
      <c r="L272" s="3"/>
      <c r="M272" s="3"/>
      <c r="N272" s="3"/>
      <c r="O272" s="3"/>
      <c r="P272" s="3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3"/>
      <c r="K273" s="3"/>
      <c r="L273" s="3"/>
      <c r="M273" s="3"/>
      <c r="N273" s="3"/>
      <c r="O273" s="3"/>
      <c r="P273" s="3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3"/>
      <c r="K274" s="3"/>
      <c r="L274" s="3"/>
      <c r="M274" s="3"/>
      <c r="N274" s="3"/>
      <c r="O274" s="3"/>
      <c r="P274" s="3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3"/>
      <c r="K275" s="3"/>
      <c r="L275" s="3"/>
      <c r="M275" s="3"/>
      <c r="N275" s="3"/>
      <c r="O275" s="3"/>
      <c r="P275" s="3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3"/>
      <c r="K276" s="3"/>
      <c r="L276" s="3"/>
      <c r="M276" s="3"/>
      <c r="N276" s="3"/>
      <c r="O276" s="3"/>
      <c r="P276" s="3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3"/>
      <c r="K277" s="3"/>
      <c r="L277" s="3"/>
      <c r="M277" s="3"/>
      <c r="N277" s="3"/>
      <c r="O277" s="3"/>
      <c r="P277" s="3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3"/>
      <c r="K278" s="3"/>
      <c r="L278" s="3"/>
      <c r="M278" s="3"/>
      <c r="N278" s="3"/>
      <c r="O278" s="3"/>
      <c r="P278" s="3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3"/>
      <c r="K279" s="3"/>
      <c r="L279" s="3"/>
      <c r="M279" s="3"/>
      <c r="N279" s="3"/>
      <c r="O279" s="3"/>
      <c r="P279" s="3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3"/>
      <c r="K280" s="3"/>
      <c r="L280" s="3"/>
      <c r="M280" s="3"/>
      <c r="N280" s="3"/>
      <c r="O280" s="3"/>
      <c r="P280" s="3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3"/>
      <c r="K281" s="3"/>
      <c r="L281" s="3"/>
      <c r="M281" s="3"/>
      <c r="N281" s="3"/>
      <c r="O281" s="3"/>
      <c r="P281" s="3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3"/>
      <c r="K282" s="3"/>
      <c r="L282" s="3"/>
      <c r="M282" s="3"/>
      <c r="N282" s="3"/>
      <c r="O282" s="3"/>
      <c r="P282" s="3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3"/>
      <c r="K283" s="3"/>
      <c r="L283" s="3"/>
      <c r="M283" s="3"/>
      <c r="N283" s="3"/>
      <c r="O283" s="3"/>
      <c r="P283" s="3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3"/>
      <c r="K284" s="3"/>
      <c r="L284" s="3"/>
      <c r="M284" s="3"/>
      <c r="N284" s="3"/>
      <c r="O284" s="3"/>
      <c r="P284" s="3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3"/>
      <c r="K285" s="3"/>
      <c r="L285" s="3"/>
      <c r="M285" s="3"/>
      <c r="N285" s="3"/>
      <c r="O285" s="3"/>
      <c r="P285" s="3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3"/>
      <c r="K286" s="3"/>
      <c r="L286" s="3"/>
      <c r="M286" s="3"/>
      <c r="N286" s="3"/>
      <c r="O286" s="3"/>
      <c r="P286" s="3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3"/>
      <c r="K287" s="3"/>
      <c r="L287" s="3"/>
      <c r="M287" s="3"/>
      <c r="N287" s="3"/>
      <c r="O287" s="3"/>
      <c r="P287" s="3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3"/>
      <c r="K288" s="3"/>
      <c r="L288" s="3"/>
      <c r="M288" s="3"/>
      <c r="N288" s="3"/>
      <c r="O288" s="3"/>
      <c r="P288" s="3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3"/>
      <c r="K289" s="3"/>
      <c r="L289" s="3"/>
      <c r="M289" s="3"/>
      <c r="N289" s="3"/>
      <c r="O289" s="3"/>
      <c r="P289" s="3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3"/>
      <c r="K290" s="3"/>
      <c r="L290" s="3"/>
      <c r="M290" s="3"/>
      <c r="N290" s="3"/>
      <c r="O290" s="3"/>
      <c r="P290" s="3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3"/>
      <c r="K291" s="3"/>
      <c r="L291" s="3"/>
      <c r="M291" s="3"/>
      <c r="N291" s="3"/>
      <c r="O291" s="3"/>
      <c r="P291" s="3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3"/>
      <c r="K292" s="3"/>
      <c r="L292" s="3"/>
      <c r="M292" s="3"/>
      <c r="N292" s="3"/>
      <c r="O292" s="3"/>
      <c r="P292" s="3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3"/>
      <c r="K293" s="3"/>
      <c r="L293" s="3"/>
      <c r="M293" s="3"/>
      <c r="N293" s="3"/>
      <c r="O293" s="3"/>
      <c r="P293" s="3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3"/>
      <c r="K294" s="3"/>
      <c r="L294" s="3"/>
      <c r="M294" s="3"/>
      <c r="N294" s="3"/>
      <c r="O294" s="3"/>
      <c r="P294" s="3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3"/>
      <c r="K295" s="3"/>
      <c r="L295" s="3"/>
      <c r="M295" s="3"/>
      <c r="N295" s="3"/>
      <c r="O295" s="3"/>
      <c r="P295" s="3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3"/>
      <c r="K296" s="3"/>
      <c r="L296" s="3"/>
      <c r="M296" s="3"/>
      <c r="N296" s="3"/>
      <c r="O296" s="3"/>
      <c r="P296" s="3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3"/>
      <c r="K297" s="3"/>
      <c r="L297" s="3"/>
      <c r="M297" s="3"/>
      <c r="N297" s="3"/>
      <c r="O297" s="3"/>
      <c r="P297" s="3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3"/>
      <c r="K298" s="3"/>
      <c r="L298" s="3"/>
      <c r="M298" s="3"/>
      <c r="N298" s="3"/>
      <c r="O298" s="3"/>
      <c r="P298" s="3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3"/>
      <c r="K299" s="3"/>
      <c r="L299" s="3"/>
      <c r="M299" s="3"/>
      <c r="N299" s="3"/>
      <c r="O299" s="3"/>
      <c r="P299" s="3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3"/>
      <c r="K300" s="3"/>
      <c r="L300" s="3"/>
      <c r="M300" s="3"/>
      <c r="N300" s="3"/>
      <c r="O300" s="3"/>
      <c r="P300" s="3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3"/>
      <c r="K301" s="3"/>
      <c r="L301" s="3"/>
      <c r="M301" s="3"/>
      <c r="N301" s="3"/>
      <c r="O301" s="3"/>
      <c r="P301" s="3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3"/>
      <c r="K302" s="3"/>
      <c r="L302" s="3"/>
      <c r="M302" s="3"/>
      <c r="N302" s="3"/>
      <c r="O302" s="3"/>
      <c r="P302" s="3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3"/>
      <c r="K303" s="3"/>
      <c r="L303" s="3"/>
      <c r="M303" s="3"/>
      <c r="N303" s="3"/>
      <c r="O303" s="3"/>
      <c r="P303" s="3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3"/>
      <c r="K304" s="3"/>
      <c r="L304" s="3"/>
      <c r="M304" s="3"/>
      <c r="N304" s="3"/>
      <c r="O304" s="3"/>
      <c r="P304" s="3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3"/>
      <c r="K305" s="3"/>
      <c r="L305" s="3"/>
      <c r="M305" s="3"/>
      <c r="N305" s="3"/>
      <c r="O305" s="3"/>
      <c r="P305" s="3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3"/>
      <c r="K306" s="3"/>
      <c r="L306" s="3"/>
      <c r="M306" s="3"/>
      <c r="N306" s="3"/>
      <c r="O306" s="3"/>
      <c r="P306" s="3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3"/>
      <c r="K307" s="3"/>
      <c r="L307" s="3"/>
      <c r="M307" s="3"/>
      <c r="N307" s="3"/>
      <c r="O307" s="3"/>
      <c r="P307" s="3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3"/>
      <c r="K308" s="3"/>
      <c r="L308" s="3"/>
      <c r="M308" s="3"/>
      <c r="N308" s="3"/>
      <c r="O308" s="3"/>
      <c r="P308" s="3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3"/>
      <c r="K309" s="3"/>
      <c r="L309" s="3"/>
      <c r="M309" s="3"/>
      <c r="N309" s="3"/>
      <c r="O309" s="3"/>
      <c r="P309" s="3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3"/>
      <c r="K310" s="3"/>
      <c r="L310" s="3"/>
      <c r="M310" s="3"/>
      <c r="N310" s="3"/>
      <c r="O310" s="3"/>
      <c r="P310" s="3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3"/>
      <c r="K311" s="3"/>
      <c r="L311" s="3"/>
      <c r="M311" s="3"/>
      <c r="N311" s="3"/>
      <c r="O311" s="3"/>
      <c r="P311" s="3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3"/>
      <c r="K312" s="3"/>
      <c r="L312" s="3"/>
      <c r="M312" s="3"/>
      <c r="N312" s="3"/>
      <c r="O312" s="3"/>
      <c r="P312" s="3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3"/>
      <c r="K313" s="3"/>
      <c r="L313" s="3"/>
      <c r="M313" s="3"/>
      <c r="N313" s="3"/>
      <c r="O313" s="3"/>
      <c r="P313" s="3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3"/>
      <c r="K314" s="3"/>
      <c r="L314" s="3"/>
      <c r="M314" s="3"/>
      <c r="N314" s="3"/>
      <c r="O314" s="3"/>
      <c r="P314" s="3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3"/>
      <c r="K315" s="3"/>
      <c r="L315" s="3"/>
      <c r="M315" s="3"/>
      <c r="N315" s="3"/>
      <c r="O315" s="3"/>
      <c r="P315" s="3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3"/>
      <c r="K316" s="3"/>
      <c r="L316" s="3"/>
      <c r="M316" s="3"/>
      <c r="N316" s="3"/>
      <c r="O316" s="3"/>
      <c r="P316" s="3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3"/>
      <c r="K317" s="3"/>
      <c r="L317" s="3"/>
      <c r="M317" s="3"/>
      <c r="N317" s="3"/>
      <c r="O317" s="3"/>
      <c r="P317" s="3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3"/>
      <c r="K318" s="3"/>
      <c r="L318" s="3"/>
      <c r="M318" s="3"/>
      <c r="N318" s="3"/>
      <c r="O318" s="3"/>
      <c r="P318" s="3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3"/>
      <c r="K319" s="3"/>
      <c r="L319" s="3"/>
      <c r="M319" s="3"/>
      <c r="N319" s="3"/>
      <c r="O319" s="3"/>
      <c r="P319" s="3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3"/>
      <c r="K320" s="3"/>
      <c r="L320" s="3"/>
      <c r="M320" s="3"/>
      <c r="N320" s="3"/>
      <c r="O320" s="3"/>
      <c r="P320" s="3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3"/>
      <c r="K321" s="3"/>
      <c r="L321" s="3"/>
      <c r="M321" s="3"/>
      <c r="N321" s="3"/>
      <c r="O321" s="3"/>
      <c r="P321" s="3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3"/>
      <c r="K322" s="3"/>
      <c r="L322" s="3"/>
      <c r="M322" s="3"/>
      <c r="N322" s="3"/>
      <c r="O322" s="3"/>
      <c r="P322" s="3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3"/>
      <c r="K323" s="3"/>
      <c r="L323" s="3"/>
      <c r="M323" s="3"/>
      <c r="N323" s="3"/>
      <c r="O323" s="3"/>
      <c r="P323" s="3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3"/>
      <c r="K324" s="3"/>
      <c r="L324" s="3"/>
      <c r="M324" s="3"/>
      <c r="N324" s="3"/>
      <c r="O324" s="3"/>
      <c r="P324" s="3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3"/>
      <c r="K325" s="3"/>
      <c r="L325" s="3"/>
      <c r="M325" s="3"/>
      <c r="N325" s="3"/>
      <c r="O325" s="3"/>
      <c r="P325" s="3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2.5" x14ac:dyDescent="0.25">
      <c r="J326" s="115"/>
      <c r="K326" s="115"/>
      <c r="L326" s="115"/>
      <c r="M326" s="115"/>
      <c r="N326" s="115"/>
      <c r="O326" s="115"/>
      <c r="P326" s="115"/>
    </row>
    <row r="327" spans="1:30" ht="12.5" x14ac:dyDescent="0.25">
      <c r="J327" s="115"/>
      <c r="K327" s="115"/>
      <c r="L327" s="115"/>
      <c r="M327" s="115"/>
      <c r="N327" s="115"/>
      <c r="O327" s="115"/>
      <c r="P327" s="115"/>
    </row>
    <row r="328" spans="1:30" ht="12.5" x14ac:dyDescent="0.25">
      <c r="J328" s="115"/>
      <c r="K328" s="115"/>
      <c r="L328" s="115"/>
      <c r="M328" s="115"/>
      <c r="N328" s="115"/>
      <c r="O328" s="115"/>
      <c r="P328" s="115"/>
    </row>
    <row r="329" spans="1:30" ht="12.5" x14ac:dyDescent="0.25">
      <c r="J329" s="115"/>
      <c r="K329" s="115"/>
      <c r="L329" s="115"/>
      <c r="M329" s="115"/>
      <c r="N329" s="115"/>
      <c r="O329" s="115"/>
      <c r="P329" s="115"/>
    </row>
    <row r="330" spans="1:30" ht="12.5" x14ac:dyDescent="0.25">
      <c r="J330" s="115"/>
      <c r="K330" s="115"/>
      <c r="L330" s="115"/>
      <c r="M330" s="115"/>
      <c r="N330" s="115"/>
      <c r="O330" s="115"/>
      <c r="P330" s="115"/>
    </row>
    <row r="331" spans="1:30" ht="12.5" x14ac:dyDescent="0.25">
      <c r="J331" s="115"/>
      <c r="K331" s="115"/>
      <c r="L331" s="115"/>
      <c r="M331" s="115"/>
      <c r="N331" s="115"/>
      <c r="O331" s="115"/>
      <c r="P331" s="115"/>
    </row>
    <row r="332" spans="1:30" ht="12.5" x14ac:dyDescent="0.25">
      <c r="J332" s="115"/>
      <c r="K332" s="115"/>
      <c r="L332" s="115"/>
      <c r="M332" s="115"/>
      <c r="N332" s="115"/>
      <c r="O332" s="115"/>
      <c r="P332" s="115"/>
    </row>
    <row r="333" spans="1:30" ht="12.5" x14ac:dyDescent="0.25">
      <c r="J333" s="115"/>
      <c r="K333" s="115"/>
      <c r="L333" s="115"/>
      <c r="M333" s="115"/>
      <c r="N333" s="115"/>
      <c r="O333" s="115"/>
      <c r="P333" s="115"/>
    </row>
    <row r="334" spans="1:30" ht="12.5" x14ac:dyDescent="0.25">
      <c r="J334" s="115"/>
      <c r="K334" s="115"/>
      <c r="L334" s="115"/>
      <c r="M334" s="115"/>
      <c r="N334" s="115"/>
      <c r="O334" s="115"/>
      <c r="P334" s="115"/>
    </row>
    <row r="335" spans="1:30" ht="12.5" x14ac:dyDescent="0.25">
      <c r="J335" s="115"/>
      <c r="K335" s="115"/>
      <c r="L335" s="115"/>
      <c r="M335" s="115"/>
      <c r="N335" s="115"/>
      <c r="O335" s="115"/>
      <c r="P335" s="115"/>
    </row>
    <row r="336" spans="1:30" ht="12.5" x14ac:dyDescent="0.25">
      <c r="J336" s="115"/>
      <c r="K336" s="115"/>
      <c r="L336" s="115"/>
      <c r="M336" s="115"/>
      <c r="N336" s="115"/>
      <c r="O336" s="115"/>
      <c r="P336" s="115"/>
    </row>
    <row r="337" spans="10:16" ht="12.5" x14ac:dyDescent="0.25">
      <c r="J337" s="115"/>
      <c r="K337" s="115"/>
      <c r="L337" s="115"/>
      <c r="M337" s="115"/>
      <c r="N337" s="115"/>
      <c r="O337" s="115"/>
      <c r="P337" s="115"/>
    </row>
    <row r="338" spans="10:16" ht="12.5" x14ac:dyDescent="0.25">
      <c r="J338" s="115"/>
      <c r="K338" s="115"/>
      <c r="L338" s="115"/>
      <c r="M338" s="115"/>
      <c r="N338" s="115"/>
      <c r="O338" s="115"/>
      <c r="P338" s="115"/>
    </row>
    <row r="339" spans="10:16" ht="12.5" x14ac:dyDescent="0.25">
      <c r="J339" s="115"/>
      <c r="K339" s="115"/>
      <c r="L339" s="115"/>
      <c r="M339" s="115"/>
      <c r="N339" s="115"/>
      <c r="O339" s="115"/>
      <c r="P339" s="115"/>
    </row>
    <row r="340" spans="10:16" ht="12.5" x14ac:dyDescent="0.25">
      <c r="J340" s="115"/>
      <c r="K340" s="115"/>
      <c r="L340" s="115"/>
      <c r="M340" s="115"/>
      <c r="N340" s="115"/>
      <c r="O340" s="115"/>
      <c r="P340" s="115"/>
    </row>
    <row r="341" spans="10:16" ht="12.5" x14ac:dyDescent="0.25">
      <c r="J341" s="115"/>
      <c r="K341" s="115"/>
      <c r="L341" s="115"/>
      <c r="M341" s="115"/>
      <c r="N341" s="115"/>
      <c r="O341" s="115"/>
      <c r="P341" s="115"/>
    </row>
    <row r="342" spans="10:16" ht="12.5" x14ac:dyDescent="0.25">
      <c r="J342" s="115"/>
      <c r="K342" s="115"/>
      <c r="L342" s="115"/>
      <c r="M342" s="115"/>
      <c r="N342" s="115"/>
      <c r="O342" s="115"/>
      <c r="P342" s="115"/>
    </row>
    <row r="343" spans="10:16" ht="12.5" x14ac:dyDescent="0.25">
      <c r="J343" s="115"/>
      <c r="K343" s="115"/>
      <c r="L343" s="115"/>
      <c r="M343" s="115"/>
      <c r="N343" s="115"/>
      <c r="O343" s="115"/>
      <c r="P343" s="115"/>
    </row>
    <row r="344" spans="10:16" ht="12.5" x14ac:dyDescent="0.25">
      <c r="J344" s="115"/>
      <c r="K344" s="115"/>
      <c r="L344" s="115"/>
      <c r="M344" s="115"/>
      <c r="N344" s="115"/>
      <c r="O344" s="115"/>
      <c r="P344" s="115"/>
    </row>
    <row r="345" spans="10:16" ht="12.5" x14ac:dyDescent="0.25">
      <c r="J345" s="115"/>
      <c r="K345" s="115"/>
      <c r="L345" s="115"/>
      <c r="M345" s="115"/>
      <c r="N345" s="115"/>
      <c r="O345" s="115"/>
      <c r="P345" s="115"/>
    </row>
    <row r="346" spans="10:16" ht="12.5" x14ac:dyDescent="0.25">
      <c r="J346" s="115"/>
      <c r="K346" s="115"/>
      <c r="L346" s="115"/>
      <c r="M346" s="115"/>
      <c r="N346" s="115"/>
      <c r="O346" s="115"/>
      <c r="P346" s="115"/>
    </row>
    <row r="347" spans="10:16" ht="12.5" x14ac:dyDescent="0.25">
      <c r="J347" s="115"/>
      <c r="K347" s="115"/>
      <c r="L347" s="115"/>
      <c r="M347" s="115"/>
      <c r="N347" s="115"/>
      <c r="O347" s="115"/>
      <c r="P347" s="115"/>
    </row>
    <row r="348" spans="10:16" ht="12.5" x14ac:dyDescent="0.25">
      <c r="J348" s="115"/>
      <c r="K348" s="115"/>
      <c r="L348" s="115"/>
      <c r="M348" s="115"/>
      <c r="N348" s="115"/>
      <c r="O348" s="115"/>
      <c r="P348" s="115"/>
    </row>
    <row r="349" spans="10:16" ht="12.5" x14ac:dyDescent="0.25">
      <c r="J349" s="115"/>
      <c r="K349" s="115"/>
      <c r="L349" s="115"/>
      <c r="M349" s="115"/>
      <c r="N349" s="115"/>
      <c r="O349" s="115"/>
      <c r="P349" s="115"/>
    </row>
    <row r="350" spans="10:16" ht="12.5" x14ac:dyDescent="0.25">
      <c r="J350" s="115"/>
      <c r="K350" s="115"/>
      <c r="L350" s="115"/>
      <c r="M350" s="115"/>
      <c r="N350" s="115"/>
      <c r="O350" s="115"/>
      <c r="P350" s="115"/>
    </row>
    <row r="351" spans="10:16" ht="12.5" x14ac:dyDescent="0.25">
      <c r="J351" s="115"/>
      <c r="K351" s="115"/>
      <c r="L351" s="115"/>
      <c r="M351" s="115"/>
      <c r="N351" s="115"/>
      <c r="O351" s="115"/>
      <c r="P351" s="115"/>
    </row>
    <row r="352" spans="10:16" ht="12.5" x14ac:dyDescent="0.25">
      <c r="J352" s="115"/>
      <c r="K352" s="115"/>
      <c r="L352" s="115"/>
      <c r="M352" s="115"/>
      <c r="N352" s="115"/>
      <c r="O352" s="115"/>
      <c r="P352" s="115"/>
    </row>
    <row r="353" spans="10:16" ht="12.5" x14ac:dyDescent="0.25">
      <c r="J353" s="115"/>
      <c r="K353" s="115"/>
      <c r="L353" s="115"/>
      <c r="M353" s="115"/>
      <c r="N353" s="115"/>
      <c r="O353" s="115"/>
      <c r="P353" s="115"/>
    </row>
    <row r="354" spans="10:16" ht="12.5" x14ac:dyDescent="0.25">
      <c r="J354" s="115"/>
      <c r="K354" s="115"/>
      <c r="L354" s="115"/>
      <c r="M354" s="115"/>
      <c r="N354" s="115"/>
      <c r="O354" s="115"/>
      <c r="P354" s="115"/>
    </row>
    <row r="355" spans="10:16" ht="12.5" x14ac:dyDescent="0.25">
      <c r="J355" s="115"/>
      <c r="K355" s="115"/>
      <c r="L355" s="115"/>
      <c r="M355" s="115"/>
      <c r="N355" s="115"/>
      <c r="O355" s="115"/>
      <c r="P355" s="115"/>
    </row>
    <row r="356" spans="10:16" ht="12.5" x14ac:dyDescent="0.25">
      <c r="J356" s="115"/>
      <c r="K356" s="115"/>
      <c r="L356" s="115"/>
      <c r="M356" s="115"/>
      <c r="N356" s="115"/>
      <c r="O356" s="115"/>
      <c r="P356" s="115"/>
    </row>
    <row r="357" spans="10:16" ht="12.5" x14ac:dyDescent="0.25">
      <c r="J357" s="115"/>
      <c r="K357" s="115"/>
      <c r="L357" s="115"/>
      <c r="M357" s="115"/>
      <c r="N357" s="115"/>
      <c r="O357" s="115"/>
      <c r="P357" s="115"/>
    </row>
    <row r="358" spans="10:16" ht="12.5" x14ac:dyDescent="0.25">
      <c r="J358" s="115"/>
      <c r="K358" s="115"/>
      <c r="L358" s="115"/>
      <c r="M358" s="115"/>
      <c r="N358" s="115"/>
      <c r="O358" s="115"/>
      <c r="P358" s="115"/>
    </row>
    <row r="359" spans="10:16" ht="12.5" x14ac:dyDescent="0.25">
      <c r="J359" s="115"/>
      <c r="K359" s="115"/>
      <c r="L359" s="115"/>
      <c r="M359" s="115"/>
      <c r="N359" s="115"/>
      <c r="O359" s="115"/>
      <c r="P359" s="115"/>
    </row>
    <row r="360" spans="10:16" ht="12.5" x14ac:dyDescent="0.25">
      <c r="J360" s="115"/>
      <c r="K360" s="115"/>
      <c r="L360" s="115"/>
      <c r="M360" s="115"/>
      <c r="N360" s="115"/>
      <c r="O360" s="115"/>
      <c r="P360" s="115"/>
    </row>
    <row r="361" spans="10:16" ht="12.5" x14ac:dyDescent="0.25">
      <c r="J361" s="115"/>
      <c r="K361" s="115"/>
      <c r="L361" s="115"/>
      <c r="M361" s="115"/>
      <c r="N361" s="115"/>
      <c r="O361" s="115"/>
      <c r="P361" s="115"/>
    </row>
    <row r="362" spans="10:16" ht="12.5" x14ac:dyDescent="0.25">
      <c r="J362" s="115"/>
      <c r="K362" s="115"/>
      <c r="L362" s="115"/>
      <c r="M362" s="115"/>
      <c r="N362" s="115"/>
      <c r="O362" s="115"/>
      <c r="P362" s="115"/>
    </row>
    <row r="363" spans="10:16" ht="12.5" x14ac:dyDescent="0.25">
      <c r="J363" s="115"/>
      <c r="K363" s="115"/>
      <c r="L363" s="115"/>
      <c r="M363" s="115"/>
      <c r="N363" s="115"/>
      <c r="O363" s="115"/>
      <c r="P363" s="115"/>
    </row>
    <row r="364" spans="10:16" ht="12.5" x14ac:dyDescent="0.25">
      <c r="J364" s="115"/>
      <c r="K364" s="115"/>
      <c r="L364" s="115"/>
      <c r="M364" s="115"/>
      <c r="N364" s="115"/>
      <c r="O364" s="115"/>
      <c r="P364" s="115"/>
    </row>
    <row r="365" spans="10:16" ht="12.5" x14ac:dyDescent="0.25">
      <c r="J365" s="115"/>
      <c r="K365" s="115"/>
      <c r="L365" s="115"/>
      <c r="M365" s="115"/>
      <c r="N365" s="115"/>
      <c r="O365" s="115"/>
      <c r="P365" s="115"/>
    </row>
    <row r="366" spans="10:16" ht="12.5" x14ac:dyDescent="0.25">
      <c r="J366" s="115"/>
      <c r="K366" s="115"/>
      <c r="L366" s="115"/>
      <c r="M366" s="115"/>
      <c r="N366" s="115"/>
      <c r="O366" s="115"/>
      <c r="P366" s="115"/>
    </row>
    <row r="367" spans="10:16" ht="12.5" x14ac:dyDescent="0.25">
      <c r="J367" s="115"/>
      <c r="K367" s="115"/>
      <c r="L367" s="115"/>
      <c r="M367" s="115"/>
      <c r="N367" s="115"/>
      <c r="O367" s="115"/>
      <c r="P367" s="115"/>
    </row>
    <row r="368" spans="10:16" ht="12.5" x14ac:dyDescent="0.25">
      <c r="J368" s="115"/>
      <c r="K368" s="115"/>
      <c r="L368" s="115"/>
      <c r="M368" s="115"/>
      <c r="N368" s="115"/>
      <c r="O368" s="115"/>
      <c r="P368" s="115"/>
    </row>
    <row r="369" spans="10:16" ht="12.5" x14ac:dyDescent="0.25">
      <c r="J369" s="115"/>
      <c r="K369" s="115"/>
      <c r="L369" s="115"/>
      <c r="M369" s="115"/>
      <c r="N369" s="115"/>
      <c r="O369" s="115"/>
      <c r="P369" s="115"/>
    </row>
    <row r="370" spans="10:16" ht="12.5" x14ac:dyDescent="0.25">
      <c r="J370" s="115"/>
      <c r="K370" s="115"/>
      <c r="L370" s="115"/>
      <c r="M370" s="115"/>
      <c r="N370" s="115"/>
      <c r="O370" s="115"/>
      <c r="P370" s="115"/>
    </row>
    <row r="371" spans="10:16" ht="12.5" x14ac:dyDescent="0.25">
      <c r="J371" s="115"/>
      <c r="K371" s="115"/>
      <c r="L371" s="115"/>
      <c r="M371" s="115"/>
      <c r="N371" s="115"/>
      <c r="O371" s="115"/>
      <c r="P371" s="115"/>
    </row>
    <row r="372" spans="10:16" ht="12.5" x14ac:dyDescent="0.25">
      <c r="J372" s="115"/>
      <c r="K372" s="115"/>
      <c r="L372" s="115"/>
      <c r="M372" s="115"/>
      <c r="N372" s="115"/>
      <c r="O372" s="115"/>
      <c r="P372" s="115"/>
    </row>
    <row r="373" spans="10:16" ht="12.5" x14ac:dyDescent="0.25">
      <c r="J373" s="115"/>
      <c r="K373" s="115"/>
      <c r="L373" s="115"/>
      <c r="M373" s="115"/>
      <c r="N373" s="115"/>
      <c r="O373" s="115"/>
      <c r="P373" s="115"/>
    </row>
    <row r="374" spans="10:16" ht="12.5" x14ac:dyDescent="0.25">
      <c r="J374" s="115"/>
      <c r="K374" s="115"/>
      <c r="L374" s="115"/>
      <c r="M374" s="115"/>
      <c r="N374" s="115"/>
      <c r="O374" s="115"/>
      <c r="P374" s="115"/>
    </row>
    <row r="375" spans="10:16" ht="12.5" x14ac:dyDescent="0.25">
      <c r="J375" s="115"/>
      <c r="K375" s="115"/>
      <c r="L375" s="115"/>
      <c r="M375" s="115"/>
      <c r="N375" s="115"/>
      <c r="O375" s="115"/>
      <c r="P375" s="115"/>
    </row>
    <row r="376" spans="10:16" ht="12.5" x14ac:dyDescent="0.25">
      <c r="J376" s="115"/>
      <c r="K376" s="115"/>
      <c r="L376" s="115"/>
      <c r="M376" s="115"/>
      <c r="N376" s="115"/>
      <c r="O376" s="115"/>
      <c r="P376" s="115"/>
    </row>
    <row r="377" spans="10:16" ht="12.5" x14ac:dyDescent="0.25">
      <c r="J377" s="115"/>
      <c r="K377" s="115"/>
      <c r="L377" s="115"/>
      <c r="M377" s="115"/>
      <c r="N377" s="115"/>
      <c r="O377" s="115"/>
      <c r="P377" s="115"/>
    </row>
    <row r="378" spans="10:16" ht="12.5" x14ac:dyDescent="0.25">
      <c r="J378" s="115"/>
      <c r="K378" s="115"/>
      <c r="L378" s="115"/>
      <c r="M378" s="115"/>
      <c r="N378" s="115"/>
      <c r="O378" s="115"/>
      <c r="P378" s="115"/>
    </row>
    <row r="379" spans="10:16" ht="12.5" x14ac:dyDescent="0.25">
      <c r="J379" s="115"/>
      <c r="K379" s="115"/>
      <c r="L379" s="115"/>
      <c r="M379" s="115"/>
      <c r="N379" s="115"/>
      <c r="O379" s="115"/>
      <c r="P379" s="115"/>
    </row>
    <row r="380" spans="10:16" ht="12.5" x14ac:dyDescent="0.25">
      <c r="J380" s="115"/>
      <c r="K380" s="115"/>
      <c r="L380" s="115"/>
      <c r="M380" s="115"/>
      <c r="N380" s="115"/>
      <c r="O380" s="115"/>
      <c r="P380" s="115"/>
    </row>
    <row r="381" spans="10:16" ht="12.5" x14ac:dyDescent="0.25">
      <c r="J381" s="115"/>
      <c r="K381" s="115"/>
      <c r="L381" s="115"/>
      <c r="M381" s="115"/>
      <c r="N381" s="115"/>
      <c r="O381" s="115"/>
      <c r="P381" s="115"/>
    </row>
    <row r="382" spans="10:16" ht="12.5" x14ac:dyDescent="0.25">
      <c r="J382" s="115"/>
      <c r="K382" s="115"/>
      <c r="L382" s="115"/>
      <c r="M382" s="115"/>
      <c r="N382" s="115"/>
      <c r="O382" s="115"/>
      <c r="P382" s="115"/>
    </row>
    <row r="383" spans="10:16" ht="12.5" x14ac:dyDescent="0.25">
      <c r="J383" s="115"/>
      <c r="K383" s="115"/>
      <c r="L383" s="115"/>
      <c r="M383" s="115"/>
      <c r="N383" s="115"/>
      <c r="O383" s="115"/>
      <c r="P383" s="115"/>
    </row>
    <row r="384" spans="10:16" ht="12.5" x14ac:dyDescent="0.25">
      <c r="J384" s="115"/>
      <c r="K384" s="115"/>
      <c r="L384" s="115"/>
      <c r="M384" s="115"/>
      <c r="N384" s="115"/>
      <c r="O384" s="115"/>
      <c r="P384" s="115"/>
    </row>
    <row r="385" spans="10:16" ht="12.5" x14ac:dyDescent="0.25">
      <c r="J385" s="115"/>
      <c r="K385" s="115"/>
      <c r="L385" s="115"/>
      <c r="M385" s="115"/>
      <c r="N385" s="115"/>
      <c r="O385" s="115"/>
      <c r="P385" s="115"/>
    </row>
    <row r="386" spans="10:16" ht="12.5" x14ac:dyDescent="0.25">
      <c r="J386" s="115"/>
      <c r="K386" s="115"/>
      <c r="L386" s="115"/>
      <c r="M386" s="115"/>
      <c r="N386" s="115"/>
      <c r="O386" s="115"/>
      <c r="P386" s="115"/>
    </row>
    <row r="387" spans="10:16" ht="12.5" x14ac:dyDescent="0.25">
      <c r="J387" s="115"/>
      <c r="K387" s="115"/>
      <c r="L387" s="115"/>
      <c r="M387" s="115"/>
      <c r="N387" s="115"/>
      <c r="O387" s="115"/>
      <c r="P387" s="115"/>
    </row>
    <row r="388" spans="10:16" ht="12.5" x14ac:dyDescent="0.25">
      <c r="J388" s="115"/>
      <c r="K388" s="115"/>
      <c r="L388" s="115"/>
      <c r="M388" s="115"/>
      <c r="N388" s="115"/>
      <c r="O388" s="115"/>
      <c r="P388" s="115"/>
    </row>
    <row r="389" spans="10:16" ht="12.5" x14ac:dyDescent="0.25">
      <c r="J389" s="115"/>
      <c r="K389" s="115"/>
      <c r="L389" s="115"/>
      <c r="M389" s="115"/>
      <c r="N389" s="115"/>
      <c r="O389" s="115"/>
      <c r="P389" s="115"/>
    </row>
    <row r="390" spans="10:16" ht="12.5" x14ac:dyDescent="0.25">
      <c r="J390" s="115"/>
      <c r="K390" s="115"/>
      <c r="L390" s="115"/>
      <c r="M390" s="115"/>
      <c r="N390" s="115"/>
      <c r="O390" s="115"/>
      <c r="P390" s="115"/>
    </row>
    <row r="391" spans="10:16" ht="12.5" x14ac:dyDescent="0.25">
      <c r="J391" s="115"/>
      <c r="K391" s="115"/>
      <c r="L391" s="115"/>
      <c r="M391" s="115"/>
      <c r="N391" s="115"/>
      <c r="O391" s="115"/>
      <c r="P391" s="115"/>
    </row>
    <row r="392" spans="10:16" ht="12.5" x14ac:dyDescent="0.25">
      <c r="J392" s="115"/>
      <c r="K392" s="115"/>
      <c r="L392" s="115"/>
      <c r="M392" s="115"/>
      <c r="N392" s="115"/>
      <c r="O392" s="115"/>
      <c r="P392" s="115"/>
    </row>
    <row r="393" spans="10:16" ht="12.5" x14ac:dyDescent="0.25">
      <c r="J393" s="115"/>
      <c r="K393" s="115"/>
      <c r="L393" s="115"/>
      <c r="M393" s="115"/>
      <c r="N393" s="115"/>
      <c r="O393" s="115"/>
      <c r="P393" s="115"/>
    </row>
    <row r="394" spans="10:16" ht="12.5" x14ac:dyDescent="0.25">
      <c r="J394" s="115"/>
      <c r="K394" s="115"/>
      <c r="L394" s="115"/>
      <c r="M394" s="115"/>
      <c r="N394" s="115"/>
      <c r="O394" s="115"/>
      <c r="P394" s="115"/>
    </row>
    <row r="395" spans="10:16" ht="12.5" x14ac:dyDescent="0.25">
      <c r="J395" s="115"/>
      <c r="K395" s="115"/>
      <c r="L395" s="115"/>
      <c r="M395" s="115"/>
      <c r="N395" s="115"/>
      <c r="O395" s="115"/>
      <c r="P395" s="115"/>
    </row>
    <row r="396" spans="10:16" ht="12.5" x14ac:dyDescent="0.25">
      <c r="J396" s="115"/>
      <c r="K396" s="115"/>
      <c r="L396" s="115"/>
      <c r="M396" s="115"/>
      <c r="N396" s="115"/>
      <c r="O396" s="115"/>
      <c r="P396" s="115"/>
    </row>
    <row r="397" spans="10:16" ht="12.5" x14ac:dyDescent="0.25">
      <c r="J397" s="115"/>
      <c r="K397" s="115"/>
      <c r="L397" s="115"/>
      <c r="M397" s="115"/>
      <c r="N397" s="115"/>
      <c r="O397" s="115"/>
      <c r="P397" s="115"/>
    </row>
    <row r="398" spans="10:16" ht="12.5" x14ac:dyDescent="0.25">
      <c r="J398" s="115"/>
      <c r="K398" s="115"/>
      <c r="L398" s="115"/>
      <c r="M398" s="115"/>
      <c r="N398" s="115"/>
      <c r="O398" s="115"/>
      <c r="P398" s="115"/>
    </row>
    <row r="399" spans="10:16" ht="12.5" x14ac:dyDescent="0.25">
      <c r="J399" s="115"/>
      <c r="K399" s="115"/>
      <c r="L399" s="115"/>
      <c r="M399" s="115"/>
      <c r="N399" s="115"/>
      <c r="O399" s="115"/>
      <c r="P399" s="115"/>
    </row>
    <row r="400" spans="10:16" ht="12.5" x14ac:dyDescent="0.25">
      <c r="J400" s="115"/>
      <c r="K400" s="115"/>
      <c r="L400" s="115"/>
      <c r="M400" s="115"/>
      <c r="N400" s="115"/>
      <c r="O400" s="115"/>
      <c r="P400" s="115"/>
    </row>
    <row r="401" spans="10:16" ht="12.5" x14ac:dyDescent="0.25">
      <c r="J401" s="115"/>
      <c r="K401" s="115"/>
      <c r="L401" s="115"/>
      <c r="M401" s="115"/>
      <c r="N401" s="115"/>
      <c r="O401" s="115"/>
      <c r="P401" s="115"/>
    </row>
    <row r="402" spans="10:16" ht="12.5" x14ac:dyDescent="0.25">
      <c r="J402" s="115"/>
      <c r="K402" s="115"/>
      <c r="L402" s="115"/>
      <c r="M402" s="115"/>
      <c r="N402" s="115"/>
      <c r="O402" s="115"/>
      <c r="P402" s="115"/>
    </row>
    <row r="403" spans="10:16" ht="12.5" x14ac:dyDescent="0.25">
      <c r="J403" s="115"/>
      <c r="K403" s="115"/>
      <c r="L403" s="115"/>
      <c r="M403" s="115"/>
      <c r="N403" s="115"/>
      <c r="O403" s="115"/>
      <c r="P403" s="115"/>
    </row>
    <row r="404" spans="10:16" ht="12.5" x14ac:dyDescent="0.25">
      <c r="J404" s="115"/>
      <c r="K404" s="115"/>
      <c r="L404" s="115"/>
      <c r="M404" s="115"/>
      <c r="N404" s="115"/>
      <c r="O404" s="115"/>
      <c r="P404" s="115"/>
    </row>
    <row r="405" spans="10:16" ht="12.5" x14ac:dyDescent="0.25">
      <c r="J405" s="115"/>
      <c r="K405" s="115"/>
      <c r="L405" s="115"/>
      <c r="M405" s="115"/>
      <c r="N405" s="115"/>
      <c r="O405" s="115"/>
      <c r="P405" s="115"/>
    </row>
    <row r="406" spans="10:16" ht="12.5" x14ac:dyDescent="0.25">
      <c r="J406" s="115"/>
      <c r="K406" s="115"/>
      <c r="L406" s="115"/>
      <c r="M406" s="115"/>
      <c r="N406" s="115"/>
      <c r="O406" s="115"/>
      <c r="P406" s="115"/>
    </row>
    <row r="407" spans="10:16" ht="12.5" x14ac:dyDescent="0.25">
      <c r="J407" s="115"/>
      <c r="K407" s="115"/>
      <c r="L407" s="115"/>
      <c r="M407" s="115"/>
      <c r="N407" s="115"/>
      <c r="O407" s="115"/>
      <c r="P407" s="115"/>
    </row>
    <row r="408" spans="10:16" ht="12.5" x14ac:dyDescent="0.25">
      <c r="J408" s="115"/>
      <c r="K408" s="115"/>
      <c r="L408" s="115"/>
      <c r="M408" s="115"/>
      <c r="N408" s="115"/>
      <c r="O408" s="115"/>
      <c r="P408" s="115"/>
    </row>
    <row r="409" spans="10:16" ht="12.5" x14ac:dyDescent="0.25">
      <c r="J409" s="115"/>
      <c r="K409" s="115"/>
      <c r="L409" s="115"/>
      <c r="M409" s="115"/>
      <c r="N409" s="115"/>
      <c r="O409" s="115"/>
      <c r="P409" s="115"/>
    </row>
    <row r="410" spans="10:16" ht="12.5" x14ac:dyDescent="0.25">
      <c r="J410" s="115"/>
      <c r="K410" s="115"/>
      <c r="L410" s="115"/>
      <c r="M410" s="115"/>
      <c r="N410" s="115"/>
      <c r="O410" s="115"/>
      <c r="P410" s="115"/>
    </row>
    <row r="411" spans="10:16" ht="12.5" x14ac:dyDescent="0.25">
      <c r="J411" s="115"/>
      <c r="K411" s="115"/>
      <c r="L411" s="115"/>
      <c r="M411" s="115"/>
      <c r="N411" s="115"/>
      <c r="O411" s="115"/>
      <c r="P411" s="115"/>
    </row>
    <row r="412" spans="10:16" ht="12.5" x14ac:dyDescent="0.25">
      <c r="J412" s="115"/>
      <c r="K412" s="115"/>
      <c r="L412" s="115"/>
      <c r="M412" s="115"/>
      <c r="N412" s="115"/>
      <c r="O412" s="115"/>
      <c r="P412" s="115"/>
    </row>
    <row r="413" spans="10:16" ht="12.5" x14ac:dyDescent="0.25">
      <c r="J413" s="115"/>
      <c r="K413" s="115"/>
      <c r="L413" s="115"/>
      <c r="M413" s="115"/>
      <c r="N413" s="115"/>
      <c r="O413" s="115"/>
      <c r="P413" s="115"/>
    </row>
    <row r="414" spans="10:16" ht="12.5" x14ac:dyDescent="0.25">
      <c r="J414" s="115"/>
      <c r="K414" s="115"/>
      <c r="L414" s="115"/>
      <c r="M414" s="115"/>
      <c r="N414" s="115"/>
      <c r="O414" s="115"/>
      <c r="P414" s="115"/>
    </row>
    <row r="415" spans="10:16" ht="12.5" x14ac:dyDescent="0.25">
      <c r="J415" s="115"/>
      <c r="K415" s="115"/>
      <c r="L415" s="115"/>
      <c r="M415" s="115"/>
      <c r="N415" s="115"/>
      <c r="O415" s="115"/>
      <c r="P415" s="115"/>
    </row>
    <row r="416" spans="10:16" ht="12.5" x14ac:dyDescent="0.25">
      <c r="J416" s="115"/>
      <c r="K416" s="115"/>
      <c r="L416" s="115"/>
      <c r="M416" s="115"/>
      <c r="N416" s="115"/>
      <c r="O416" s="115"/>
      <c r="P416" s="115"/>
    </row>
    <row r="417" spans="10:16" ht="12.5" x14ac:dyDescent="0.25">
      <c r="J417" s="115"/>
      <c r="K417" s="115"/>
      <c r="L417" s="115"/>
      <c r="M417" s="115"/>
      <c r="N417" s="115"/>
      <c r="O417" s="115"/>
      <c r="P417" s="115"/>
    </row>
    <row r="418" spans="10:16" ht="12.5" x14ac:dyDescent="0.25">
      <c r="J418" s="115"/>
      <c r="K418" s="115"/>
      <c r="L418" s="115"/>
      <c r="M418" s="115"/>
      <c r="N418" s="115"/>
      <c r="O418" s="115"/>
      <c r="P418" s="115"/>
    </row>
    <row r="419" spans="10:16" ht="12.5" x14ac:dyDescent="0.25">
      <c r="J419" s="115"/>
      <c r="K419" s="115"/>
      <c r="L419" s="115"/>
      <c r="M419" s="115"/>
      <c r="N419" s="115"/>
      <c r="O419" s="115"/>
      <c r="P419" s="115"/>
    </row>
    <row r="420" spans="10:16" ht="12.5" x14ac:dyDescent="0.25">
      <c r="J420" s="115"/>
      <c r="K420" s="115"/>
      <c r="L420" s="115"/>
      <c r="M420" s="115"/>
      <c r="N420" s="115"/>
      <c r="O420" s="115"/>
      <c r="P420" s="115"/>
    </row>
    <row r="421" spans="10:16" ht="12.5" x14ac:dyDescent="0.25">
      <c r="J421" s="115"/>
      <c r="K421" s="115"/>
      <c r="L421" s="115"/>
      <c r="M421" s="115"/>
      <c r="N421" s="115"/>
      <c r="O421" s="115"/>
      <c r="P421" s="115"/>
    </row>
    <row r="422" spans="10:16" ht="12.5" x14ac:dyDescent="0.25">
      <c r="J422" s="115"/>
      <c r="K422" s="115"/>
      <c r="L422" s="115"/>
      <c r="M422" s="115"/>
      <c r="N422" s="115"/>
      <c r="O422" s="115"/>
      <c r="P422" s="115"/>
    </row>
    <row r="423" spans="10:16" ht="12.5" x14ac:dyDescent="0.25">
      <c r="J423" s="115"/>
      <c r="K423" s="115"/>
      <c r="L423" s="115"/>
      <c r="M423" s="115"/>
      <c r="N423" s="115"/>
      <c r="O423" s="115"/>
      <c r="P423" s="115"/>
    </row>
    <row r="424" spans="10:16" ht="12.5" x14ac:dyDescent="0.25">
      <c r="J424" s="115"/>
      <c r="K424" s="115"/>
      <c r="L424" s="115"/>
      <c r="M424" s="115"/>
      <c r="N424" s="115"/>
      <c r="O424" s="115"/>
      <c r="P424" s="115"/>
    </row>
    <row r="425" spans="10:16" ht="12.5" x14ac:dyDescent="0.25">
      <c r="J425" s="115"/>
      <c r="K425" s="115"/>
      <c r="L425" s="115"/>
      <c r="M425" s="115"/>
      <c r="N425" s="115"/>
      <c r="O425" s="115"/>
      <c r="P425" s="115"/>
    </row>
    <row r="426" spans="10:16" ht="12.5" x14ac:dyDescent="0.25">
      <c r="J426" s="115"/>
      <c r="K426" s="115"/>
      <c r="L426" s="115"/>
      <c r="M426" s="115"/>
      <c r="N426" s="115"/>
      <c r="O426" s="115"/>
      <c r="P426" s="115"/>
    </row>
    <row r="427" spans="10:16" ht="12.5" x14ac:dyDescent="0.25">
      <c r="J427" s="115"/>
      <c r="K427" s="115"/>
      <c r="L427" s="115"/>
      <c r="M427" s="115"/>
      <c r="N427" s="115"/>
      <c r="O427" s="115"/>
      <c r="P427" s="115"/>
    </row>
    <row r="428" spans="10:16" ht="12.5" x14ac:dyDescent="0.25">
      <c r="J428" s="115"/>
      <c r="K428" s="115"/>
      <c r="L428" s="115"/>
      <c r="M428" s="115"/>
      <c r="N428" s="115"/>
      <c r="O428" s="115"/>
      <c r="P428" s="115"/>
    </row>
    <row r="429" spans="10:16" ht="12.5" x14ac:dyDescent="0.25">
      <c r="J429" s="115"/>
      <c r="K429" s="115"/>
      <c r="L429" s="115"/>
      <c r="M429" s="115"/>
      <c r="N429" s="115"/>
      <c r="O429" s="115"/>
      <c r="P429" s="115"/>
    </row>
    <row r="430" spans="10:16" ht="12.5" x14ac:dyDescent="0.25">
      <c r="J430" s="115"/>
      <c r="K430" s="115"/>
      <c r="L430" s="115"/>
      <c r="M430" s="115"/>
      <c r="N430" s="115"/>
      <c r="O430" s="115"/>
      <c r="P430" s="115"/>
    </row>
    <row r="431" spans="10:16" ht="12.5" x14ac:dyDescent="0.25">
      <c r="J431" s="115"/>
      <c r="K431" s="115"/>
      <c r="L431" s="115"/>
      <c r="M431" s="115"/>
      <c r="N431" s="115"/>
      <c r="O431" s="115"/>
      <c r="P431" s="115"/>
    </row>
    <row r="432" spans="10:16" ht="12.5" x14ac:dyDescent="0.25">
      <c r="J432" s="115"/>
      <c r="K432" s="115"/>
      <c r="L432" s="115"/>
      <c r="M432" s="115"/>
      <c r="N432" s="115"/>
      <c r="O432" s="115"/>
      <c r="P432" s="115"/>
    </row>
    <row r="433" spans="10:16" ht="12.5" x14ac:dyDescent="0.25">
      <c r="J433" s="115"/>
      <c r="K433" s="115"/>
      <c r="L433" s="115"/>
      <c r="M433" s="115"/>
      <c r="N433" s="115"/>
      <c r="O433" s="115"/>
      <c r="P433" s="115"/>
    </row>
    <row r="434" spans="10:16" ht="12.5" x14ac:dyDescent="0.25">
      <c r="J434" s="115"/>
      <c r="K434" s="115"/>
      <c r="L434" s="115"/>
      <c r="M434" s="115"/>
      <c r="N434" s="115"/>
      <c r="O434" s="115"/>
      <c r="P434" s="115"/>
    </row>
    <row r="435" spans="10:16" ht="12.5" x14ac:dyDescent="0.25">
      <c r="J435" s="115"/>
      <c r="K435" s="115"/>
      <c r="L435" s="115"/>
      <c r="M435" s="115"/>
      <c r="N435" s="115"/>
      <c r="O435" s="115"/>
      <c r="P435" s="115"/>
    </row>
    <row r="436" spans="10:16" ht="12.5" x14ac:dyDescent="0.25">
      <c r="J436" s="115"/>
      <c r="K436" s="115"/>
      <c r="L436" s="115"/>
      <c r="M436" s="115"/>
      <c r="N436" s="115"/>
      <c r="O436" s="115"/>
      <c r="P436" s="115"/>
    </row>
    <row r="437" spans="10:16" ht="12.5" x14ac:dyDescent="0.25">
      <c r="J437" s="115"/>
      <c r="K437" s="115"/>
      <c r="L437" s="115"/>
      <c r="M437" s="115"/>
      <c r="N437" s="115"/>
      <c r="O437" s="115"/>
      <c r="P437" s="115"/>
    </row>
    <row r="438" spans="10:16" ht="12.5" x14ac:dyDescent="0.25">
      <c r="J438" s="115"/>
      <c r="K438" s="115"/>
      <c r="L438" s="115"/>
      <c r="M438" s="115"/>
      <c r="N438" s="115"/>
      <c r="O438" s="115"/>
      <c r="P438" s="115"/>
    </row>
    <row r="439" spans="10:16" ht="12.5" x14ac:dyDescent="0.25">
      <c r="J439" s="115"/>
      <c r="K439" s="115"/>
      <c r="L439" s="115"/>
      <c r="M439" s="115"/>
      <c r="N439" s="115"/>
      <c r="O439" s="115"/>
      <c r="P439" s="115"/>
    </row>
    <row r="440" spans="10:16" ht="12.5" x14ac:dyDescent="0.25">
      <c r="J440" s="115"/>
      <c r="K440" s="115"/>
      <c r="L440" s="115"/>
      <c r="M440" s="115"/>
      <c r="N440" s="115"/>
      <c r="O440" s="115"/>
      <c r="P440" s="115"/>
    </row>
    <row r="441" spans="10:16" ht="12.5" x14ac:dyDescent="0.25">
      <c r="J441" s="115"/>
      <c r="K441" s="115"/>
      <c r="L441" s="115"/>
      <c r="M441" s="115"/>
      <c r="N441" s="115"/>
      <c r="O441" s="115"/>
      <c r="P441" s="115"/>
    </row>
    <row r="442" spans="10:16" ht="12.5" x14ac:dyDescent="0.25">
      <c r="J442" s="115"/>
      <c r="K442" s="115"/>
      <c r="L442" s="115"/>
      <c r="M442" s="115"/>
      <c r="N442" s="115"/>
      <c r="O442" s="115"/>
      <c r="P442" s="115"/>
    </row>
    <row r="443" spans="10:16" ht="12.5" x14ac:dyDescent="0.25">
      <c r="J443" s="115"/>
      <c r="K443" s="115"/>
      <c r="L443" s="115"/>
      <c r="M443" s="115"/>
      <c r="N443" s="115"/>
      <c r="O443" s="115"/>
      <c r="P443" s="115"/>
    </row>
    <row r="444" spans="10:16" ht="12.5" x14ac:dyDescent="0.25">
      <c r="J444" s="115"/>
      <c r="K444" s="115"/>
      <c r="L444" s="115"/>
      <c r="M444" s="115"/>
      <c r="N444" s="115"/>
      <c r="O444" s="115"/>
      <c r="P444" s="115"/>
    </row>
    <row r="445" spans="10:16" ht="12.5" x14ac:dyDescent="0.25">
      <c r="J445" s="115"/>
      <c r="K445" s="115"/>
      <c r="L445" s="115"/>
      <c r="M445" s="115"/>
      <c r="N445" s="115"/>
      <c r="O445" s="115"/>
      <c r="P445" s="115"/>
    </row>
    <row r="446" spans="10:16" ht="12.5" x14ac:dyDescent="0.25">
      <c r="J446" s="115"/>
      <c r="K446" s="115"/>
      <c r="L446" s="115"/>
      <c r="M446" s="115"/>
      <c r="N446" s="115"/>
      <c r="O446" s="115"/>
      <c r="P446" s="115"/>
    </row>
    <row r="447" spans="10:16" ht="12.5" x14ac:dyDescent="0.25">
      <c r="J447" s="115"/>
      <c r="K447" s="115"/>
      <c r="L447" s="115"/>
      <c r="M447" s="115"/>
      <c r="N447" s="115"/>
      <c r="O447" s="115"/>
      <c r="P447" s="115"/>
    </row>
    <row r="448" spans="10:16" ht="12.5" x14ac:dyDescent="0.25">
      <c r="J448" s="115"/>
      <c r="K448" s="115"/>
      <c r="L448" s="115"/>
      <c r="M448" s="115"/>
      <c r="N448" s="115"/>
      <c r="O448" s="115"/>
      <c r="P448" s="115"/>
    </row>
    <row r="449" spans="10:16" ht="12.5" x14ac:dyDescent="0.25">
      <c r="J449" s="115"/>
      <c r="K449" s="115"/>
      <c r="L449" s="115"/>
      <c r="M449" s="115"/>
      <c r="N449" s="115"/>
      <c r="O449" s="115"/>
      <c r="P449" s="115"/>
    </row>
    <row r="450" spans="10:16" ht="12.5" x14ac:dyDescent="0.25">
      <c r="J450" s="115"/>
      <c r="K450" s="115"/>
      <c r="L450" s="115"/>
      <c r="M450" s="115"/>
      <c r="N450" s="115"/>
      <c r="O450" s="115"/>
      <c r="P450" s="115"/>
    </row>
    <row r="451" spans="10:16" ht="12.5" x14ac:dyDescent="0.25">
      <c r="J451" s="115"/>
      <c r="K451" s="115"/>
      <c r="L451" s="115"/>
      <c r="M451" s="115"/>
      <c r="N451" s="115"/>
      <c r="O451" s="115"/>
      <c r="P451" s="115"/>
    </row>
    <row r="452" spans="10:16" ht="12.5" x14ac:dyDescent="0.25">
      <c r="J452" s="115"/>
      <c r="K452" s="115"/>
      <c r="L452" s="115"/>
      <c r="M452" s="115"/>
      <c r="N452" s="115"/>
      <c r="O452" s="115"/>
      <c r="P452" s="115"/>
    </row>
    <row r="453" spans="10:16" ht="12.5" x14ac:dyDescent="0.25">
      <c r="J453" s="115"/>
      <c r="K453" s="115"/>
      <c r="L453" s="115"/>
      <c r="M453" s="115"/>
      <c r="N453" s="115"/>
      <c r="O453" s="115"/>
      <c r="P453" s="115"/>
    </row>
    <row r="454" spans="10:16" ht="12.5" x14ac:dyDescent="0.25">
      <c r="J454" s="115"/>
      <c r="K454" s="115"/>
      <c r="L454" s="115"/>
      <c r="M454" s="115"/>
      <c r="N454" s="115"/>
      <c r="O454" s="115"/>
      <c r="P454" s="115"/>
    </row>
    <row r="455" spans="10:16" ht="12.5" x14ac:dyDescent="0.25">
      <c r="J455" s="115"/>
      <c r="K455" s="115"/>
      <c r="L455" s="115"/>
      <c r="M455" s="115"/>
      <c r="N455" s="115"/>
      <c r="O455" s="115"/>
      <c r="P455" s="115"/>
    </row>
    <row r="456" spans="10:16" ht="12.5" x14ac:dyDescent="0.25">
      <c r="J456" s="115"/>
      <c r="K456" s="115"/>
      <c r="L456" s="115"/>
      <c r="M456" s="115"/>
      <c r="N456" s="115"/>
      <c r="O456" s="115"/>
      <c r="P456" s="115"/>
    </row>
    <row r="457" spans="10:16" ht="12.5" x14ac:dyDescent="0.25">
      <c r="J457" s="115"/>
      <c r="K457" s="115"/>
      <c r="L457" s="115"/>
      <c r="M457" s="115"/>
      <c r="N457" s="115"/>
      <c r="O457" s="115"/>
      <c r="P457" s="115"/>
    </row>
    <row r="458" spans="10:16" ht="12.5" x14ac:dyDescent="0.25">
      <c r="J458" s="115"/>
      <c r="K458" s="115"/>
      <c r="L458" s="115"/>
      <c r="M458" s="115"/>
      <c r="N458" s="115"/>
      <c r="O458" s="115"/>
      <c r="P458" s="115"/>
    </row>
    <row r="459" spans="10:16" ht="12.5" x14ac:dyDescent="0.25">
      <c r="J459" s="115"/>
      <c r="K459" s="115"/>
      <c r="L459" s="115"/>
      <c r="M459" s="115"/>
      <c r="N459" s="115"/>
      <c r="O459" s="115"/>
      <c r="P459" s="115"/>
    </row>
    <row r="460" spans="10:16" ht="12.5" x14ac:dyDescent="0.25">
      <c r="J460" s="115"/>
      <c r="K460" s="115"/>
      <c r="L460" s="115"/>
      <c r="M460" s="115"/>
      <c r="N460" s="115"/>
      <c r="O460" s="115"/>
      <c r="P460" s="115"/>
    </row>
    <row r="461" spans="10:16" ht="12.5" x14ac:dyDescent="0.25">
      <c r="J461" s="115"/>
      <c r="K461" s="115"/>
      <c r="L461" s="115"/>
      <c r="M461" s="115"/>
      <c r="N461" s="115"/>
      <c r="O461" s="115"/>
      <c r="P461" s="115"/>
    </row>
    <row r="462" spans="10:16" ht="12.5" x14ac:dyDescent="0.25">
      <c r="J462" s="115"/>
      <c r="K462" s="115"/>
      <c r="L462" s="115"/>
      <c r="M462" s="115"/>
      <c r="N462" s="115"/>
      <c r="O462" s="115"/>
      <c r="P462" s="115"/>
    </row>
    <row r="463" spans="10:16" ht="12.5" x14ac:dyDescent="0.25">
      <c r="J463" s="115"/>
      <c r="K463" s="115"/>
      <c r="L463" s="115"/>
      <c r="M463" s="115"/>
      <c r="N463" s="115"/>
      <c r="O463" s="115"/>
      <c r="P463" s="115"/>
    </row>
    <row r="464" spans="10:16" ht="12.5" x14ac:dyDescent="0.25">
      <c r="J464" s="115"/>
      <c r="K464" s="115"/>
      <c r="L464" s="115"/>
      <c r="M464" s="115"/>
      <c r="N464" s="115"/>
      <c r="O464" s="115"/>
      <c r="P464" s="115"/>
    </row>
    <row r="465" spans="10:16" ht="12.5" x14ac:dyDescent="0.25">
      <c r="J465" s="115"/>
      <c r="K465" s="115"/>
      <c r="L465" s="115"/>
      <c r="M465" s="115"/>
      <c r="N465" s="115"/>
      <c r="O465" s="115"/>
      <c r="P465" s="115"/>
    </row>
    <row r="466" spans="10:16" ht="12.5" x14ac:dyDescent="0.25">
      <c r="J466" s="115"/>
      <c r="K466" s="115"/>
      <c r="L466" s="115"/>
      <c r="M466" s="115"/>
      <c r="N466" s="115"/>
      <c r="O466" s="115"/>
      <c r="P466" s="115"/>
    </row>
    <row r="467" spans="10:16" ht="12.5" x14ac:dyDescent="0.25">
      <c r="J467" s="115"/>
      <c r="K467" s="115"/>
      <c r="L467" s="115"/>
      <c r="M467" s="115"/>
      <c r="N467" s="115"/>
      <c r="O467" s="115"/>
      <c r="P467" s="115"/>
    </row>
    <row r="468" spans="10:16" ht="12.5" x14ac:dyDescent="0.25">
      <c r="J468" s="115"/>
      <c r="K468" s="115"/>
      <c r="L468" s="115"/>
      <c r="M468" s="115"/>
      <c r="N468" s="115"/>
      <c r="O468" s="115"/>
      <c r="P468" s="115"/>
    </row>
    <row r="469" spans="10:16" ht="12.5" x14ac:dyDescent="0.25">
      <c r="J469" s="115"/>
      <c r="K469" s="115"/>
      <c r="L469" s="115"/>
      <c r="M469" s="115"/>
      <c r="N469" s="115"/>
      <c r="O469" s="115"/>
      <c r="P469" s="115"/>
    </row>
    <row r="470" spans="10:16" ht="12.5" x14ac:dyDescent="0.25">
      <c r="J470" s="115"/>
      <c r="K470" s="115"/>
      <c r="L470" s="115"/>
      <c r="M470" s="115"/>
      <c r="N470" s="115"/>
      <c r="O470" s="115"/>
      <c r="P470" s="115"/>
    </row>
    <row r="471" spans="10:16" ht="12.5" x14ac:dyDescent="0.25">
      <c r="J471" s="115"/>
      <c r="K471" s="115"/>
      <c r="L471" s="115"/>
      <c r="M471" s="115"/>
      <c r="N471" s="115"/>
      <c r="O471" s="115"/>
      <c r="P471" s="115"/>
    </row>
    <row r="472" spans="10:16" ht="12.5" x14ac:dyDescent="0.25">
      <c r="J472" s="115"/>
      <c r="K472" s="115"/>
      <c r="L472" s="115"/>
      <c r="M472" s="115"/>
      <c r="N472" s="115"/>
      <c r="O472" s="115"/>
      <c r="P472" s="115"/>
    </row>
    <row r="473" spans="10:16" ht="12.5" x14ac:dyDescent="0.25">
      <c r="J473" s="115"/>
      <c r="K473" s="115"/>
      <c r="L473" s="115"/>
      <c r="M473" s="115"/>
      <c r="N473" s="115"/>
      <c r="O473" s="115"/>
      <c r="P473" s="115"/>
    </row>
    <row r="474" spans="10:16" ht="12.5" x14ac:dyDescent="0.25">
      <c r="J474" s="115"/>
      <c r="K474" s="115"/>
      <c r="L474" s="115"/>
      <c r="M474" s="115"/>
      <c r="N474" s="115"/>
      <c r="O474" s="115"/>
      <c r="P474" s="115"/>
    </row>
    <row r="475" spans="10:16" ht="12.5" x14ac:dyDescent="0.25">
      <c r="J475" s="115"/>
      <c r="K475" s="115"/>
      <c r="L475" s="115"/>
      <c r="M475" s="115"/>
      <c r="N475" s="115"/>
      <c r="O475" s="115"/>
      <c r="P475" s="115"/>
    </row>
    <row r="476" spans="10:16" ht="12.5" x14ac:dyDescent="0.25">
      <c r="J476" s="115"/>
      <c r="K476" s="115"/>
      <c r="L476" s="115"/>
      <c r="M476" s="115"/>
      <c r="N476" s="115"/>
      <c r="O476" s="115"/>
      <c r="P476" s="115"/>
    </row>
    <row r="477" spans="10:16" ht="12.5" x14ac:dyDescent="0.25">
      <c r="J477" s="115"/>
      <c r="K477" s="115"/>
      <c r="L477" s="115"/>
      <c r="M477" s="115"/>
      <c r="N477" s="115"/>
      <c r="O477" s="115"/>
      <c r="P477" s="115"/>
    </row>
    <row r="478" spans="10:16" ht="12.5" x14ac:dyDescent="0.25">
      <c r="J478" s="115"/>
      <c r="K478" s="115"/>
      <c r="L478" s="115"/>
      <c r="M478" s="115"/>
      <c r="N478" s="115"/>
      <c r="O478" s="115"/>
      <c r="P478" s="115"/>
    </row>
    <row r="479" spans="10:16" ht="12.5" x14ac:dyDescent="0.25">
      <c r="J479" s="115"/>
      <c r="K479" s="115"/>
      <c r="L479" s="115"/>
      <c r="M479" s="115"/>
      <c r="N479" s="115"/>
      <c r="O479" s="115"/>
      <c r="P479" s="115"/>
    </row>
    <row r="480" spans="10:16" ht="12.5" x14ac:dyDescent="0.25">
      <c r="J480" s="115"/>
      <c r="K480" s="115"/>
      <c r="L480" s="115"/>
      <c r="M480" s="115"/>
      <c r="N480" s="115"/>
      <c r="O480" s="115"/>
      <c r="P480" s="115"/>
    </row>
    <row r="481" spans="10:16" ht="12.5" x14ac:dyDescent="0.25">
      <c r="J481" s="115"/>
      <c r="K481" s="115"/>
      <c r="L481" s="115"/>
      <c r="M481" s="115"/>
      <c r="N481" s="115"/>
      <c r="O481" s="115"/>
      <c r="P481" s="115"/>
    </row>
    <row r="482" spans="10:16" ht="12.5" x14ac:dyDescent="0.25">
      <c r="J482" s="115"/>
      <c r="K482" s="115"/>
      <c r="L482" s="115"/>
      <c r="M482" s="115"/>
      <c r="N482" s="115"/>
      <c r="O482" s="115"/>
      <c r="P482" s="115"/>
    </row>
    <row r="483" spans="10:16" ht="12.5" x14ac:dyDescent="0.25">
      <c r="J483" s="115"/>
      <c r="K483" s="115"/>
      <c r="L483" s="115"/>
      <c r="M483" s="115"/>
      <c r="N483" s="115"/>
      <c r="O483" s="115"/>
      <c r="P483" s="115"/>
    </row>
    <row r="484" spans="10:16" ht="12.5" x14ac:dyDescent="0.25">
      <c r="J484" s="115"/>
      <c r="K484" s="115"/>
      <c r="L484" s="115"/>
      <c r="M484" s="115"/>
      <c r="N484" s="115"/>
      <c r="O484" s="115"/>
      <c r="P484" s="115"/>
    </row>
    <row r="485" spans="10:16" ht="12.5" x14ac:dyDescent="0.25">
      <c r="J485" s="115"/>
      <c r="K485" s="115"/>
      <c r="L485" s="115"/>
      <c r="M485" s="115"/>
      <c r="N485" s="115"/>
      <c r="O485" s="115"/>
      <c r="P485" s="115"/>
    </row>
    <row r="486" spans="10:16" ht="12.5" x14ac:dyDescent="0.25">
      <c r="J486" s="115"/>
      <c r="K486" s="115"/>
      <c r="L486" s="115"/>
      <c r="M486" s="115"/>
      <c r="N486" s="115"/>
      <c r="O486" s="115"/>
      <c r="P486" s="115"/>
    </row>
    <row r="487" spans="10:16" ht="12.5" x14ac:dyDescent="0.25">
      <c r="J487" s="115"/>
      <c r="K487" s="115"/>
      <c r="L487" s="115"/>
      <c r="M487" s="115"/>
      <c r="N487" s="115"/>
      <c r="O487" s="115"/>
      <c r="P487" s="115"/>
    </row>
    <row r="488" spans="10:16" ht="12.5" x14ac:dyDescent="0.25">
      <c r="J488" s="115"/>
      <c r="K488" s="115"/>
      <c r="L488" s="115"/>
      <c r="M488" s="115"/>
      <c r="N488" s="115"/>
      <c r="O488" s="115"/>
      <c r="P488" s="115"/>
    </row>
    <row r="489" spans="10:16" ht="12.5" x14ac:dyDescent="0.25">
      <c r="J489" s="115"/>
      <c r="K489" s="115"/>
      <c r="L489" s="115"/>
      <c r="M489" s="115"/>
      <c r="N489" s="115"/>
      <c r="O489" s="115"/>
      <c r="P489" s="115"/>
    </row>
    <row r="490" spans="10:16" ht="12.5" x14ac:dyDescent="0.25">
      <c r="J490" s="115"/>
      <c r="K490" s="115"/>
      <c r="L490" s="115"/>
      <c r="M490" s="115"/>
      <c r="N490" s="115"/>
      <c r="O490" s="115"/>
      <c r="P490" s="115"/>
    </row>
    <row r="491" spans="10:16" ht="12.5" x14ac:dyDescent="0.25">
      <c r="J491" s="115"/>
      <c r="K491" s="115"/>
      <c r="L491" s="115"/>
      <c r="M491" s="115"/>
      <c r="N491" s="115"/>
      <c r="O491" s="115"/>
      <c r="P491" s="115"/>
    </row>
    <row r="492" spans="10:16" ht="12.5" x14ac:dyDescent="0.25">
      <c r="J492" s="115"/>
      <c r="K492" s="115"/>
      <c r="L492" s="115"/>
      <c r="M492" s="115"/>
      <c r="N492" s="115"/>
      <c r="O492" s="115"/>
      <c r="P492" s="115"/>
    </row>
    <row r="493" spans="10:16" ht="12.5" x14ac:dyDescent="0.25">
      <c r="J493" s="115"/>
      <c r="K493" s="115"/>
      <c r="L493" s="115"/>
      <c r="M493" s="115"/>
      <c r="N493" s="115"/>
      <c r="O493" s="115"/>
      <c r="P493" s="115"/>
    </row>
    <row r="494" spans="10:16" ht="12.5" x14ac:dyDescent="0.25">
      <c r="J494" s="115"/>
      <c r="K494" s="115"/>
      <c r="L494" s="115"/>
      <c r="M494" s="115"/>
      <c r="N494" s="115"/>
      <c r="O494" s="115"/>
      <c r="P494" s="115"/>
    </row>
    <row r="495" spans="10:16" ht="12.5" x14ac:dyDescent="0.25">
      <c r="J495" s="115"/>
      <c r="K495" s="115"/>
      <c r="L495" s="115"/>
      <c r="M495" s="115"/>
      <c r="N495" s="115"/>
      <c r="O495" s="115"/>
      <c r="P495" s="115"/>
    </row>
    <row r="496" spans="10:16" ht="12.5" x14ac:dyDescent="0.25">
      <c r="J496" s="115"/>
      <c r="K496" s="115"/>
      <c r="L496" s="115"/>
      <c r="M496" s="115"/>
      <c r="N496" s="115"/>
      <c r="O496" s="115"/>
      <c r="P496" s="115"/>
    </row>
    <row r="497" spans="10:16" ht="12.5" x14ac:dyDescent="0.25">
      <c r="J497" s="115"/>
      <c r="K497" s="115"/>
      <c r="L497" s="115"/>
      <c r="M497" s="115"/>
      <c r="N497" s="115"/>
      <c r="O497" s="115"/>
      <c r="P497" s="115"/>
    </row>
    <row r="498" spans="10:16" ht="12.5" x14ac:dyDescent="0.25">
      <c r="J498" s="115"/>
      <c r="K498" s="115"/>
      <c r="L498" s="115"/>
      <c r="M498" s="115"/>
      <c r="N498" s="115"/>
      <c r="O498" s="115"/>
      <c r="P498" s="115"/>
    </row>
    <row r="499" spans="10:16" ht="12.5" x14ac:dyDescent="0.25">
      <c r="J499" s="115"/>
      <c r="K499" s="115"/>
      <c r="L499" s="115"/>
      <c r="M499" s="115"/>
      <c r="N499" s="115"/>
      <c r="O499" s="115"/>
      <c r="P499" s="115"/>
    </row>
    <row r="500" spans="10:16" ht="12.5" x14ac:dyDescent="0.25">
      <c r="J500" s="115"/>
      <c r="K500" s="115"/>
      <c r="L500" s="115"/>
      <c r="M500" s="115"/>
      <c r="N500" s="115"/>
      <c r="O500" s="115"/>
      <c r="P500" s="115"/>
    </row>
    <row r="501" spans="10:16" ht="12.5" x14ac:dyDescent="0.25">
      <c r="J501" s="115"/>
      <c r="K501" s="115"/>
      <c r="L501" s="115"/>
      <c r="M501" s="115"/>
      <c r="N501" s="115"/>
      <c r="O501" s="115"/>
      <c r="P501" s="115"/>
    </row>
    <row r="502" spans="10:16" ht="12.5" x14ac:dyDescent="0.25">
      <c r="J502" s="115"/>
      <c r="K502" s="115"/>
      <c r="L502" s="115"/>
      <c r="M502" s="115"/>
      <c r="N502" s="115"/>
      <c r="O502" s="115"/>
      <c r="P502" s="115"/>
    </row>
    <row r="503" spans="10:16" ht="12.5" x14ac:dyDescent="0.25">
      <c r="J503" s="115"/>
      <c r="K503" s="115"/>
      <c r="L503" s="115"/>
      <c r="M503" s="115"/>
      <c r="N503" s="115"/>
      <c r="O503" s="115"/>
      <c r="P503" s="115"/>
    </row>
    <row r="504" spans="10:16" ht="12.5" x14ac:dyDescent="0.25">
      <c r="J504" s="115"/>
      <c r="K504" s="115"/>
      <c r="L504" s="115"/>
      <c r="M504" s="115"/>
      <c r="N504" s="115"/>
      <c r="O504" s="115"/>
      <c r="P504" s="115"/>
    </row>
    <row r="505" spans="10:16" ht="12.5" x14ac:dyDescent="0.25">
      <c r="J505" s="115"/>
      <c r="K505" s="115"/>
      <c r="L505" s="115"/>
      <c r="M505" s="115"/>
      <c r="N505" s="115"/>
      <c r="O505" s="115"/>
      <c r="P505" s="115"/>
    </row>
    <row r="506" spans="10:16" ht="12.5" x14ac:dyDescent="0.25">
      <c r="J506" s="115"/>
      <c r="K506" s="115"/>
      <c r="L506" s="115"/>
      <c r="M506" s="115"/>
      <c r="N506" s="115"/>
      <c r="O506" s="115"/>
      <c r="P506" s="115"/>
    </row>
    <row r="507" spans="10:16" ht="12.5" x14ac:dyDescent="0.25">
      <c r="J507" s="115"/>
      <c r="K507" s="115"/>
      <c r="L507" s="115"/>
      <c r="M507" s="115"/>
      <c r="N507" s="115"/>
      <c r="O507" s="115"/>
      <c r="P507" s="115"/>
    </row>
    <row r="508" spans="10:16" ht="12.5" x14ac:dyDescent="0.25">
      <c r="J508" s="115"/>
      <c r="K508" s="115"/>
      <c r="L508" s="115"/>
      <c r="M508" s="115"/>
      <c r="N508" s="115"/>
      <c r="O508" s="115"/>
      <c r="P508" s="115"/>
    </row>
    <row r="509" spans="10:16" ht="12.5" x14ac:dyDescent="0.25">
      <c r="J509" s="115"/>
      <c r="K509" s="115"/>
      <c r="L509" s="115"/>
      <c r="M509" s="115"/>
      <c r="N509" s="115"/>
      <c r="O509" s="115"/>
      <c r="P509" s="115"/>
    </row>
    <row r="510" spans="10:16" ht="12.5" x14ac:dyDescent="0.25">
      <c r="J510" s="115"/>
      <c r="K510" s="115"/>
      <c r="L510" s="115"/>
      <c r="M510" s="115"/>
      <c r="N510" s="115"/>
      <c r="O510" s="115"/>
      <c r="P510" s="115"/>
    </row>
    <row r="511" spans="10:16" ht="12.5" x14ac:dyDescent="0.25">
      <c r="J511" s="115"/>
      <c r="K511" s="115"/>
      <c r="L511" s="115"/>
      <c r="M511" s="115"/>
      <c r="N511" s="115"/>
      <c r="O511" s="115"/>
      <c r="P511" s="115"/>
    </row>
    <row r="512" spans="10:16" ht="12.5" x14ac:dyDescent="0.25">
      <c r="J512" s="115"/>
      <c r="K512" s="115"/>
      <c r="L512" s="115"/>
      <c r="M512" s="115"/>
      <c r="N512" s="115"/>
      <c r="O512" s="115"/>
      <c r="P512" s="115"/>
    </row>
    <row r="513" spans="10:16" ht="12.5" x14ac:dyDescent="0.25">
      <c r="J513" s="115"/>
      <c r="K513" s="115"/>
      <c r="L513" s="115"/>
      <c r="M513" s="115"/>
      <c r="N513" s="115"/>
      <c r="O513" s="115"/>
      <c r="P513" s="115"/>
    </row>
    <row r="514" spans="10:16" ht="12.5" x14ac:dyDescent="0.25">
      <c r="J514" s="115"/>
      <c r="K514" s="115"/>
      <c r="L514" s="115"/>
      <c r="M514" s="115"/>
      <c r="N514" s="115"/>
      <c r="O514" s="115"/>
      <c r="P514" s="115"/>
    </row>
    <row r="515" spans="10:16" ht="12.5" x14ac:dyDescent="0.25">
      <c r="J515" s="115"/>
      <c r="K515" s="115"/>
      <c r="L515" s="115"/>
      <c r="M515" s="115"/>
      <c r="N515" s="115"/>
      <c r="O515" s="115"/>
      <c r="P515" s="115"/>
    </row>
    <row r="516" spans="10:16" ht="12.5" x14ac:dyDescent="0.25">
      <c r="J516" s="115"/>
      <c r="K516" s="115"/>
      <c r="L516" s="115"/>
      <c r="M516" s="115"/>
      <c r="N516" s="115"/>
      <c r="O516" s="115"/>
      <c r="P516" s="115"/>
    </row>
    <row r="517" spans="10:16" ht="12.5" x14ac:dyDescent="0.25">
      <c r="J517" s="115"/>
      <c r="K517" s="115"/>
      <c r="L517" s="115"/>
      <c r="M517" s="115"/>
      <c r="N517" s="115"/>
      <c r="O517" s="115"/>
      <c r="P517" s="115"/>
    </row>
    <row r="518" spans="10:16" ht="12.5" x14ac:dyDescent="0.25">
      <c r="J518" s="115"/>
      <c r="K518" s="115"/>
      <c r="L518" s="115"/>
      <c r="M518" s="115"/>
      <c r="N518" s="115"/>
      <c r="O518" s="115"/>
      <c r="P518" s="115"/>
    </row>
    <row r="519" spans="10:16" ht="12.5" x14ac:dyDescent="0.25">
      <c r="J519" s="115"/>
      <c r="K519" s="115"/>
      <c r="L519" s="115"/>
      <c r="M519" s="115"/>
      <c r="N519" s="115"/>
      <c r="O519" s="115"/>
      <c r="P519" s="115"/>
    </row>
    <row r="520" spans="10:16" ht="12.5" x14ac:dyDescent="0.25">
      <c r="J520" s="115"/>
      <c r="K520" s="115"/>
      <c r="L520" s="115"/>
      <c r="M520" s="115"/>
      <c r="N520" s="115"/>
      <c r="O520" s="115"/>
      <c r="P520" s="115"/>
    </row>
    <row r="521" spans="10:16" ht="12.5" x14ac:dyDescent="0.25">
      <c r="J521" s="115"/>
      <c r="K521" s="115"/>
      <c r="L521" s="115"/>
      <c r="M521" s="115"/>
      <c r="N521" s="115"/>
      <c r="O521" s="115"/>
      <c r="P521" s="115"/>
    </row>
    <row r="522" spans="10:16" ht="12.5" x14ac:dyDescent="0.25">
      <c r="J522" s="115"/>
      <c r="K522" s="115"/>
      <c r="L522" s="115"/>
      <c r="M522" s="115"/>
      <c r="N522" s="115"/>
      <c r="O522" s="115"/>
      <c r="P522" s="115"/>
    </row>
    <row r="523" spans="10:16" ht="12.5" x14ac:dyDescent="0.25">
      <c r="J523" s="115"/>
      <c r="K523" s="115"/>
      <c r="L523" s="115"/>
      <c r="M523" s="115"/>
      <c r="N523" s="115"/>
      <c r="O523" s="115"/>
      <c r="P523" s="115"/>
    </row>
    <row r="524" spans="10:16" ht="12.5" x14ac:dyDescent="0.25">
      <c r="J524" s="115"/>
      <c r="K524" s="115"/>
      <c r="L524" s="115"/>
      <c r="M524" s="115"/>
      <c r="N524" s="115"/>
      <c r="O524" s="115"/>
      <c r="P524" s="115"/>
    </row>
    <row r="525" spans="10:16" ht="12.5" x14ac:dyDescent="0.25">
      <c r="J525" s="115"/>
      <c r="K525" s="115"/>
      <c r="L525" s="115"/>
      <c r="M525" s="115"/>
      <c r="N525" s="115"/>
      <c r="O525" s="115"/>
      <c r="P525" s="115"/>
    </row>
    <row r="526" spans="10:16" ht="12.5" x14ac:dyDescent="0.25">
      <c r="J526" s="115"/>
      <c r="K526" s="115"/>
      <c r="L526" s="115"/>
      <c r="M526" s="115"/>
      <c r="N526" s="115"/>
      <c r="O526" s="115"/>
      <c r="P526" s="115"/>
    </row>
    <row r="527" spans="10:16" ht="12.5" x14ac:dyDescent="0.25">
      <c r="J527" s="115"/>
      <c r="K527" s="115"/>
      <c r="L527" s="115"/>
      <c r="M527" s="115"/>
      <c r="N527" s="115"/>
      <c r="O527" s="115"/>
      <c r="P527" s="115"/>
    </row>
    <row r="528" spans="10:16" ht="12.5" x14ac:dyDescent="0.25">
      <c r="J528" s="115"/>
      <c r="K528" s="115"/>
      <c r="L528" s="115"/>
      <c r="M528" s="115"/>
      <c r="N528" s="115"/>
      <c r="O528" s="115"/>
      <c r="P528" s="115"/>
    </row>
    <row r="529" spans="10:16" ht="12.5" x14ac:dyDescent="0.25">
      <c r="J529" s="115"/>
      <c r="K529" s="115"/>
      <c r="L529" s="115"/>
      <c r="M529" s="115"/>
      <c r="N529" s="115"/>
      <c r="O529" s="115"/>
      <c r="P529" s="115"/>
    </row>
    <row r="530" spans="10:16" ht="12.5" x14ac:dyDescent="0.25">
      <c r="J530" s="115"/>
      <c r="K530" s="115"/>
      <c r="L530" s="115"/>
      <c r="M530" s="115"/>
      <c r="N530" s="115"/>
      <c r="O530" s="115"/>
      <c r="P530" s="115"/>
    </row>
    <row r="531" spans="10:16" ht="12.5" x14ac:dyDescent="0.25">
      <c r="J531" s="115"/>
      <c r="K531" s="115"/>
      <c r="L531" s="115"/>
      <c r="M531" s="115"/>
      <c r="N531" s="115"/>
      <c r="O531" s="115"/>
      <c r="P531" s="115"/>
    </row>
    <row r="532" spans="10:16" ht="12.5" x14ac:dyDescent="0.25">
      <c r="J532" s="115"/>
      <c r="K532" s="115"/>
      <c r="L532" s="115"/>
      <c r="M532" s="115"/>
      <c r="N532" s="115"/>
      <c r="O532" s="115"/>
      <c r="P532" s="115"/>
    </row>
    <row r="533" spans="10:16" ht="12.5" x14ac:dyDescent="0.25">
      <c r="J533" s="115"/>
      <c r="K533" s="115"/>
      <c r="L533" s="115"/>
      <c r="M533" s="115"/>
      <c r="N533" s="115"/>
      <c r="O533" s="115"/>
      <c r="P533" s="115"/>
    </row>
    <row r="534" spans="10:16" ht="12.5" x14ac:dyDescent="0.25">
      <c r="J534" s="115"/>
      <c r="K534" s="115"/>
      <c r="L534" s="115"/>
      <c r="M534" s="115"/>
      <c r="N534" s="115"/>
      <c r="O534" s="115"/>
      <c r="P534" s="115"/>
    </row>
    <row r="535" spans="10:16" ht="12.5" x14ac:dyDescent="0.25">
      <c r="J535" s="115"/>
      <c r="K535" s="115"/>
      <c r="L535" s="115"/>
      <c r="M535" s="115"/>
      <c r="N535" s="115"/>
      <c r="O535" s="115"/>
      <c r="P535" s="115"/>
    </row>
    <row r="536" spans="10:16" ht="12.5" x14ac:dyDescent="0.25">
      <c r="J536" s="115"/>
      <c r="K536" s="115"/>
      <c r="L536" s="115"/>
      <c r="M536" s="115"/>
      <c r="N536" s="115"/>
      <c r="O536" s="115"/>
      <c r="P536" s="115"/>
    </row>
    <row r="537" spans="10:16" ht="12.5" x14ac:dyDescent="0.25">
      <c r="J537" s="115"/>
      <c r="K537" s="115"/>
      <c r="L537" s="115"/>
      <c r="M537" s="115"/>
      <c r="N537" s="115"/>
      <c r="O537" s="115"/>
      <c r="P537" s="115"/>
    </row>
    <row r="538" spans="10:16" ht="12.5" x14ac:dyDescent="0.25">
      <c r="J538" s="115"/>
      <c r="K538" s="115"/>
      <c r="L538" s="115"/>
      <c r="M538" s="115"/>
      <c r="N538" s="115"/>
      <c r="O538" s="115"/>
      <c r="P538" s="115"/>
    </row>
    <row r="539" spans="10:16" ht="12.5" x14ac:dyDescent="0.25">
      <c r="J539" s="115"/>
      <c r="K539" s="115"/>
      <c r="L539" s="115"/>
      <c r="M539" s="115"/>
      <c r="N539" s="115"/>
      <c r="O539" s="115"/>
      <c r="P539" s="115"/>
    </row>
    <row r="540" spans="10:16" ht="12.5" x14ac:dyDescent="0.25">
      <c r="J540" s="115"/>
      <c r="K540" s="115"/>
      <c r="L540" s="115"/>
      <c r="M540" s="115"/>
      <c r="N540" s="115"/>
      <c r="O540" s="115"/>
      <c r="P540" s="115"/>
    </row>
    <row r="541" spans="10:16" ht="12.5" x14ac:dyDescent="0.25">
      <c r="J541" s="115"/>
      <c r="K541" s="115"/>
      <c r="L541" s="115"/>
      <c r="M541" s="115"/>
      <c r="N541" s="115"/>
      <c r="O541" s="115"/>
      <c r="P541" s="115"/>
    </row>
    <row r="542" spans="10:16" ht="12.5" x14ac:dyDescent="0.25">
      <c r="J542" s="115"/>
      <c r="K542" s="115"/>
      <c r="L542" s="115"/>
      <c r="M542" s="115"/>
      <c r="N542" s="115"/>
      <c r="O542" s="115"/>
      <c r="P542" s="115"/>
    </row>
    <row r="543" spans="10:16" ht="12.5" x14ac:dyDescent="0.25">
      <c r="J543" s="115"/>
      <c r="K543" s="115"/>
      <c r="L543" s="115"/>
      <c r="M543" s="115"/>
      <c r="N543" s="115"/>
      <c r="O543" s="115"/>
      <c r="P543" s="115"/>
    </row>
    <row r="544" spans="10:16" ht="12.5" x14ac:dyDescent="0.25">
      <c r="J544" s="115"/>
      <c r="K544" s="115"/>
      <c r="L544" s="115"/>
      <c r="M544" s="115"/>
      <c r="N544" s="115"/>
      <c r="O544" s="115"/>
      <c r="P544" s="115"/>
    </row>
    <row r="545" spans="10:16" ht="12.5" x14ac:dyDescent="0.25">
      <c r="J545" s="115"/>
      <c r="K545" s="115"/>
      <c r="L545" s="115"/>
      <c r="M545" s="115"/>
      <c r="N545" s="115"/>
      <c r="O545" s="115"/>
      <c r="P545" s="115"/>
    </row>
    <row r="546" spans="10:16" ht="12.5" x14ac:dyDescent="0.25">
      <c r="J546" s="115"/>
      <c r="K546" s="115"/>
      <c r="L546" s="115"/>
      <c r="M546" s="115"/>
      <c r="N546" s="115"/>
      <c r="O546" s="115"/>
      <c r="P546" s="115"/>
    </row>
    <row r="547" spans="10:16" ht="12.5" x14ac:dyDescent="0.25">
      <c r="J547" s="115"/>
      <c r="K547" s="115"/>
      <c r="L547" s="115"/>
      <c r="M547" s="115"/>
      <c r="N547" s="115"/>
      <c r="O547" s="115"/>
      <c r="P547" s="115"/>
    </row>
    <row r="548" spans="10:16" ht="12.5" x14ac:dyDescent="0.25">
      <c r="J548" s="115"/>
      <c r="K548" s="115"/>
      <c r="L548" s="115"/>
      <c r="M548" s="115"/>
      <c r="N548" s="115"/>
      <c r="O548" s="115"/>
      <c r="P548" s="115"/>
    </row>
    <row r="549" spans="10:16" ht="12.5" x14ac:dyDescent="0.25">
      <c r="J549" s="115"/>
      <c r="K549" s="115"/>
      <c r="L549" s="115"/>
      <c r="M549" s="115"/>
      <c r="N549" s="115"/>
      <c r="O549" s="115"/>
      <c r="P549" s="115"/>
    </row>
    <row r="550" spans="10:16" ht="12.5" x14ac:dyDescent="0.25">
      <c r="J550" s="115"/>
      <c r="K550" s="115"/>
      <c r="L550" s="115"/>
      <c r="M550" s="115"/>
      <c r="N550" s="115"/>
      <c r="O550" s="115"/>
      <c r="P550" s="115"/>
    </row>
    <row r="551" spans="10:16" ht="12.5" x14ac:dyDescent="0.25">
      <c r="J551" s="115"/>
      <c r="K551" s="115"/>
      <c r="L551" s="115"/>
      <c r="M551" s="115"/>
      <c r="N551" s="115"/>
      <c r="O551" s="115"/>
      <c r="P551" s="115"/>
    </row>
    <row r="552" spans="10:16" ht="12.5" x14ac:dyDescent="0.25">
      <c r="J552" s="115"/>
      <c r="K552" s="115"/>
      <c r="L552" s="115"/>
      <c r="M552" s="115"/>
      <c r="N552" s="115"/>
      <c r="O552" s="115"/>
      <c r="P552" s="115"/>
    </row>
    <row r="553" spans="10:16" ht="12.5" x14ac:dyDescent="0.25">
      <c r="J553" s="115"/>
      <c r="K553" s="115"/>
      <c r="L553" s="115"/>
      <c r="M553" s="115"/>
      <c r="N553" s="115"/>
      <c r="O553" s="115"/>
      <c r="P553" s="115"/>
    </row>
    <row r="554" spans="10:16" ht="12.5" x14ac:dyDescent="0.25">
      <c r="J554" s="115"/>
      <c r="K554" s="115"/>
      <c r="L554" s="115"/>
      <c r="M554" s="115"/>
      <c r="N554" s="115"/>
      <c r="O554" s="115"/>
      <c r="P554" s="115"/>
    </row>
    <row r="555" spans="10:16" ht="12.5" x14ac:dyDescent="0.25">
      <c r="J555" s="115"/>
      <c r="K555" s="115"/>
      <c r="L555" s="115"/>
      <c r="M555" s="115"/>
      <c r="N555" s="115"/>
      <c r="O555" s="115"/>
      <c r="P555" s="115"/>
    </row>
    <row r="556" spans="10:16" ht="12.5" x14ac:dyDescent="0.25">
      <c r="J556" s="115"/>
      <c r="K556" s="115"/>
      <c r="L556" s="115"/>
      <c r="M556" s="115"/>
      <c r="N556" s="115"/>
      <c r="O556" s="115"/>
      <c r="P556" s="115"/>
    </row>
    <row r="557" spans="10:16" ht="12.5" x14ac:dyDescent="0.25">
      <c r="J557" s="115"/>
      <c r="K557" s="115"/>
      <c r="L557" s="115"/>
      <c r="M557" s="115"/>
      <c r="N557" s="115"/>
      <c r="O557" s="115"/>
      <c r="P557" s="115"/>
    </row>
    <row r="558" spans="10:16" ht="12.5" x14ac:dyDescent="0.25">
      <c r="J558" s="115"/>
      <c r="K558" s="115"/>
      <c r="L558" s="115"/>
      <c r="M558" s="115"/>
      <c r="N558" s="115"/>
      <c r="O558" s="115"/>
      <c r="P558" s="115"/>
    </row>
    <row r="559" spans="10:16" ht="12.5" x14ac:dyDescent="0.25">
      <c r="J559" s="115"/>
      <c r="K559" s="115"/>
      <c r="L559" s="115"/>
      <c r="M559" s="115"/>
      <c r="N559" s="115"/>
      <c r="O559" s="115"/>
      <c r="P559" s="115"/>
    </row>
    <row r="560" spans="10:16" ht="12.5" x14ac:dyDescent="0.25">
      <c r="J560" s="115"/>
      <c r="K560" s="115"/>
      <c r="L560" s="115"/>
      <c r="M560" s="115"/>
      <c r="N560" s="115"/>
      <c r="O560" s="115"/>
      <c r="P560" s="115"/>
    </row>
    <row r="561" spans="10:16" ht="12.5" x14ac:dyDescent="0.25">
      <c r="J561" s="115"/>
      <c r="K561" s="115"/>
      <c r="L561" s="115"/>
      <c r="M561" s="115"/>
      <c r="N561" s="115"/>
      <c r="O561" s="115"/>
      <c r="P561" s="115"/>
    </row>
    <row r="562" spans="10:16" ht="12.5" x14ac:dyDescent="0.25">
      <c r="J562" s="115"/>
      <c r="K562" s="115"/>
      <c r="L562" s="115"/>
      <c r="M562" s="115"/>
      <c r="N562" s="115"/>
      <c r="O562" s="115"/>
      <c r="P562" s="115"/>
    </row>
    <row r="563" spans="10:16" ht="12.5" x14ac:dyDescent="0.25">
      <c r="J563" s="115"/>
      <c r="K563" s="115"/>
      <c r="L563" s="115"/>
      <c r="M563" s="115"/>
      <c r="N563" s="115"/>
      <c r="O563" s="115"/>
      <c r="P563" s="115"/>
    </row>
    <row r="564" spans="10:16" ht="12.5" x14ac:dyDescent="0.25">
      <c r="J564" s="115"/>
      <c r="K564" s="115"/>
      <c r="L564" s="115"/>
      <c r="M564" s="115"/>
      <c r="N564" s="115"/>
      <c r="O564" s="115"/>
      <c r="P564" s="115"/>
    </row>
    <row r="565" spans="10:16" ht="12.5" x14ac:dyDescent="0.25">
      <c r="J565" s="115"/>
      <c r="K565" s="115"/>
      <c r="L565" s="115"/>
      <c r="M565" s="115"/>
      <c r="N565" s="115"/>
      <c r="O565" s="115"/>
      <c r="P565" s="115"/>
    </row>
    <row r="566" spans="10:16" ht="12.5" x14ac:dyDescent="0.25">
      <c r="J566" s="115"/>
      <c r="K566" s="115"/>
      <c r="L566" s="115"/>
      <c r="M566" s="115"/>
      <c r="N566" s="115"/>
      <c r="O566" s="115"/>
      <c r="P566" s="115"/>
    </row>
    <row r="567" spans="10:16" ht="12.5" x14ac:dyDescent="0.25">
      <c r="J567" s="115"/>
      <c r="K567" s="115"/>
      <c r="L567" s="115"/>
      <c r="M567" s="115"/>
      <c r="N567" s="115"/>
      <c r="O567" s="115"/>
      <c r="P567" s="115"/>
    </row>
    <row r="568" spans="10:16" ht="12.5" x14ac:dyDescent="0.25">
      <c r="J568" s="115"/>
      <c r="K568" s="115"/>
      <c r="L568" s="115"/>
      <c r="M568" s="115"/>
      <c r="N568" s="115"/>
      <c r="O568" s="115"/>
      <c r="P568" s="115"/>
    </row>
    <row r="569" spans="10:16" ht="12.5" x14ac:dyDescent="0.25">
      <c r="J569" s="115"/>
      <c r="K569" s="115"/>
      <c r="L569" s="115"/>
      <c r="M569" s="115"/>
      <c r="N569" s="115"/>
      <c r="O569" s="115"/>
      <c r="P569" s="115"/>
    </row>
    <row r="570" spans="10:16" ht="12.5" x14ac:dyDescent="0.25">
      <c r="J570" s="115"/>
      <c r="K570" s="115"/>
      <c r="L570" s="115"/>
      <c r="M570" s="115"/>
      <c r="N570" s="115"/>
      <c r="O570" s="115"/>
      <c r="P570" s="115"/>
    </row>
    <row r="571" spans="10:16" ht="12.5" x14ac:dyDescent="0.25">
      <c r="J571" s="115"/>
      <c r="K571" s="115"/>
      <c r="L571" s="115"/>
      <c r="M571" s="115"/>
      <c r="N571" s="115"/>
      <c r="O571" s="115"/>
      <c r="P571" s="115"/>
    </row>
    <row r="572" spans="10:16" ht="12.5" x14ac:dyDescent="0.25">
      <c r="J572" s="115"/>
      <c r="K572" s="115"/>
      <c r="L572" s="115"/>
      <c r="M572" s="115"/>
      <c r="N572" s="115"/>
      <c r="O572" s="115"/>
      <c r="P572" s="115"/>
    </row>
    <row r="573" spans="10:16" ht="12.5" x14ac:dyDescent="0.25">
      <c r="J573" s="115"/>
      <c r="K573" s="115"/>
      <c r="L573" s="115"/>
      <c r="M573" s="115"/>
      <c r="N573" s="115"/>
      <c r="O573" s="115"/>
      <c r="P573" s="115"/>
    </row>
    <row r="574" spans="10:16" ht="12.5" x14ac:dyDescent="0.25">
      <c r="J574" s="115"/>
      <c r="K574" s="115"/>
      <c r="L574" s="115"/>
      <c r="M574" s="115"/>
      <c r="N574" s="115"/>
      <c r="O574" s="115"/>
      <c r="P574" s="115"/>
    </row>
    <row r="575" spans="10:16" ht="12.5" x14ac:dyDescent="0.25">
      <c r="J575" s="115"/>
      <c r="K575" s="115"/>
      <c r="L575" s="115"/>
      <c r="M575" s="115"/>
      <c r="N575" s="115"/>
      <c r="O575" s="115"/>
      <c r="P575" s="115"/>
    </row>
    <row r="576" spans="10:16" ht="12.5" x14ac:dyDescent="0.25">
      <c r="J576" s="115"/>
      <c r="K576" s="115"/>
      <c r="L576" s="115"/>
      <c r="M576" s="115"/>
      <c r="N576" s="115"/>
      <c r="O576" s="115"/>
      <c r="P576" s="115"/>
    </row>
    <row r="577" spans="10:16" ht="12.5" x14ac:dyDescent="0.25">
      <c r="J577" s="115"/>
      <c r="K577" s="115"/>
      <c r="L577" s="115"/>
      <c r="M577" s="115"/>
      <c r="N577" s="115"/>
      <c r="O577" s="115"/>
      <c r="P577" s="115"/>
    </row>
    <row r="578" spans="10:16" ht="12.5" x14ac:dyDescent="0.25">
      <c r="J578" s="115"/>
      <c r="K578" s="115"/>
      <c r="L578" s="115"/>
      <c r="M578" s="115"/>
      <c r="N578" s="115"/>
      <c r="O578" s="115"/>
      <c r="P578" s="115"/>
    </row>
    <row r="579" spans="10:16" ht="12.5" x14ac:dyDescent="0.25">
      <c r="J579" s="115"/>
      <c r="K579" s="115"/>
      <c r="L579" s="115"/>
      <c r="M579" s="115"/>
      <c r="N579" s="115"/>
      <c r="O579" s="115"/>
      <c r="P579" s="115"/>
    </row>
    <row r="580" spans="10:16" ht="12.5" x14ac:dyDescent="0.25">
      <c r="J580" s="115"/>
      <c r="K580" s="115"/>
      <c r="L580" s="115"/>
      <c r="M580" s="115"/>
      <c r="N580" s="115"/>
      <c r="O580" s="115"/>
      <c r="P580" s="115"/>
    </row>
    <row r="581" spans="10:16" ht="12.5" x14ac:dyDescent="0.25">
      <c r="J581" s="115"/>
      <c r="K581" s="115"/>
      <c r="L581" s="115"/>
      <c r="M581" s="115"/>
      <c r="N581" s="115"/>
      <c r="O581" s="115"/>
      <c r="P581" s="115"/>
    </row>
    <row r="582" spans="10:16" ht="12.5" x14ac:dyDescent="0.25">
      <c r="J582" s="115"/>
      <c r="K582" s="115"/>
      <c r="L582" s="115"/>
      <c r="M582" s="115"/>
      <c r="N582" s="115"/>
      <c r="O582" s="115"/>
      <c r="P582" s="115"/>
    </row>
    <row r="583" spans="10:16" ht="12.5" x14ac:dyDescent="0.25">
      <c r="J583" s="115"/>
      <c r="K583" s="115"/>
      <c r="L583" s="115"/>
      <c r="M583" s="115"/>
      <c r="N583" s="115"/>
      <c r="O583" s="115"/>
      <c r="P583" s="115"/>
    </row>
    <row r="584" spans="10:16" ht="12.5" x14ac:dyDescent="0.25">
      <c r="J584" s="115"/>
      <c r="K584" s="115"/>
      <c r="L584" s="115"/>
      <c r="M584" s="115"/>
      <c r="N584" s="115"/>
      <c r="O584" s="115"/>
      <c r="P584" s="115"/>
    </row>
    <row r="585" spans="10:16" ht="12.5" x14ac:dyDescent="0.25">
      <c r="J585" s="115"/>
      <c r="K585" s="115"/>
      <c r="L585" s="115"/>
      <c r="M585" s="115"/>
      <c r="N585" s="115"/>
      <c r="O585" s="115"/>
      <c r="P585" s="115"/>
    </row>
    <row r="586" spans="10:16" ht="12.5" x14ac:dyDescent="0.25">
      <c r="J586" s="115"/>
      <c r="K586" s="115"/>
      <c r="L586" s="115"/>
      <c r="M586" s="115"/>
      <c r="N586" s="115"/>
      <c r="O586" s="115"/>
      <c r="P586" s="115"/>
    </row>
    <row r="587" spans="10:16" ht="12.5" x14ac:dyDescent="0.25">
      <c r="J587" s="115"/>
      <c r="K587" s="115"/>
      <c r="L587" s="115"/>
      <c r="M587" s="115"/>
      <c r="N587" s="115"/>
      <c r="O587" s="115"/>
      <c r="P587" s="115"/>
    </row>
    <row r="588" spans="10:16" ht="12.5" x14ac:dyDescent="0.25">
      <c r="J588" s="115"/>
      <c r="K588" s="115"/>
      <c r="L588" s="115"/>
      <c r="M588" s="115"/>
      <c r="N588" s="115"/>
      <c r="O588" s="115"/>
      <c r="P588" s="115"/>
    </row>
    <row r="589" spans="10:16" ht="12.5" x14ac:dyDescent="0.25">
      <c r="J589" s="115"/>
      <c r="K589" s="115"/>
      <c r="L589" s="115"/>
      <c r="M589" s="115"/>
      <c r="N589" s="115"/>
      <c r="O589" s="115"/>
      <c r="P589" s="115"/>
    </row>
    <row r="590" spans="10:16" ht="12.5" x14ac:dyDescent="0.25">
      <c r="J590" s="115"/>
      <c r="K590" s="115"/>
      <c r="L590" s="115"/>
      <c r="M590" s="115"/>
      <c r="N590" s="115"/>
      <c r="O590" s="115"/>
      <c r="P590" s="115"/>
    </row>
    <row r="591" spans="10:16" ht="12.5" x14ac:dyDescent="0.25">
      <c r="J591" s="115"/>
      <c r="K591" s="115"/>
      <c r="L591" s="115"/>
      <c r="M591" s="115"/>
      <c r="N591" s="115"/>
      <c r="O591" s="115"/>
      <c r="P591" s="115"/>
    </row>
    <row r="592" spans="10:16" ht="12.5" x14ac:dyDescent="0.25">
      <c r="J592" s="115"/>
      <c r="K592" s="115"/>
      <c r="L592" s="115"/>
      <c r="M592" s="115"/>
      <c r="N592" s="115"/>
      <c r="O592" s="115"/>
      <c r="P592" s="115"/>
    </row>
    <row r="593" spans="10:16" ht="12.5" x14ac:dyDescent="0.25">
      <c r="J593" s="115"/>
      <c r="K593" s="115"/>
      <c r="L593" s="115"/>
      <c r="M593" s="115"/>
      <c r="N593" s="115"/>
      <c r="O593" s="115"/>
      <c r="P593" s="115"/>
    </row>
    <row r="594" spans="10:16" ht="12.5" x14ac:dyDescent="0.25">
      <c r="J594" s="115"/>
      <c r="K594" s="115"/>
      <c r="L594" s="115"/>
      <c r="M594" s="115"/>
      <c r="N594" s="115"/>
      <c r="O594" s="115"/>
      <c r="P594" s="115"/>
    </row>
    <row r="595" spans="10:16" ht="12.5" x14ac:dyDescent="0.25">
      <c r="J595" s="115"/>
      <c r="K595" s="115"/>
      <c r="L595" s="115"/>
      <c r="M595" s="115"/>
      <c r="N595" s="115"/>
      <c r="O595" s="115"/>
      <c r="P595" s="115"/>
    </row>
    <row r="596" spans="10:16" ht="12.5" x14ac:dyDescent="0.25">
      <c r="J596" s="115"/>
      <c r="K596" s="115"/>
      <c r="L596" s="115"/>
      <c r="M596" s="115"/>
      <c r="N596" s="115"/>
      <c r="O596" s="115"/>
      <c r="P596" s="115"/>
    </row>
    <row r="597" spans="10:16" ht="12.5" x14ac:dyDescent="0.25">
      <c r="J597" s="115"/>
      <c r="K597" s="115"/>
      <c r="L597" s="115"/>
      <c r="M597" s="115"/>
      <c r="N597" s="115"/>
      <c r="O597" s="115"/>
      <c r="P597" s="115"/>
    </row>
    <row r="598" spans="10:16" ht="12.5" x14ac:dyDescent="0.25">
      <c r="J598" s="115"/>
      <c r="K598" s="115"/>
      <c r="L598" s="115"/>
      <c r="M598" s="115"/>
      <c r="N598" s="115"/>
      <c r="O598" s="115"/>
      <c r="P598" s="115"/>
    </row>
    <row r="599" spans="10:16" ht="12.5" x14ac:dyDescent="0.25">
      <c r="J599" s="115"/>
      <c r="K599" s="115"/>
      <c r="L599" s="115"/>
      <c r="M599" s="115"/>
      <c r="N599" s="115"/>
      <c r="O599" s="115"/>
      <c r="P599" s="115"/>
    </row>
    <row r="600" spans="10:16" ht="12.5" x14ac:dyDescent="0.25">
      <c r="J600" s="115"/>
      <c r="K600" s="115"/>
      <c r="L600" s="115"/>
      <c r="M600" s="115"/>
      <c r="N600" s="115"/>
      <c r="O600" s="115"/>
      <c r="P600" s="115"/>
    </row>
    <row r="601" spans="10:16" ht="12.5" x14ac:dyDescent="0.25">
      <c r="J601" s="115"/>
      <c r="K601" s="115"/>
      <c r="L601" s="115"/>
      <c r="M601" s="115"/>
      <c r="N601" s="115"/>
      <c r="O601" s="115"/>
      <c r="P601" s="115"/>
    </row>
    <row r="602" spans="10:16" ht="12.5" x14ac:dyDescent="0.25">
      <c r="J602" s="115"/>
      <c r="K602" s="115"/>
      <c r="L602" s="115"/>
      <c r="M602" s="115"/>
      <c r="N602" s="115"/>
      <c r="O602" s="115"/>
      <c r="P602" s="115"/>
    </row>
    <row r="603" spans="10:16" ht="12.5" x14ac:dyDescent="0.25">
      <c r="J603" s="115"/>
      <c r="K603" s="115"/>
      <c r="L603" s="115"/>
      <c r="M603" s="115"/>
      <c r="N603" s="115"/>
      <c r="O603" s="115"/>
      <c r="P603" s="115"/>
    </row>
    <row r="604" spans="10:16" ht="12.5" x14ac:dyDescent="0.25">
      <c r="J604" s="115"/>
      <c r="K604" s="115"/>
      <c r="L604" s="115"/>
      <c r="M604" s="115"/>
      <c r="N604" s="115"/>
      <c r="O604" s="115"/>
      <c r="P604" s="115"/>
    </row>
    <row r="605" spans="10:16" ht="12.5" x14ac:dyDescent="0.25">
      <c r="J605" s="115"/>
      <c r="K605" s="115"/>
      <c r="L605" s="115"/>
      <c r="M605" s="115"/>
      <c r="N605" s="115"/>
      <c r="O605" s="115"/>
      <c r="P605" s="115"/>
    </row>
    <row r="606" spans="10:16" ht="12.5" x14ac:dyDescent="0.25">
      <c r="J606" s="115"/>
      <c r="K606" s="115"/>
      <c r="L606" s="115"/>
      <c r="M606" s="115"/>
      <c r="N606" s="115"/>
      <c r="O606" s="115"/>
      <c r="P606" s="115"/>
    </row>
    <row r="607" spans="10:16" ht="12.5" x14ac:dyDescent="0.25">
      <c r="J607" s="115"/>
      <c r="K607" s="115"/>
      <c r="L607" s="115"/>
      <c r="M607" s="115"/>
      <c r="N607" s="115"/>
      <c r="O607" s="115"/>
      <c r="P607" s="115"/>
    </row>
    <row r="608" spans="10:16" ht="12.5" x14ac:dyDescent="0.25">
      <c r="J608" s="115"/>
      <c r="K608" s="115"/>
      <c r="L608" s="115"/>
      <c r="M608" s="115"/>
      <c r="N608" s="115"/>
      <c r="O608" s="115"/>
      <c r="P608" s="115"/>
    </row>
    <row r="609" spans="10:16" ht="12.5" x14ac:dyDescent="0.25">
      <c r="J609" s="115"/>
      <c r="K609" s="115"/>
      <c r="L609" s="115"/>
      <c r="M609" s="115"/>
      <c r="N609" s="115"/>
      <c r="O609" s="115"/>
      <c r="P609" s="115"/>
    </row>
    <row r="610" spans="10:16" ht="12.5" x14ac:dyDescent="0.25">
      <c r="J610" s="115"/>
      <c r="K610" s="115"/>
      <c r="L610" s="115"/>
      <c r="M610" s="115"/>
      <c r="N610" s="115"/>
      <c r="O610" s="115"/>
      <c r="P610" s="115"/>
    </row>
    <row r="611" spans="10:16" ht="12.5" x14ac:dyDescent="0.25">
      <c r="J611" s="115"/>
      <c r="K611" s="115"/>
      <c r="L611" s="115"/>
      <c r="M611" s="115"/>
      <c r="N611" s="115"/>
      <c r="O611" s="115"/>
      <c r="P611" s="115"/>
    </row>
    <row r="612" spans="10:16" ht="12.5" x14ac:dyDescent="0.25">
      <c r="J612" s="115"/>
      <c r="K612" s="115"/>
      <c r="L612" s="115"/>
      <c r="M612" s="115"/>
      <c r="N612" s="115"/>
      <c r="O612" s="115"/>
      <c r="P612" s="115"/>
    </row>
    <row r="613" spans="10:16" ht="12.5" x14ac:dyDescent="0.25">
      <c r="J613" s="115"/>
      <c r="K613" s="115"/>
      <c r="L613" s="115"/>
      <c r="M613" s="115"/>
      <c r="N613" s="115"/>
      <c r="O613" s="115"/>
      <c r="P613" s="115"/>
    </row>
    <row r="614" spans="10:16" ht="12.5" x14ac:dyDescent="0.25">
      <c r="J614" s="115"/>
      <c r="K614" s="115"/>
      <c r="L614" s="115"/>
      <c r="M614" s="115"/>
      <c r="N614" s="115"/>
      <c r="O614" s="115"/>
      <c r="P614" s="115"/>
    </row>
    <row r="615" spans="10:16" ht="12.5" x14ac:dyDescent="0.25">
      <c r="J615" s="115"/>
      <c r="K615" s="115"/>
      <c r="L615" s="115"/>
      <c r="M615" s="115"/>
      <c r="N615" s="115"/>
      <c r="O615" s="115"/>
      <c r="P615" s="115"/>
    </row>
    <row r="616" spans="10:16" ht="12.5" x14ac:dyDescent="0.25">
      <c r="J616" s="115"/>
      <c r="K616" s="115"/>
      <c r="L616" s="115"/>
      <c r="M616" s="115"/>
      <c r="N616" s="115"/>
      <c r="O616" s="115"/>
      <c r="P616" s="115"/>
    </row>
    <row r="617" spans="10:16" ht="12.5" x14ac:dyDescent="0.25">
      <c r="J617" s="115"/>
      <c r="K617" s="115"/>
      <c r="L617" s="115"/>
      <c r="M617" s="115"/>
      <c r="N617" s="115"/>
      <c r="O617" s="115"/>
      <c r="P617" s="115"/>
    </row>
    <row r="618" spans="10:16" ht="12.5" x14ac:dyDescent="0.25">
      <c r="J618" s="115"/>
      <c r="K618" s="115"/>
      <c r="L618" s="115"/>
      <c r="M618" s="115"/>
      <c r="N618" s="115"/>
      <c r="O618" s="115"/>
      <c r="P618" s="115"/>
    </row>
    <row r="619" spans="10:16" ht="12.5" x14ac:dyDescent="0.25">
      <c r="J619" s="115"/>
      <c r="K619" s="115"/>
      <c r="L619" s="115"/>
      <c r="M619" s="115"/>
      <c r="N619" s="115"/>
      <c r="O619" s="115"/>
      <c r="P619" s="115"/>
    </row>
    <row r="620" spans="10:16" ht="12.5" x14ac:dyDescent="0.25">
      <c r="J620" s="115"/>
      <c r="K620" s="115"/>
      <c r="L620" s="115"/>
      <c r="M620" s="115"/>
      <c r="N620" s="115"/>
      <c r="O620" s="115"/>
      <c r="P620" s="115"/>
    </row>
    <row r="621" spans="10:16" ht="12.5" x14ac:dyDescent="0.25">
      <c r="J621" s="115"/>
      <c r="K621" s="115"/>
      <c r="L621" s="115"/>
      <c r="M621" s="115"/>
      <c r="N621" s="115"/>
      <c r="O621" s="115"/>
      <c r="P621" s="115"/>
    </row>
    <row r="622" spans="10:16" ht="12.5" x14ac:dyDescent="0.25">
      <c r="J622" s="115"/>
      <c r="K622" s="115"/>
      <c r="L622" s="115"/>
      <c r="M622" s="115"/>
      <c r="N622" s="115"/>
      <c r="O622" s="115"/>
      <c r="P622" s="115"/>
    </row>
    <row r="623" spans="10:16" ht="12.5" x14ac:dyDescent="0.25">
      <c r="J623" s="115"/>
      <c r="K623" s="115"/>
      <c r="L623" s="115"/>
      <c r="M623" s="115"/>
      <c r="N623" s="115"/>
      <c r="O623" s="115"/>
      <c r="P623" s="115"/>
    </row>
    <row r="624" spans="10:16" ht="12.5" x14ac:dyDescent="0.25">
      <c r="J624" s="115"/>
      <c r="K624" s="115"/>
      <c r="L624" s="115"/>
      <c r="M624" s="115"/>
      <c r="N624" s="115"/>
      <c r="O624" s="115"/>
      <c r="P624" s="115"/>
    </row>
    <row r="625" spans="10:16" ht="12.5" x14ac:dyDescent="0.25">
      <c r="J625" s="115"/>
      <c r="K625" s="115"/>
      <c r="L625" s="115"/>
      <c r="M625" s="115"/>
      <c r="N625" s="115"/>
      <c r="O625" s="115"/>
      <c r="P625" s="115"/>
    </row>
    <row r="626" spans="10:16" ht="12.5" x14ac:dyDescent="0.25">
      <c r="J626" s="115"/>
      <c r="K626" s="115"/>
      <c r="L626" s="115"/>
      <c r="M626" s="115"/>
      <c r="N626" s="115"/>
      <c r="O626" s="115"/>
      <c r="P626" s="115"/>
    </row>
    <row r="627" spans="10:16" ht="12.5" x14ac:dyDescent="0.25">
      <c r="J627" s="115"/>
      <c r="K627" s="115"/>
      <c r="L627" s="115"/>
      <c r="M627" s="115"/>
      <c r="N627" s="115"/>
      <c r="O627" s="115"/>
      <c r="P627" s="115"/>
    </row>
    <row r="628" spans="10:16" ht="12.5" x14ac:dyDescent="0.25">
      <c r="J628" s="115"/>
      <c r="K628" s="115"/>
      <c r="L628" s="115"/>
      <c r="M628" s="115"/>
      <c r="N628" s="115"/>
      <c r="O628" s="115"/>
      <c r="P628" s="115"/>
    </row>
    <row r="629" spans="10:16" ht="12.5" x14ac:dyDescent="0.25">
      <c r="J629" s="115"/>
      <c r="K629" s="115"/>
      <c r="L629" s="115"/>
      <c r="M629" s="115"/>
      <c r="N629" s="115"/>
      <c r="O629" s="115"/>
      <c r="P629" s="115"/>
    </row>
    <row r="630" spans="10:16" ht="12.5" x14ac:dyDescent="0.25">
      <c r="J630" s="115"/>
      <c r="K630" s="115"/>
      <c r="L630" s="115"/>
      <c r="M630" s="115"/>
      <c r="N630" s="115"/>
      <c r="O630" s="115"/>
      <c r="P630" s="115"/>
    </row>
    <row r="631" spans="10:16" ht="12.5" x14ac:dyDescent="0.25">
      <c r="J631" s="115"/>
      <c r="K631" s="115"/>
      <c r="L631" s="115"/>
      <c r="M631" s="115"/>
      <c r="N631" s="115"/>
      <c r="O631" s="115"/>
      <c r="P631" s="115"/>
    </row>
    <row r="632" spans="10:16" ht="12.5" x14ac:dyDescent="0.25">
      <c r="J632" s="115"/>
      <c r="K632" s="115"/>
      <c r="L632" s="115"/>
      <c r="M632" s="115"/>
      <c r="N632" s="115"/>
      <c r="O632" s="115"/>
      <c r="P632" s="115"/>
    </row>
    <row r="633" spans="10:16" ht="12.5" x14ac:dyDescent="0.25">
      <c r="J633" s="115"/>
      <c r="K633" s="115"/>
      <c r="L633" s="115"/>
      <c r="M633" s="115"/>
      <c r="N633" s="115"/>
      <c r="O633" s="115"/>
      <c r="P633" s="115"/>
    </row>
    <row r="634" spans="10:16" ht="12.5" x14ac:dyDescent="0.25">
      <c r="J634" s="115"/>
      <c r="K634" s="115"/>
      <c r="L634" s="115"/>
      <c r="M634" s="115"/>
      <c r="N634" s="115"/>
      <c r="O634" s="115"/>
      <c r="P634" s="115"/>
    </row>
    <row r="635" spans="10:16" ht="12.5" x14ac:dyDescent="0.25">
      <c r="J635" s="115"/>
      <c r="K635" s="115"/>
      <c r="L635" s="115"/>
      <c r="M635" s="115"/>
      <c r="N635" s="115"/>
      <c r="O635" s="115"/>
      <c r="P635" s="115"/>
    </row>
    <row r="636" spans="10:16" ht="12.5" x14ac:dyDescent="0.25">
      <c r="J636" s="115"/>
      <c r="K636" s="115"/>
      <c r="L636" s="115"/>
      <c r="M636" s="115"/>
      <c r="N636" s="115"/>
      <c r="O636" s="115"/>
      <c r="P636" s="115"/>
    </row>
    <row r="637" spans="10:16" ht="12.5" x14ac:dyDescent="0.25">
      <c r="J637" s="115"/>
      <c r="K637" s="115"/>
      <c r="L637" s="115"/>
      <c r="M637" s="115"/>
      <c r="N637" s="115"/>
      <c r="O637" s="115"/>
      <c r="P637" s="115"/>
    </row>
    <row r="638" spans="10:16" ht="12.5" x14ac:dyDescent="0.25">
      <c r="J638" s="115"/>
      <c r="K638" s="115"/>
      <c r="L638" s="115"/>
      <c r="M638" s="115"/>
      <c r="N638" s="115"/>
      <c r="O638" s="115"/>
      <c r="P638" s="115"/>
    </row>
    <row r="639" spans="10:16" ht="12.5" x14ac:dyDescent="0.25">
      <c r="J639" s="115"/>
      <c r="K639" s="115"/>
      <c r="L639" s="115"/>
      <c r="M639" s="115"/>
      <c r="N639" s="115"/>
      <c r="O639" s="115"/>
      <c r="P639" s="115"/>
    </row>
    <row r="640" spans="10:16" ht="12.5" x14ac:dyDescent="0.25">
      <c r="J640" s="115"/>
      <c r="K640" s="115"/>
      <c r="L640" s="115"/>
      <c r="M640" s="115"/>
      <c r="N640" s="115"/>
      <c r="O640" s="115"/>
      <c r="P640" s="115"/>
    </row>
    <row r="641" spans="10:16" ht="12.5" x14ac:dyDescent="0.25">
      <c r="J641" s="115"/>
      <c r="K641" s="115"/>
      <c r="L641" s="115"/>
      <c r="M641" s="115"/>
      <c r="N641" s="115"/>
      <c r="O641" s="115"/>
      <c r="P641" s="115"/>
    </row>
    <row r="642" spans="10:16" ht="12.5" x14ac:dyDescent="0.25">
      <c r="J642" s="115"/>
      <c r="K642" s="115"/>
      <c r="L642" s="115"/>
      <c r="M642" s="115"/>
      <c r="N642" s="115"/>
      <c r="O642" s="115"/>
      <c r="P642" s="115"/>
    </row>
    <row r="643" spans="10:16" ht="12.5" x14ac:dyDescent="0.25">
      <c r="J643" s="115"/>
      <c r="K643" s="115"/>
      <c r="L643" s="115"/>
      <c r="M643" s="115"/>
      <c r="N643" s="115"/>
      <c r="O643" s="115"/>
      <c r="P643" s="115"/>
    </row>
    <row r="644" spans="10:16" ht="12.5" x14ac:dyDescent="0.25">
      <c r="J644" s="115"/>
      <c r="K644" s="115"/>
      <c r="L644" s="115"/>
      <c r="M644" s="115"/>
      <c r="N644" s="115"/>
      <c r="O644" s="115"/>
      <c r="P644" s="115"/>
    </row>
    <row r="645" spans="10:16" ht="12.5" x14ac:dyDescent="0.25">
      <c r="J645" s="115"/>
      <c r="K645" s="115"/>
      <c r="L645" s="115"/>
      <c r="M645" s="115"/>
      <c r="N645" s="115"/>
      <c r="O645" s="115"/>
      <c r="P645" s="115"/>
    </row>
    <row r="646" spans="10:16" ht="12.5" x14ac:dyDescent="0.25">
      <c r="J646" s="115"/>
      <c r="K646" s="115"/>
      <c r="L646" s="115"/>
      <c r="M646" s="115"/>
      <c r="N646" s="115"/>
      <c r="O646" s="115"/>
      <c r="P646" s="115"/>
    </row>
    <row r="647" spans="10:16" ht="12.5" x14ac:dyDescent="0.25">
      <c r="J647" s="115"/>
      <c r="K647" s="115"/>
      <c r="L647" s="115"/>
      <c r="M647" s="115"/>
      <c r="N647" s="115"/>
      <c r="O647" s="115"/>
      <c r="P647" s="115"/>
    </row>
    <row r="648" spans="10:16" ht="12.5" x14ac:dyDescent="0.25">
      <c r="J648" s="115"/>
      <c r="K648" s="115"/>
      <c r="L648" s="115"/>
      <c r="M648" s="115"/>
      <c r="N648" s="115"/>
      <c r="O648" s="115"/>
      <c r="P648" s="115"/>
    </row>
    <row r="649" spans="10:16" ht="12.5" x14ac:dyDescent="0.25">
      <c r="J649" s="115"/>
      <c r="K649" s="115"/>
      <c r="L649" s="115"/>
      <c r="M649" s="115"/>
      <c r="N649" s="115"/>
      <c r="O649" s="115"/>
      <c r="P649" s="115"/>
    </row>
    <row r="650" spans="10:16" ht="12.5" x14ac:dyDescent="0.25">
      <c r="J650" s="115"/>
      <c r="K650" s="115"/>
      <c r="L650" s="115"/>
      <c r="M650" s="115"/>
      <c r="N650" s="115"/>
      <c r="O650" s="115"/>
      <c r="P650" s="115"/>
    </row>
    <row r="651" spans="10:16" ht="12.5" x14ac:dyDescent="0.25">
      <c r="J651" s="115"/>
      <c r="K651" s="115"/>
      <c r="L651" s="115"/>
      <c r="M651" s="115"/>
      <c r="N651" s="115"/>
      <c r="O651" s="115"/>
      <c r="P651" s="115"/>
    </row>
    <row r="652" spans="10:16" ht="12.5" x14ac:dyDescent="0.25">
      <c r="J652" s="115"/>
      <c r="K652" s="115"/>
      <c r="L652" s="115"/>
      <c r="M652" s="115"/>
      <c r="N652" s="115"/>
      <c r="O652" s="115"/>
      <c r="P652" s="115"/>
    </row>
    <row r="653" spans="10:16" ht="12.5" x14ac:dyDescent="0.25">
      <c r="J653" s="115"/>
      <c r="K653" s="115"/>
      <c r="L653" s="115"/>
      <c r="M653" s="115"/>
      <c r="N653" s="115"/>
      <c r="O653" s="115"/>
      <c r="P653" s="115"/>
    </row>
    <row r="654" spans="10:16" ht="12.5" x14ac:dyDescent="0.25">
      <c r="J654" s="115"/>
      <c r="K654" s="115"/>
      <c r="L654" s="115"/>
      <c r="M654" s="115"/>
      <c r="N654" s="115"/>
      <c r="O654" s="115"/>
      <c r="P654" s="115"/>
    </row>
    <row r="655" spans="10:16" ht="12.5" x14ac:dyDescent="0.25">
      <c r="J655" s="115"/>
      <c r="K655" s="115"/>
      <c r="L655" s="115"/>
      <c r="M655" s="115"/>
      <c r="N655" s="115"/>
      <c r="O655" s="115"/>
      <c r="P655" s="115"/>
    </row>
    <row r="656" spans="10:16" ht="12.5" x14ac:dyDescent="0.25">
      <c r="J656" s="115"/>
      <c r="K656" s="115"/>
      <c r="L656" s="115"/>
      <c r="M656" s="115"/>
      <c r="N656" s="115"/>
      <c r="O656" s="115"/>
      <c r="P656" s="115"/>
    </row>
    <row r="657" spans="10:16" ht="12.5" x14ac:dyDescent="0.25">
      <c r="J657" s="115"/>
      <c r="K657" s="115"/>
      <c r="L657" s="115"/>
      <c r="M657" s="115"/>
      <c r="N657" s="115"/>
      <c r="O657" s="115"/>
      <c r="P657" s="115"/>
    </row>
    <row r="658" spans="10:16" ht="12.5" x14ac:dyDescent="0.25">
      <c r="J658" s="115"/>
      <c r="K658" s="115"/>
      <c r="L658" s="115"/>
      <c r="M658" s="115"/>
      <c r="N658" s="115"/>
      <c r="O658" s="115"/>
      <c r="P658" s="115"/>
    </row>
    <row r="659" spans="10:16" ht="12.5" x14ac:dyDescent="0.25">
      <c r="J659" s="115"/>
      <c r="K659" s="115"/>
      <c r="L659" s="115"/>
      <c r="M659" s="115"/>
      <c r="N659" s="115"/>
      <c r="O659" s="115"/>
      <c r="P659" s="115"/>
    </row>
    <row r="660" spans="10:16" ht="12.5" x14ac:dyDescent="0.25">
      <c r="J660" s="115"/>
      <c r="K660" s="115"/>
      <c r="L660" s="115"/>
      <c r="M660" s="115"/>
      <c r="N660" s="115"/>
      <c r="O660" s="115"/>
      <c r="P660" s="115"/>
    </row>
    <row r="661" spans="10:16" ht="12.5" x14ac:dyDescent="0.25">
      <c r="J661" s="115"/>
      <c r="K661" s="115"/>
      <c r="L661" s="115"/>
      <c r="M661" s="115"/>
      <c r="N661" s="115"/>
      <c r="O661" s="115"/>
      <c r="P661" s="115"/>
    </row>
    <row r="662" spans="10:16" ht="12.5" x14ac:dyDescent="0.25">
      <c r="J662" s="115"/>
      <c r="K662" s="115"/>
      <c r="L662" s="115"/>
      <c r="M662" s="115"/>
      <c r="N662" s="115"/>
      <c r="O662" s="115"/>
      <c r="P662" s="115"/>
    </row>
    <row r="663" spans="10:16" ht="12.5" x14ac:dyDescent="0.25">
      <c r="J663" s="115"/>
      <c r="K663" s="115"/>
      <c r="L663" s="115"/>
      <c r="M663" s="115"/>
      <c r="N663" s="115"/>
      <c r="O663" s="115"/>
      <c r="P663" s="115"/>
    </row>
    <row r="664" spans="10:16" ht="12.5" x14ac:dyDescent="0.25">
      <c r="J664" s="115"/>
      <c r="K664" s="115"/>
      <c r="L664" s="115"/>
      <c r="M664" s="115"/>
      <c r="N664" s="115"/>
      <c r="O664" s="115"/>
      <c r="P664" s="115"/>
    </row>
    <row r="665" spans="10:16" ht="12.5" x14ac:dyDescent="0.25">
      <c r="J665" s="115"/>
      <c r="K665" s="115"/>
      <c r="L665" s="115"/>
      <c r="M665" s="115"/>
      <c r="N665" s="115"/>
      <c r="O665" s="115"/>
      <c r="P665" s="115"/>
    </row>
    <row r="666" spans="10:16" ht="12.5" x14ac:dyDescent="0.25">
      <c r="J666" s="115"/>
      <c r="K666" s="115"/>
      <c r="L666" s="115"/>
      <c r="M666" s="115"/>
      <c r="N666" s="115"/>
      <c r="O666" s="115"/>
      <c r="P666" s="115"/>
    </row>
    <row r="667" spans="10:16" ht="12.5" x14ac:dyDescent="0.25">
      <c r="J667" s="115"/>
      <c r="K667" s="115"/>
      <c r="L667" s="115"/>
      <c r="M667" s="115"/>
      <c r="N667" s="115"/>
      <c r="O667" s="115"/>
      <c r="P667" s="115"/>
    </row>
    <row r="668" spans="10:16" ht="12.5" x14ac:dyDescent="0.25">
      <c r="J668" s="115"/>
      <c r="K668" s="115"/>
      <c r="L668" s="115"/>
      <c r="M668" s="115"/>
      <c r="N668" s="115"/>
      <c r="O668" s="115"/>
      <c r="P668" s="115"/>
    </row>
    <row r="669" spans="10:16" ht="12.5" x14ac:dyDescent="0.25">
      <c r="J669" s="115"/>
      <c r="K669" s="115"/>
      <c r="L669" s="115"/>
      <c r="M669" s="115"/>
      <c r="N669" s="115"/>
      <c r="O669" s="115"/>
      <c r="P669" s="115"/>
    </row>
    <row r="670" spans="10:16" ht="12.5" x14ac:dyDescent="0.25">
      <c r="J670" s="115"/>
      <c r="K670" s="115"/>
      <c r="L670" s="115"/>
      <c r="M670" s="115"/>
      <c r="N670" s="115"/>
      <c r="O670" s="115"/>
      <c r="P670" s="115"/>
    </row>
    <row r="671" spans="10:16" ht="12.5" x14ac:dyDescent="0.25">
      <c r="J671" s="115"/>
      <c r="K671" s="115"/>
      <c r="L671" s="115"/>
      <c r="M671" s="115"/>
      <c r="N671" s="115"/>
      <c r="O671" s="115"/>
      <c r="P671" s="115"/>
    </row>
    <row r="672" spans="10:16" ht="12.5" x14ac:dyDescent="0.25">
      <c r="J672" s="115"/>
      <c r="K672" s="115"/>
      <c r="L672" s="115"/>
      <c r="M672" s="115"/>
      <c r="N672" s="115"/>
      <c r="O672" s="115"/>
      <c r="P672" s="115"/>
    </row>
    <row r="673" spans="10:16" ht="12.5" x14ac:dyDescent="0.25">
      <c r="J673" s="115"/>
      <c r="K673" s="115"/>
      <c r="L673" s="115"/>
      <c r="M673" s="115"/>
      <c r="N673" s="115"/>
      <c r="O673" s="115"/>
      <c r="P673" s="115"/>
    </row>
    <row r="674" spans="10:16" ht="12.5" x14ac:dyDescent="0.25">
      <c r="J674" s="115"/>
      <c r="K674" s="115"/>
      <c r="L674" s="115"/>
      <c r="M674" s="115"/>
      <c r="N674" s="115"/>
      <c r="O674" s="115"/>
      <c r="P674" s="115"/>
    </row>
    <row r="675" spans="10:16" ht="12.5" x14ac:dyDescent="0.25">
      <c r="J675" s="115"/>
      <c r="K675" s="115"/>
      <c r="L675" s="115"/>
      <c r="M675" s="115"/>
      <c r="N675" s="115"/>
      <c r="O675" s="115"/>
      <c r="P675" s="115"/>
    </row>
    <row r="676" spans="10:16" ht="12.5" x14ac:dyDescent="0.25">
      <c r="J676" s="115"/>
      <c r="K676" s="115"/>
      <c r="L676" s="115"/>
      <c r="M676" s="115"/>
      <c r="N676" s="115"/>
      <c r="O676" s="115"/>
      <c r="P676" s="115"/>
    </row>
    <row r="677" spans="10:16" ht="12.5" x14ac:dyDescent="0.25">
      <c r="J677" s="115"/>
      <c r="K677" s="115"/>
      <c r="L677" s="115"/>
      <c r="M677" s="115"/>
      <c r="N677" s="115"/>
      <c r="O677" s="115"/>
      <c r="P677" s="115"/>
    </row>
    <row r="678" spans="10:16" ht="12.5" x14ac:dyDescent="0.25">
      <c r="J678" s="115"/>
      <c r="K678" s="115"/>
      <c r="L678" s="115"/>
      <c r="M678" s="115"/>
      <c r="N678" s="115"/>
      <c r="O678" s="115"/>
      <c r="P678" s="115"/>
    </row>
    <row r="679" spans="10:16" ht="12.5" x14ac:dyDescent="0.25">
      <c r="J679" s="115"/>
      <c r="K679" s="115"/>
      <c r="L679" s="115"/>
      <c r="M679" s="115"/>
      <c r="N679" s="115"/>
      <c r="O679" s="115"/>
      <c r="P679" s="115"/>
    </row>
    <row r="680" spans="10:16" ht="12.5" x14ac:dyDescent="0.25">
      <c r="J680" s="115"/>
      <c r="K680" s="115"/>
      <c r="L680" s="115"/>
      <c r="M680" s="115"/>
      <c r="N680" s="115"/>
      <c r="O680" s="115"/>
      <c r="P680" s="115"/>
    </row>
    <row r="681" spans="10:16" ht="12.5" x14ac:dyDescent="0.25">
      <c r="J681" s="115"/>
      <c r="K681" s="115"/>
      <c r="L681" s="115"/>
      <c r="M681" s="115"/>
      <c r="N681" s="115"/>
      <c r="O681" s="115"/>
      <c r="P681" s="115"/>
    </row>
    <row r="682" spans="10:16" ht="12.5" x14ac:dyDescent="0.25">
      <c r="J682" s="115"/>
      <c r="K682" s="115"/>
      <c r="L682" s="115"/>
      <c r="M682" s="115"/>
      <c r="N682" s="115"/>
      <c r="O682" s="115"/>
      <c r="P682" s="115"/>
    </row>
    <row r="683" spans="10:16" ht="12.5" x14ac:dyDescent="0.25">
      <c r="J683" s="115"/>
      <c r="K683" s="115"/>
      <c r="L683" s="115"/>
      <c r="M683" s="115"/>
      <c r="N683" s="115"/>
      <c r="O683" s="115"/>
      <c r="P683" s="115"/>
    </row>
    <row r="684" spans="10:16" ht="12.5" x14ac:dyDescent="0.25">
      <c r="J684" s="115"/>
      <c r="K684" s="115"/>
      <c r="L684" s="115"/>
      <c r="M684" s="115"/>
      <c r="N684" s="115"/>
      <c r="O684" s="115"/>
      <c r="P684" s="115"/>
    </row>
    <row r="685" spans="10:16" ht="12.5" x14ac:dyDescent="0.25">
      <c r="J685" s="115"/>
      <c r="K685" s="115"/>
      <c r="L685" s="115"/>
      <c r="M685" s="115"/>
      <c r="N685" s="115"/>
      <c r="O685" s="115"/>
      <c r="P685" s="115"/>
    </row>
    <row r="686" spans="10:16" ht="12.5" x14ac:dyDescent="0.25">
      <c r="J686" s="115"/>
      <c r="K686" s="115"/>
      <c r="L686" s="115"/>
      <c r="M686" s="115"/>
      <c r="N686" s="115"/>
      <c r="O686" s="115"/>
      <c r="P686" s="115"/>
    </row>
    <row r="687" spans="10:16" ht="12.5" x14ac:dyDescent="0.25">
      <c r="J687" s="115"/>
      <c r="K687" s="115"/>
      <c r="L687" s="115"/>
      <c r="M687" s="115"/>
      <c r="N687" s="115"/>
      <c r="O687" s="115"/>
      <c r="P687" s="115"/>
    </row>
    <row r="688" spans="10:16" ht="12.5" x14ac:dyDescent="0.25">
      <c r="J688" s="115"/>
      <c r="K688" s="115"/>
      <c r="L688" s="115"/>
      <c r="M688" s="115"/>
      <c r="N688" s="115"/>
      <c r="O688" s="115"/>
      <c r="P688" s="115"/>
    </row>
    <row r="689" spans="10:16" ht="12.5" x14ac:dyDescent="0.25">
      <c r="J689" s="115"/>
      <c r="K689" s="115"/>
      <c r="L689" s="115"/>
      <c r="M689" s="115"/>
      <c r="N689" s="115"/>
      <c r="O689" s="115"/>
      <c r="P689" s="115"/>
    </row>
    <row r="690" spans="10:16" ht="12.5" x14ac:dyDescent="0.25">
      <c r="J690" s="115"/>
      <c r="K690" s="115"/>
      <c r="L690" s="115"/>
      <c r="M690" s="115"/>
      <c r="N690" s="115"/>
      <c r="O690" s="115"/>
      <c r="P690" s="115"/>
    </row>
    <row r="691" spans="10:16" ht="12.5" x14ac:dyDescent="0.25">
      <c r="J691" s="115"/>
      <c r="K691" s="115"/>
      <c r="L691" s="115"/>
      <c r="M691" s="115"/>
      <c r="N691" s="115"/>
      <c r="O691" s="115"/>
      <c r="P691" s="115"/>
    </row>
    <row r="692" spans="10:16" ht="12.5" x14ac:dyDescent="0.25">
      <c r="J692" s="115"/>
      <c r="K692" s="115"/>
      <c r="L692" s="115"/>
      <c r="M692" s="115"/>
      <c r="N692" s="115"/>
      <c r="O692" s="115"/>
      <c r="P692" s="115"/>
    </row>
    <row r="693" spans="10:16" ht="12.5" x14ac:dyDescent="0.25">
      <c r="J693" s="115"/>
      <c r="K693" s="115"/>
      <c r="L693" s="115"/>
      <c r="M693" s="115"/>
      <c r="N693" s="115"/>
      <c r="O693" s="115"/>
      <c r="P693" s="115"/>
    </row>
    <row r="694" spans="10:16" ht="12.5" x14ac:dyDescent="0.25">
      <c r="J694" s="115"/>
      <c r="K694" s="115"/>
      <c r="L694" s="115"/>
      <c r="M694" s="115"/>
      <c r="N694" s="115"/>
      <c r="O694" s="115"/>
      <c r="P694" s="115"/>
    </row>
    <row r="695" spans="10:16" ht="12.5" x14ac:dyDescent="0.25">
      <c r="J695" s="115"/>
      <c r="K695" s="115"/>
      <c r="L695" s="115"/>
      <c r="M695" s="115"/>
      <c r="N695" s="115"/>
      <c r="O695" s="115"/>
      <c r="P695" s="115"/>
    </row>
    <row r="696" spans="10:16" ht="12.5" x14ac:dyDescent="0.25">
      <c r="J696" s="115"/>
      <c r="K696" s="115"/>
      <c r="L696" s="115"/>
      <c r="M696" s="115"/>
      <c r="N696" s="115"/>
      <c r="O696" s="115"/>
      <c r="P696" s="115"/>
    </row>
    <row r="697" spans="10:16" ht="12.5" x14ac:dyDescent="0.25">
      <c r="J697" s="115"/>
      <c r="K697" s="115"/>
      <c r="L697" s="115"/>
      <c r="M697" s="115"/>
      <c r="N697" s="115"/>
      <c r="O697" s="115"/>
      <c r="P697" s="115"/>
    </row>
    <row r="698" spans="10:16" ht="12.5" x14ac:dyDescent="0.25">
      <c r="J698" s="115"/>
      <c r="K698" s="115"/>
      <c r="L698" s="115"/>
      <c r="M698" s="115"/>
      <c r="N698" s="115"/>
      <c r="O698" s="115"/>
      <c r="P698" s="115"/>
    </row>
    <row r="699" spans="10:16" ht="12.5" x14ac:dyDescent="0.25">
      <c r="J699" s="115"/>
      <c r="K699" s="115"/>
      <c r="L699" s="115"/>
      <c r="M699" s="115"/>
      <c r="N699" s="115"/>
      <c r="O699" s="115"/>
      <c r="P699" s="115"/>
    </row>
    <row r="700" spans="10:16" ht="12.5" x14ac:dyDescent="0.25">
      <c r="J700" s="115"/>
      <c r="K700" s="115"/>
      <c r="L700" s="115"/>
      <c r="M700" s="115"/>
      <c r="N700" s="115"/>
      <c r="O700" s="115"/>
      <c r="P700" s="115"/>
    </row>
    <row r="701" spans="10:16" ht="12.5" x14ac:dyDescent="0.25">
      <c r="J701" s="115"/>
      <c r="K701" s="115"/>
      <c r="L701" s="115"/>
      <c r="M701" s="115"/>
      <c r="N701" s="115"/>
      <c r="O701" s="115"/>
      <c r="P701" s="115"/>
    </row>
    <row r="702" spans="10:16" ht="12.5" x14ac:dyDescent="0.25">
      <c r="J702" s="115"/>
      <c r="K702" s="115"/>
      <c r="L702" s="115"/>
      <c r="M702" s="115"/>
      <c r="N702" s="115"/>
      <c r="O702" s="115"/>
      <c r="P702" s="115"/>
    </row>
    <row r="703" spans="10:16" ht="12.5" x14ac:dyDescent="0.25">
      <c r="J703" s="115"/>
      <c r="K703" s="115"/>
      <c r="L703" s="115"/>
      <c r="M703" s="115"/>
      <c r="N703" s="115"/>
      <c r="O703" s="115"/>
      <c r="P703" s="115"/>
    </row>
    <row r="704" spans="10:16" ht="12.5" x14ac:dyDescent="0.25">
      <c r="J704" s="115"/>
      <c r="K704" s="115"/>
      <c r="L704" s="115"/>
      <c r="M704" s="115"/>
      <c r="N704" s="115"/>
      <c r="O704" s="115"/>
      <c r="P704" s="115"/>
    </row>
    <row r="705" spans="10:16" ht="12.5" x14ac:dyDescent="0.25">
      <c r="J705" s="115"/>
      <c r="K705" s="115"/>
      <c r="L705" s="115"/>
      <c r="M705" s="115"/>
      <c r="N705" s="115"/>
      <c r="O705" s="115"/>
      <c r="P705" s="115"/>
    </row>
    <row r="706" spans="10:16" ht="12.5" x14ac:dyDescent="0.25">
      <c r="J706" s="115"/>
      <c r="K706" s="115"/>
      <c r="L706" s="115"/>
      <c r="M706" s="115"/>
      <c r="N706" s="115"/>
      <c r="O706" s="115"/>
      <c r="P706" s="115"/>
    </row>
    <row r="707" spans="10:16" ht="12.5" x14ac:dyDescent="0.25">
      <c r="J707" s="115"/>
      <c r="K707" s="115"/>
      <c r="L707" s="115"/>
      <c r="M707" s="115"/>
      <c r="N707" s="115"/>
      <c r="O707" s="115"/>
      <c r="P707" s="115"/>
    </row>
    <row r="708" spans="10:16" ht="12.5" x14ac:dyDescent="0.25">
      <c r="J708" s="115"/>
      <c r="K708" s="115"/>
      <c r="L708" s="115"/>
      <c r="M708" s="115"/>
      <c r="N708" s="115"/>
      <c r="O708" s="115"/>
      <c r="P708" s="115"/>
    </row>
    <row r="709" spans="10:16" ht="12.5" x14ac:dyDescent="0.25">
      <c r="J709" s="115"/>
      <c r="K709" s="115"/>
      <c r="L709" s="115"/>
      <c r="M709" s="115"/>
      <c r="N709" s="115"/>
      <c r="O709" s="115"/>
      <c r="P709" s="115"/>
    </row>
    <row r="710" spans="10:16" ht="12.5" x14ac:dyDescent="0.25">
      <c r="J710" s="115"/>
      <c r="K710" s="115"/>
      <c r="L710" s="115"/>
      <c r="M710" s="115"/>
      <c r="N710" s="115"/>
      <c r="O710" s="115"/>
      <c r="P710" s="115"/>
    </row>
    <row r="711" spans="10:16" ht="12.5" x14ac:dyDescent="0.25">
      <c r="J711" s="115"/>
      <c r="K711" s="115"/>
      <c r="L711" s="115"/>
      <c r="M711" s="115"/>
      <c r="N711" s="115"/>
      <c r="O711" s="115"/>
      <c r="P711" s="115"/>
    </row>
    <row r="712" spans="10:16" ht="12.5" x14ac:dyDescent="0.25">
      <c r="J712" s="115"/>
      <c r="K712" s="115"/>
      <c r="L712" s="115"/>
      <c r="M712" s="115"/>
      <c r="N712" s="115"/>
      <c r="O712" s="115"/>
      <c r="P712" s="115"/>
    </row>
    <row r="713" spans="10:16" ht="12.5" x14ac:dyDescent="0.25">
      <c r="J713" s="115"/>
      <c r="K713" s="115"/>
      <c r="L713" s="115"/>
      <c r="M713" s="115"/>
      <c r="N713" s="115"/>
      <c r="O713" s="115"/>
      <c r="P713" s="115"/>
    </row>
    <row r="714" spans="10:16" ht="12.5" x14ac:dyDescent="0.25">
      <c r="J714" s="115"/>
      <c r="K714" s="115"/>
      <c r="L714" s="115"/>
      <c r="M714" s="115"/>
      <c r="N714" s="115"/>
      <c r="O714" s="115"/>
      <c r="P714" s="115"/>
    </row>
    <row r="715" spans="10:16" ht="12.5" x14ac:dyDescent="0.25">
      <c r="J715" s="115"/>
      <c r="K715" s="115"/>
      <c r="L715" s="115"/>
      <c r="M715" s="115"/>
      <c r="N715" s="115"/>
      <c r="O715" s="115"/>
      <c r="P715" s="115"/>
    </row>
    <row r="716" spans="10:16" ht="12.5" x14ac:dyDescent="0.25">
      <c r="J716" s="115"/>
      <c r="K716" s="115"/>
      <c r="L716" s="115"/>
      <c r="M716" s="115"/>
      <c r="N716" s="115"/>
      <c r="O716" s="115"/>
      <c r="P716" s="115"/>
    </row>
    <row r="717" spans="10:16" ht="12.5" x14ac:dyDescent="0.25">
      <c r="J717" s="115"/>
      <c r="K717" s="115"/>
      <c r="L717" s="115"/>
      <c r="M717" s="115"/>
      <c r="N717" s="115"/>
      <c r="O717" s="115"/>
      <c r="P717" s="115"/>
    </row>
    <row r="718" spans="10:16" ht="12.5" x14ac:dyDescent="0.25">
      <c r="J718" s="115"/>
      <c r="K718" s="115"/>
      <c r="L718" s="115"/>
      <c r="M718" s="115"/>
      <c r="N718" s="115"/>
      <c r="O718" s="115"/>
      <c r="P718" s="115"/>
    </row>
    <row r="719" spans="10:16" ht="12.5" x14ac:dyDescent="0.25">
      <c r="J719" s="115"/>
      <c r="K719" s="115"/>
      <c r="L719" s="115"/>
      <c r="M719" s="115"/>
      <c r="N719" s="115"/>
      <c r="O719" s="115"/>
      <c r="P719" s="115"/>
    </row>
    <row r="720" spans="10:16" ht="12.5" x14ac:dyDescent="0.25">
      <c r="J720" s="115"/>
      <c r="K720" s="115"/>
      <c r="L720" s="115"/>
      <c r="M720" s="115"/>
      <c r="N720" s="115"/>
      <c r="O720" s="115"/>
      <c r="P720" s="115"/>
    </row>
    <row r="721" spans="10:16" ht="12.5" x14ac:dyDescent="0.25">
      <c r="J721" s="115"/>
      <c r="K721" s="115"/>
      <c r="L721" s="115"/>
      <c r="M721" s="115"/>
      <c r="N721" s="115"/>
      <c r="O721" s="115"/>
      <c r="P721" s="115"/>
    </row>
    <row r="722" spans="10:16" ht="12.5" x14ac:dyDescent="0.25">
      <c r="J722" s="115"/>
      <c r="K722" s="115"/>
      <c r="L722" s="115"/>
      <c r="M722" s="115"/>
      <c r="N722" s="115"/>
      <c r="O722" s="115"/>
      <c r="P722" s="115"/>
    </row>
    <row r="723" spans="10:16" ht="12.5" x14ac:dyDescent="0.25">
      <c r="J723" s="115"/>
      <c r="K723" s="115"/>
      <c r="L723" s="115"/>
      <c r="M723" s="115"/>
      <c r="N723" s="115"/>
      <c r="O723" s="115"/>
      <c r="P723" s="115"/>
    </row>
    <row r="724" spans="10:16" ht="12.5" x14ac:dyDescent="0.25">
      <c r="J724" s="115"/>
      <c r="K724" s="115"/>
      <c r="L724" s="115"/>
      <c r="M724" s="115"/>
      <c r="N724" s="115"/>
      <c r="O724" s="115"/>
      <c r="P724" s="115"/>
    </row>
    <row r="725" spans="10:16" ht="12.5" x14ac:dyDescent="0.25">
      <c r="J725" s="115"/>
      <c r="K725" s="115"/>
      <c r="L725" s="115"/>
      <c r="M725" s="115"/>
      <c r="N725" s="115"/>
      <c r="O725" s="115"/>
      <c r="P725" s="115"/>
    </row>
    <row r="726" spans="10:16" ht="12.5" x14ac:dyDescent="0.25">
      <c r="J726" s="115"/>
      <c r="K726" s="115"/>
      <c r="L726" s="115"/>
      <c r="M726" s="115"/>
      <c r="N726" s="115"/>
      <c r="O726" s="115"/>
      <c r="P726" s="115"/>
    </row>
    <row r="727" spans="10:16" ht="12.5" x14ac:dyDescent="0.25">
      <c r="J727" s="115"/>
      <c r="K727" s="115"/>
      <c r="L727" s="115"/>
      <c r="M727" s="115"/>
      <c r="N727" s="115"/>
      <c r="O727" s="115"/>
      <c r="P727" s="115"/>
    </row>
    <row r="728" spans="10:16" ht="12.5" x14ac:dyDescent="0.25">
      <c r="J728" s="115"/>
      <c r="K728" s="115"/>
      <c r="L728" s="115"/>
      <c r="M728" s="115"/>
      <c r="N728" s="115"/>
      <c r="O728" s="115"/>
      <c r="P728" s="115"/>
    </row>
    <row r="729" spans="10:16" ht="12.5" x14ac:dyDescent="0.25">
      <c r="J729" s="115"/>
      <c r="K729" s="115"/>
      <c r="L729" s="115"/>
      <c r="M729" s="115"/>
      <c r="N729" s="115"/>
      <c r="O729" s="115"/>
      <c r="P729" s="115"/>
    </row>
    <row r="730" spans="10:16" ht="12.5" x14ac:dyDescent="0.25">
      <c r="J730" s="115"/>
      <c r="K730" s="115"/>
      <c r="L730" s="115"/>
      <c r="M730" s="115"/>
      <c r="N730" s="115"/>
      <c r="O730" s="115"/>
      <c r="P730" s="115"/>
    </row>
    <row r="731" spans="10:16" ht="12.5" x14ac:dyDescent="0.25">
      <c r="J731" s="115"/>
      <c r="K731" s="115"/>
      <c r="L731" s="115"/>
      <c r="M731" s="115"/>
      <c r="N731" s="115"/>
      <c r="O731" s="115"/>
      <c r="P731" s="115"/>
    </row>
    <row r="732" spans="10:16" ht="12.5" x14ac:dyDescent="0.25">
      <c r="J732" s="115"/>
      <c r="K732" s="115"/>
      <c r="L732" s="115"/>
      <c r="M732" s="115"/>
      <c r="N732" s="115"/>
      <c r="O732" s="115"/>
      <c r="P732" s="115"/>
    </row>
    <row r="733" spans="10:16" ht="12.5" x14ac:dyDescent="0.25">
      <c r="J733" s="115"/>
      <c r="K733" s="115"/>
      <c r="L733" s="115"/>
      <c r="M733" s="115"/>
      <c r="N733" s="115"/>
      <c r="O733" s="115"/>
      <c r="P733" s="115"/>
    </row>
    <row r="734" spans="10:16" ht="12.5" x14ac:dyDescent="0.25">
      <c r="J734" s="115"/>
      <c r="K734" s="115"/>
      <c r="L734" s="115"/>
      <c r="M734" s="115"/>
      <c r="N734" s="115"/>
      <c r="O734" s="115"/>
      <c r="P734" s="115"/>
    </row>
    <row r="735" spans="10:16" ht="12.5" x14ac:dyDescent="0.25">
      <c r="J735" s="115"/>
      <c r="K735" s="115"/>
      <c r="L735" s="115"/>
      <c r="M735" s="115"/>
      <c r="N735" s="115"/>
      <c r="O735" s="115"/>
      <c r="P735" s="115"/>
    </row>
    <row r="736" spans="10:16" ht="12.5" x14ac:dyDescent="0.25">
      <c r="J736" s="115"/>
      <c r="K736" s="115"/>
      <c r="L736" s="115"/>
      <c r="M736" s="115"/>
      <c r="N736" s="115"/>
      <c r="O736" s="115"/>
      <c r="P736" s="115"/>
    </row>
    <row r="737" spans="10:16" ht="12.5" x14ac:dyDescent="0.25">
      <c r="J737" s="115"/>
      <c r="K737" s="115"/>
      <c r="L737" s="115"/>
      <c r="M737" s="115"/>
      <c r="N737" s="115"/>
      <c r="O737" s="115"/>
      <c r="P737" s="115"/>
    </row>
    <row r="738" spans="10:16" ht="12.5" x14ac:dyDescent="0.25">
      <c r="J738" s="115"/>
      <c r="K738" s="115"/>
      <c r="L738" s="115"/>
      <c r="M738" s="115"/>
      <c r="N738" s="115"/>
      <c r="O738" s="115"/>
      <c r="P738" s="115"/>
    </row>
    <row r="739" spans="10:16" ht="12.5" x14ac:dyDescent="0.25">
      <c r="J739" s="115"/>
      <c r="K739" s="115"/>
      <c r="L739" s="115"/>
      <c r="M739" s="115"/>
      <c r="N739" s="115"/>
      <c r="O739" s="115"/>
      <c r="P739" s="115"/>
    </row>
    <row r="740" spans="10:16" ht="12.5" x14ac:dyDescent="0.25">
      <c r="J740" s="115"/>
      <c r="K740" s="115"/>
      <c r="L740" s="115"/>
      <c r="M740" s="115"/>
      <c r="N740" s="115"/>
      <c r="O740" s="115"/>
      <c r="P740" s="115"/>
    </row>
    <row r="741" spans="10:16" ht="12.5" x14ac:dyDescent="0.25">
      <c r="J741" s="115"/>
      <c r="K741" s="115"/>
      <c r="L741" s="115"/>
      <c r="M741" s="115"/>
      <c r="N741" s="115"/>
      <c r="O741" s="115"/>
      <c r="P741" s="115"/>
    </row>
    <row r="742" spans="10:16" ht="12.5" x14ac:dyDescent="0.25">
      <c r="J742" s="115"/>
      <c r="K742" s="115"/>
      <c r="L742" s="115"/>
      <c r="M742" s="115"/>
      <c r="N742" s="115"/>
      <c r="O742" s="115"/>
      <c r="P742" s="115"/>
    </row>
    <row r="743" spans="10:16" ht="12.5" x14ac:dyDescent="0.25">
      <c r="J743" s="115"/>
      <c r="K743" s="115"/>
      <c r="L743" s="115"/>
      <c r="M743" s="115"/>
      <c r="N743" s="115"/>
      <c r="O743" s="115"/>
      <c r="P743" s="115"/>
    </row>
    <row r="744" spans="10:16" ht="12.5" x14ac:dyDescent="0.25">
      <c r="J744" s="115"/>
      <c r="K744" s="115"/>
      <c r="L744" s="115"/>
      <c r="M744" s="115"/>
      <c r="N744" s="115"/>
      <c r="O744" s="115"/>
      <c r="P744" s="115"/>
    </row>
    <row r="745" spans="10:16" ht="12.5" x14ac:dyDescent="0.25">
      <c r="J745" s="115"/>
      <c r="K745" s="115"/>
      <c r="L745" s="115"/>
      <c r="M745" s="115"/>
      <c r="N745" s="115"/>
      <c r="O745" s="115"/>
      <c r="P745" s="115"/>
    </row>
    <row r="746" spans="10:16" ht="12.5" x14ac:dyDescent="0.25">
      <c r="J746" s="115"/>
      <c r="K746" s="115"/>
      <c r="L746" s="115"/>
      <c r="M746" s="115"/>
      <c r="N746" s="115"/>
      <c r="O746" s="115"/>
      <c r="P746" s="115"/>
    </row>
    <row r="747" spans="10:16" ht="12.5" x14ac:dyDescent="0.25">
      <c r="J747" s="115"/>
      <c r="K747" s="115"/>
      <c r="L747" s="115"/>
      <c r="M747" s="115"/>
      <c r="N747" s="115"/>
      <c r="O747" s="115"/>
      <c r="P747" s="115"/>
    </row>
    <row r="748" spans="10:16" ht="12.5" x14ac:dyDescent="0.25">
      <c r="J748" s="115"/>
      <c r="K748" s="115"/>
      <c r="L748" s="115"/>
      <c r="M748" s="115"/>
      <c r="N748" s="115"/>
      <c r="O748" s="115"/>
      <c r="P748" s="115"/>
    </row>
    <row r="749" spans="10:16" ht="12.5" x14ac:dyDescent="0.25">
      <c r="J749" s="115"/>
      <c r="K749" s="115"/>
      <c r="L749" s="115"/>
      <c r="M749" s="115"/>
      <c r="N749" s="115"/>
      <c r="O749" s="115"/>
      <c r="P749" s="115"/>
    </row>
    <row r="750" spans="10:16" ht="12.5" x14ac:dyDescent="0.25">
      <c r="J750" s="115"/>
      <c r="K750" s="115"/>
      <c r="L750" s="115"/>
      <c r="M750" s="115"/>
      <c r="N750" s="115"/>
      <c r="O750" s="115"/>
      <c r="P750" s="115"/>
    </row>
    <row r="751" spans="10:16" ht="12.5" x14ac:dyDescent="0.25">
      <c r="J751" s="115"/>
      <c r="K751" s="115"/>
      <c r="L751" s="115"/>
      <c r="M751" s="115"/>
      <c r="N751" s="115"/>
      <c r="O751" s="115"/>
      <c r="P751" s="115"/>
    </row>
    <row r="752" spans="10:16" ht="12.5" x14ac:dyDescent="0.25">
      <c r="J752" s="115"/>
      <c r="K752" s="115"/>
      <c r="L752" s="115"/>
      <c r="M752" s="115"/>
      <c r="N752" s="115"/>
      <c r="O752" s="115"/>
      <c r="P752" s="115"/>
    </row>
    <row r="753" spans="10:16" ht="12.5" x14ac:dyDescent="0.25">
      <c r="J753" s="115"/>
      <c r="K753" s="115"/>
      <c r="L753" s="115"/>
      <c r="M753" s="115"/>
      <c r="N753" s="115"/>
      <c r="O753" s="115"/>
      <c r="P753" s="115"/>
    </row>
    <row r="754" spans="10:16" ht="12.5" x14ac:dyDescent="0.25">
      <c r="J754" s="115"/>
      <c r="K754" s="115"/>
      <c r="L754" s="115"/>
      <c r="M754" s="115"/>
      <c r="N754" s="115"/>
      <c r="O754" s="115"/>
      <c r="P754" s="115"/>
    </row>
    <row r="755" spans="10:16" ht="12.5" x14ac:dyDescent="0.25">
      <c r="J755" s="115"/>
      <c r="K755" s="115"/>
      <c r="L755" s="115"/>
      <c r="M755" s="115"/>
      <c r="N755" s="115"/>
      <c r="O755" s="115"/>
      <c r="P755" s="115"/>
    </row>
    <row r="756" spans="10:16" ht="12.5" x14ac:dyDescent="0.25">
      <c r="J756" s="115"/>
      <c r="K756" s="115"/>
      <c r="L756" s="115"/>
      <c r="M756" s="115"/>
      <c r="N756" s="115"/>
      <c r="O756" s="115"/>
      <c r="P756" s="115"/>
    </row>
    <row r="757" spans="10:16" ht="12.5" x14ac:dyDescent="0.25">
      <c r="J757" s="115"/>
      <c r="K757" s="115"/>
      <c r="L757" s="115"/>
      <c r="M757" s="115"/>
      <c r="N757" s="115"/>
      <c r="O757" s="115"/>
      <c r="P757" s="115"/>
    </row>
    <row r="758" spans="10:16" ht="12.5" x14ac:dyDescent="0.25">
      <c r="J758" s="115"/>
      <c r="K758" s="115"/>
      <c r="L758" s="115"/>
      <c r="M758" s="115"/>
      <c r="N758" s="115"/>
      <c r="O758" s="115"/>
      <c r="P758" s="115"/>
    </row>
    <row r="759" spans="10:16" ht="12.5" x14ac:dyDescent="0.25">
      <c r="J759" s="115"/>
      <c r="K759" s="115"/>
      <c r="L759" s="115"/>
      <c r="M759" s="115"/>
      <c r="N759" s="115"/>
      <c r="O759" s="115"/>
      <c r="P759" s="115"/>
    </row>
    <row r="760" spans="10:16" ht="12.5" x14ac:dyDescent="0.25">
      <c r="J760" s="115"/>
      <c r="K760" s="115"/>
      <c r="L760" s="115"/>
      <c r="M760" s="115"/>
      <c r="N760" s="115"/>
      <c r="O760" s="115"/>
      <c r="P760" s="115"/>
    </row>
    <row r="761" spans="10:16" ht="12.5" x14ac:dyDescent="0.25">
      <c r="J761" s="115"/>
      <c r="K761" s="115"/>
      <c r="L761" s="115"/>
      <c r="M761" s="115"/>
      <c r="N761" s="115"/>
      <c r="O761" s="115"/>
      <c r="P761" s="115"/>
    </row>
    <row r="762" spans="10:16" ht="12.5" x14ac:dyDescent="0.25">
      <c r="J762" s="115"/>
      <c r="K762" s="115"/>
      <c r="L762" s="115"/>
      <c r="M762" s="115"/>
      <c r="N762" s="115"/>
      <c r="O762" s="115"/>
      <c r="P762" s="115"/>
    </row>
    <row r="763" spans="10:16" ht="12.5" x14ac:dyDescent="0.25">
      <c r="J763" s="115"/>
      <c r="K763" s="115"/>
      <c r="L763" s="115"/>
      <c r="M763" s="115"/>
      <c r="N763" s="115"/>
      <c r="O763" s="115"/>
      <c r="P763" s="115"/>
    </row>
    <row r="764" spans="10:16" ht="12.5" x14ac:dyDescent="0.25">
      <c r="J764" s="115"/>
      <c r="K764" s="115"/>
      <c r="L764" s="115"/>
      <c r="M764" s="115"/>
      <c r="N764" s="115"/>
      <c r="O764" s="115"/>
      <c r="P764" s="115"/>
    </row>
    <row r="765" spans="10:16" ht="12.5" x14ac:dyDescent="0.25">
      <c r="J765" s="115"/>
      <c r="K765" s="115"/>
      <c r="L765" s="115"/>
      <c r="M765" s="115"/>
      <c r="N765" s="115"/>
      <c r="O765" s="115"/>
      <c r="P765" s="115"/>
    </row>
    <row r="766" spans="10:16" ht="12.5" x14ac:dyDescent="0.25">
      <c r="J766" s="115"/>
      <c r="K766" s="115"/>
      <c r="L766" s="115"/>
      <c r="M766" s="115"/>
      <c r="N766" s="115"/>
      <c r="O766" s="115"/>
      <c r="P766" s="115"/>
    </row>
    <row r="767" spans="10:16" ht="12.5" x14ac:dyDescent="0.25">
      <c r="J767" s="115"/>
      <c r="K767" s="115"/>
      <c r="L767" s="115"/>
      <c r="M767" s="115"/>
      <c r="N767" s="115"/>
      <c r="O767" s="115"/>
      <c r="P767" s="115"/>
    </row>
    <row r="768" spans="10:16" ht="12.5" x14ac:dyDescent="0.25">
      <c r="J768" s="115"/>
      <c r="K768" s="115"/>
      <c r="L768" s="115"/>
      <c r="M768" s="115"/>
      <c r="N768" s="115"/>
      <c r="O768" s="115"/>
      <c r="P768" s="115"/>
    </row>
    <row r="769" spans="10:16" ht="12.5" x14ac:dyDescent="0.25">
      <c r="J769" s="115"/>
      <c r="K769" s="115"/>
      <c r="L769" s="115"/>
      <c r="M769" s="115"/>
      <c r="N769" s="115"/>
      <c r="O769" s="115"/>
      <c r="P769" s="115"/>
    </row>
    <row r="770" spans="10:16" ht="12.5" x14ac:dyDescent="0.25">
      <c r="J770" s="115"/>
      <c r="K770" s="115"/>
      <c r="L770" s="115"/>
      <c r="M770" s="115"/>
      <c r="N770" s="115"/>
      <c r="O770" s="115"/>
      <c r="P770" s="115"/>
    </row>
    <row r="771" spans="10:16" ht="12.5" x14ac:dyDescent="0.25">
      <c r="J771" s="115"/>
      <c r="K771" s="115"/>
      <c r="L771" s="115"/>
      <c r="M771" s="115"/>
      <c r="N771" s="115"/>
      <c r="O771" s="115"/>
      <c r="P771" s="115"/>
    </row>
    <row r="772" spans="10:16" ht="12.5" x14ac:dyDescent="0.25">
      <c r="J772" s="115"/>
      <c r="K772" s="115"/>
      <c r="L772" s="115"/>
      <c r="M772" s="115"/>
      <c r="N772" s="115"/>
      <c r="O772" s="115"/>
      <c r="P772" s="115"/>
    </row>
    <row r="773" spans="10:16" ht="12.5" x14ac:dyDescent="0.25">
      <c r="J773" s="115"/>
      <c r="K773" s="115"/>
      <c r="L773" s="115"/>
      <c r="M773" s="115"/>
      <c r="N773" s="115"/>
      <c r="O773" s="115"/>
      <c r="P773" s="115"/>
    </row>
    <row r="774" spans="10:16" ht="12.5" x14ac:dyDescent="0.25">
      <c r="J774" s="115"/>
      <c r="K774" s="115"/>
      <c r="L774" s="115"/>
      <c r="M774" s="115"/>
      <c r="N774" s="115"/>
      <c r="O774" s="115"/>
      <c r="P774" s="115"/>
    </row>
    <row r="775" spans="10:16" ht="12.5" x14ac:dyDescent="0.25">
      <c r="J775" s="115"/>
      <c r="K775" s="115"/>
      <c r="L775" s="115"/>
      <c r="M775" s="115"/>
      <c r="N775" s="115"/>
      <c r="O775" s="115"/>
      <c r="P775" s="115"/>
    </row>
    <row r="776" spans="10:16" ht="12.5" x14ac:dyDescent="0.25">
      <c r="J776" s="115"/>
      <c r="K776" s="115"/>
      <c r="L776" s="115"/>
      <c r="M776" s="115"/>
      <c r="N776" s="115"/>
      <c r="O776" s="115"/>
      <c r="P776" s="115"/>
    </row>
    <row r="777" spans="10:16" ht="12.5" x14ac:dyDescent="0.25">
      <c r="J777" s="115"/>
      <c r="K777" s="115"/>
      <c r="L777" s="115"/>
      <c r="M777" s="115"/>
      <c r="N777" s="115"/>
      <c r="O777" s="115"/>
      <c r="P777" s="115"/>
    </row>
    <row r="778" spans="10:16" ht="12.5" x14ac:dyDescent="0.25">
      <c r="J778" s="115"/>
      <c r="K778" s="115"/>
      <c r="L778" s="115"/>
      <c r="M778" s="115"/>
      <c r="N778" s="115"/>
      <c r="O778" s="115"/>
      <c r="P778" s="115"/>
    </row>
    <row r="779" spans="10:16" ht="12.5" x14ac:dyDescent="0.25">
      <c r="J779" s="115"/>
      <c r="K779" s="115"/>
      <c r="L779" s="115"/>
      <c r="M779" s="115"/>
      <c r="N779" s="115"/>
      <c r="O779" s="115"/>
      <c r="P779" s="115"/>
    </row>
    <row r="780" spans="10:16" ht="12.5" x14ac:dyDescent="0.25">
      <c r="J780" s="115"/>
      <c r="K780" s="115"/>
      <c r="L780" s="115"/>
      <c r="M780" s="115"/>
      <c r="N780" s="115"/>
      <c r="O780" s="115"/>
      <c r="P780" s="115"/>
    </row>
    <row r="781" spans="10:16" ht="12.5" x14ac:dyDescent="0.25">
      <c r="J781" s="115"/>
      <c r="K781" s="115"/>
      <c r="L781" s="115"/>
      <c r="M781" s="115"/>
      <c r="N781" s="115"/>
      <c r="O781" s="115"/>
      <c r="P781" s="115"/>
    </row>
    <row r="782" spans="10:16" ht="12.5" x14ac:dyDescent="0.25">
      <c r="J782" s="115"/>
      <c r="K782" s="115"/>
      <c r="L782" s="115"/>
      <c r="M782" s="115"/>
      <c r="N782" s="115"/>
      <c r="O782" s="115"/>
      <c r="P782" s="115"/>
    </row>
    <row r="783" spans="10:16" ht="12.5" x14ac:dyDescent="0.25">
      <c r="J783" s="115"/>
      <c r="K783" s="115"/>
      <c r="L783" s="115"/>
      <c r="M783" s="115"/>
      <c r="N783" s="115"/>
      <c r="O783" s="115"/>
      <c r="P783" s="115"/>
    </row>
    <row r="784" spans="10:16" ht="12.5" x14ac:dyDescent="0.25">
      <c r="J784" s="115"/>
      <c r="K784" s="115"/>
      <c r="L784" s="115"/>
      <c r="M784" s="115"/>
      <c r="N784" s="115"/>
      <c r="O784" s="115"/>
      <c r="P784" s="115"/>
    </row>
    <row r="785" spans="10:16" ht="12.5" x14ac:dyDescent="0.25">
      <c r="J785" s="115"/>
      <c r="K785" s="115"/>
      <c r="L785" s="115"/>
      <c r="M785" s="115"/>
      <c r="N785" s="115"/>
      <c r="O785" s="115"/>
      <c r="P785" s="115"/>
    </row>
    <row r="786" spans="10:16" ht="12.5" x14ac:dyDescent="0.25">
      <c r="J786" s="115"/>
      <c r="K786" s="115"/>
      <c r="L786" s="115"/>
      <c r="M786" s="115"/>
      <c r="N786" s="115"/>
      <c r="O786" s="115"/>
      <c r="P786" s="115"/>
    </row>
    <row r="787" spans="10:16" ht="12.5" x14ac:dyDescent="0.25">
      <c r="J787" s="115"/>
      <c r="K787" s="115"/>
      <c r="L787" s="115"/>
      <c r="M787" s="115"/>
      <c r="N787" s="115"/>
      <c r="O787" s="115"/>
      <c r="P787" s="115"/>
    </row>
    <row r="788" spans="10:16" ht="12.5" x14ac:dyDescent="0.25">
      <c r="J788" s="115"/>
      <c r="K788" s="115"/>
      <c r="L788" s="115"/>
      <c r="M788" s="115"/>
      <c r="N788" s="115"/>
      <c r="O788" s="115"/>
      <c r="P788" s="115"/>
    </row>
    <row r="789" spans="10:16" ht="12.5" x14ac:dyDescent="0.25">
      <c r="J789" s="115"/>
      <c r="K789" s="115"/>
      <c r="L789" s="115"/>
      <c r="M789" s="115"/>
      <c r="N789" s="115"/>
      <c r="O789" s="115"/>
      <c r="P789" s="115"/>
    </row>
    <row r="790" spans="10:16" ht="12.5" x14ac:dyDescent="0.25">
      <c r="J790" s="115"/>
      <c r="K790" s="115"/>
      <c r="L790" s="115"/>
      <c r="M790" s="115"/>
      <c r="N790" s="115"/>
      <c r="O790" s="115"/>
      <c r="P790" s="115"/>
    </row>
    <row r="791" spans="10:16" ht="12.5" x14ac:dyDescent="0.25">
      <c r="J791" s="115"/>
      <c r="K791" s="115"/>
      <c r="L791" s="115"/>
      <c r="M791" s="115"/>
      <c r="N791" s="115"/>
      <c r="O791" s="115"/>
      <c r="P791" s="115"/>
    </row>
    <row r="792" spans="10:16" ht="12.5" x14ac:dyDescent="0.25">
      <c r="J792" s="115"/>
      <c r="K792" s="115"/>
      <c r="L792" s="115"/>
      <c r="M792" s="115"/>
      <c r="N792" s="115"/>
      <c r="O792" s="115"/>
      <c r="P792" s="115"/>
    </row>
    <row r="793" spans="10:16" ht="12.5" x14ac:dyDescent="0.25">
      <c r="J793" s="115"/>
      <c r="K793" s="115"/>
      <c r="L793" s="115"/>
      <c r="M793" s="115"/>
      <c r="N793" s="115"/>
      <c r="O793" s="115"/>
      <c r="P793" s="115"/>
    </row>
    <row r="794" spans="10:16" ht="12.5" x14ac:dyDescent="0.25">
      <c r="J794" s="115"/>
      <c r="K794" s="115"/>
      <c r="L794" s="115"/>
      <c r="M794" s="115"/>
      <c r="N794" s="115"/>
      <c r="O794" s="115"/>
      <c r="P794" s="115"/>
    </row>
    <row r="795" spans="10:16" ht="12.5" x14ac:dyDescent="0.25">
      <c r="J795" s="115"/>
      <c r="K795" s="115"/>
      <c r="L795" s="115"/>
      <c r="M795" s="115"/>
      <c r="N795" s="115"/>
      <c r="O795" s="115"/>
      <c r="P795" s="115"/>
    </row>
    <row r="796" spans="10:16" ht="12.5" x14ac:dyDescent="0.25">
      <c r="J796" s="115"/>
      <c r="K796" s="115"/>
      <c r="L796" s="115"/>
      <c r="M796" s="115"/>
      <c r="N796" s="115"/>
      <c r="O796" s="115"/>
      <c r="P796" s="115"/>
    </row>
    <row r="797" spans="10:16" ht="12.5" x14ac:dyDescent="0.25">
      <c r="J797" s="115"/>
      <c r="K797" s="115"/>
      <c r="L797" s="115"/>
      <c r="M797" s="115"/>
      <c r="N797" s="115"/>
      <c r="O797" s="115"/>
      <c r="P797" s="115"/>
    </row>
    <row r="798" spans="10:16" ht="12.5" x14ac:dyDescent="0.25">
      <c r="J798" s="115"/>
      <c r="K798" s="115"/>
      <c r="L798" s="115"/>
      <c r="M798" s="115"/>
      <c r="N798" s="115"/>
      <c r="O798" s="115"/>
      <c r="P798" s="115"/>
    </row>
    <row r="799" spans="10:16" ht="12.5" x14ac:dyDescent="0.25">
      <c r="J799" s="115"/>
      <c r="K799" s="115"/>
      <c r="L799" s="115"/>
      <c r="M799" s="115"/>
      <c r="N799" s="115"/>
      <c r="O799" s="115"/>
      <c r="P799" s="115"/>
    </row>
    <row r="800" spans="10:16" ht="12.5" x14ac:dyDescent="0.25">
      <c r="J800" s="115"/>
      <c r="K800" s="115"/>
      <c r="L800" s="115"/>
      <c r="M800" s="115"/>
      <c r="N800" s="115"/>
      <c r="O800" s="115"/>
      <c r="P800" s="115"/>
    </row>
    <row r="801" spans="10:16" ht="12.5" x14ac:dyDescent="0.25">
      <c r="J801" s="115"/>
      <c r="K801" s="115"/>
      <c r="L801" s="115"/>
      <c r="M801" s="115"/>
      <c r="N801" s="115"/>
      <c r="O801" s="115"/>
      <c r="P801" s="115"/>
    </row>
    <row r="802" spans="10:16" ht="12.5" x14ac:dyDescent="0.25">
      <c r="J802" s="115"/>
      <c r="K802" s="115"/>
      <c r="L802" s="115"/>
      <c r="M802" s="115"/>
      <c r="N802" s="115"/>
      <c r="O802" s="115"/>
      <c r="P802" s="115"/>
    </row>
    <row r="803" spans="10:16" ht="12.5" x14ac:dyDescent="0.25">
      <c r="J803" s="115"/>
      <c r="K803" s="115"/>
      <c r="L803" s="115"/>
      <c r="M803" s="115"/>
      <c r="N803" s="115"/>
      <c r="O803" s="115"/>
      <c r="P803" s="115"/>
    </row>
    <row r="804" spans="10:16" ht="12.5" x14ac:dyDescent="0.25">
      <c r="J804" s="115"/>
      <c r="K804" s="115"/>
      <c r="L804" s="115"/>
      <c r="M804" s="115"/>
      <c r="N804" s="115"/>
      <c r="O804" s="115"/>
      <c r="P804" s="115"/>
    </row>
    <row r="805" spans="10:16" ht="12.5" x14ac:dyDescent="0.25">
      <c r="J805" s="115"/>
      <c r="K805" s="115"/>
      <c r="L805" s="115"/>
      <c r="M805" s="115"/>
      <c r="N805" s="115"/>
      <c r="O805" s="115"/>
      <c r="P805" s="115"/>
    </row>
    <row r="806" spans="10:16" ht="12.5" x14ac:dyDescent="0.25">
      <c r="J806" s="115"/>
      <c r="K806" s="115"/>
      <c r="L806" s="115"/>
      <c r="M806" s="115"/>
      <c r="N806" s="115"/>
      <c r="O806" s="115"/>
      <c r="P806" s="115"/>
    </row>
    <row r="807" spans="10:16" ht="12.5" x14ac:dyDescent="0.25">
      <c r="J807" s="115"/>
      <c r="K807" s="115"/>
      <c r="L807" s="115"/>
      <c r="M807" s="115"/>
      <c r="N807" s="115"/>
      <c r="O807" s="115"/>
      <c r="P807" s="115"/>
    </row>
    <row r="808" spans="10:16" ht="12.5" x14ac:dyDescent="0.25">
      <c r="J808" s="115"/>
      <c r="K808" s="115"/>
      <c r="L808" s="115"/>
      <c r="M808" s="115"/>
      <c r="N808" s="115"/>
      <c r="O808" s="115"/>
      <c r="P808" s="115"/>
    </row>
    <row r="809" spans="10:16" ht="12.5" x14ac:dyDescent="0.25">
      <c r="J809" s="115"/>
      <c r="K809" s="115"/>
      <c r="L809" s="115"/>
      <c r="M809" s="115"/>
      <c r="N809" s="115"/>
      <c r="O809" s="115"/>
      <c r="P809" s="115"/>
    </row>
    <row r="810" spans="10:16" ht="12.5" x14ac:dyDescent="0.25">
      <c r="J810" s="115"/>
      <c r="K810" s="115"/>
      <c r="L810" s="115"/>
      <c r="M810" s="115"/>
      <c r="N810" s="115"/>
      <c r="O810" s="115"/>
      <c r="P810" s="115"/>
    </row>
    <row r="811" spans="10:16" ht="12.5" x14ac:dyDescent="0.25">
      <c r="J811" s="115"/>
      <c r="K811" s="115"/>
      <c r="L811" s="115"/>
      <c r="M811" s="115"/>
      <c r="N811" s="115"/>
      <c r="O811" s="115"/>
      <c r="P811" s="115"/>
    </row>
    <row r="812" spans="10:16" ht="12.5" x14ac:dyDescent="0.25">
      <c r="J812" s="115"/>
      <c r="K812" s="115"/>
      <c r="L812" s="115"/>
      <c r="M812" s="115"/>
      <c r="N812" s="115"/>
      <c r="O812" s="115"/>
      <c r="P812" s="115"/>
    </row>
    <row r="813" spans="10:16" ht="12.5" x14ac:dyDescent="0.25">
      <c r="J813" s="115"/>
      <c r="K813" s="115"/>
      <c r="L813" s="115"/>
      <c r="M813" s="115"/>
      <c r="N813" s="115"/>
      <c r="O813" s="115"/>
      <c r="P813" s="115"/>
    </row>
    <row r="814" spans="10:16" ht="12.5" x14ac:dyDescent="0.25">
      <c r="J814" s="115"/>
      <c r="K814" s="115"/>
      <c r="L814" s="115"/>
      <c r="M814" s="115"/>
      <c r="N814" s="115"/>
      <c r="O814" s="115"/>
      <c r="P814" s="115"/>
    </row>
    <row r="815" spans="10:16" ht="12.5" x14ac:dyDescent="0.25">
      <c r="J815" s="115"/>
      <c r="K815" s="115"/>
      <c r="L815" s="115"/>
      <c r="M815" s="115"/>
      <c r="N815" s="115"/>
      <c r="O815" s="115"/>
      <c r="P815" s="115"/>
    </row>
    <row r="816" spans="10:16" ht="12.5" x14ac:dyDescent="0.25">
      <c r="J816" s="115"/>
      <c r="K816" s="115"/>
      <c r="L816" s="115"/>
      <c r="M816" s="115"/>
      <c r="N816" s="115"/>
      <c r="O816" s="115"/>
      <c r="P816" s="115"/>
    </row>
    <row r="817" spans="10:16" ht="12.5" x14ac:dyDescent="0.25">
      <c r="J817" s="115"/>
      <c r="K817" s="115"/>
      <c r="L817" s="115"/>
      <c r="M817" s="115"/>
      <c r="N817" s="115"/>
      <c r="O817" s="115"/>
      <c r="P817" s="115"/>
    </row>
    <row r="818" spans="10:16" ht="12.5" x14ac:dyDescent="0.25">
      <c r="J818" s="115"/>
      <c r="K818" s="115"/>
      <c r="L818" s="115"/>
      <c r="M818" s="115"/>
      <c r="N818" s="115"/>
      <c r="O818" s="115"/>
      <c r="P818" s="115"/>
    </row>
    <row r="819" spans="10:16" ht="12.5" x14ac:dyDescent="0.25">
      <c r="J819" s="115"/>
      <c r="K819" s="115"/>
      <c r="L819" s="115"/>
      <c r="M819" s="115"/>
      <c r="N819" s="115"/>
      <c r="O819" s="115"/>
      <c r="P819" s="115"/>
    </row>
    <row r="820" spans="10:16" ht="12.5" x14ac:dyDescent="0.25">
      <c r="J820" s="115"/>
      <c r="K820" s="115"/>
      <c r="L820" s="115"/>
      <c r="M820" s="115"/>
      <c r="N820" s="115"/>
      <c r="O820" s="115"/>
      <c r="P820" s="115"/>
    </row>
    <row r="821" spans="10:16" ht="12.5" x14ac:dyDescent="0.25">
      <c r="J821" s="115"/>
      <c r="K821" s="115"/>
      <c r="L821" s="115"/>
      <c r="M821" s="115"/>
      <c r="N821" s="115"/>
      <c r="O821" s="115"/>
      <c r="P821" s="115"/>
    </row>
    <row r="822" spans="10:16" ht="12.5" x14ac:dyDescent="0.25">
      <c r="J822" s="115"/>
      <c r="K822" s="115"/>
      <c r="L822" s="115"/>
      <c r="M822" s="115"/>
      <c r="N822" s="115"/>
      <c r="O822" s="115"/>
      <c r="P822" s="115"/>
    </row>
    <row r="823" spans="10:16" ht="12.5" x14ac:dyDescent="0.25">
      <c r="J823" s="115"/>
      <c r="K823" s="115"/>
      <c r="L823" s="115"/>
      <c r="M823" s="115"/>
      <c r="N823" s="115"/>
      <c r="O823" s="115"/>
      <c r="P823" s="115"/>
    </row>
    <row r="824" spans="10:16" ht="12.5" x14ac:dyDescent="0.25">
      <c r="J824" s="115"/>
      <c r="K824" s="115"/>
      <c r="L824" s="115"/>
      <c r="M824" s="115"/>
      <c r="N824" s="115"/>
      <c r="O824" s="115"/>
      <c r="P824" s="115"/>
    </row>
    <row r="825" spans="10:16" ht="12.5" x14ac:dyDescent="0.25">
      <c r="J825" s="115"/>
      <c r="K825" s="115"/>
      <c r="L825" s="115"/>
      <c r="M825" s="115"/>
      <c r="N825" s="115"/>
      <c r="O825" s="115"/>
      <c r="P825" s="115"/>
    </row>
    <row r="826" spans="10:16" ht="12.5" x14ac:dyDescent="0.25">
      <c r="J826" s="115"/>
      <c r="K826" s="115"/>
      <c r="L826" s="115"/>
      <c r="M826" s="115"/>
      <c r="N826" s="115"/>
      <c r="O826" s="115"/>
      <c r="P826" s="115"/>
    </row>
    <row r="827" spans="10:16" ht="12.5" x14ac:dyDescent="0.25">
      <c r="J827" s="115"/>
      <c r="K827" s="115"/>
      <c r="L827" s="115"/>
      <c r="M827" s="115"/>
      <c r="N827" s="115"/>
      <c r="O827" s="115"/>
      <c r="P827" s="115"/>
    </row>
    <row r="828" spans="10:16" ht="12.5" x14ac:dyDescent="0.25">
      <c r="J828" s="115"/>
      <c r="K828" s="115"/>
      <c r="L828" s="115"/>
      <c r="M828" s="115"/>
      <c r="N828" s="115"/>
      <c r="O828" s="115"/>
      <c r="P828" s="115"/>
    </row>
    <row r="829" spans="10:16" ht="12.5" x14ac:dyDescent="0.25">
      <c r="J829" s="115"/>
      <c r="K829" s="115"/>
      <c r="L829" s="115"/>
      <c r="M829" s="115"/>
      <c r="N829" s="115"/>
      <c r="O829" s="115"/>
      <c r="P829" s="115"/>
    </row>
    <row r="830" spans="10:16" ht="12.5" x14ac:dyDescent="0.25">
      <c r="J830" s="115"/>
      <c r="K830" s="115"/>
      <c r="L830" s="115"/>
      <c r="M830" s="115"/>
      <c r="N830" s="115"/>
      <c r="O830" s="115"/>
      <c r="P830" s="115"/>
    </row>
    <row r="831" spans="10:16" ht="12.5" x14ac:dyDescent="0.25">
      <c r="J831" s="115"/>
      <c r="K831" s="115"/>
      <c r="L831" s="115"/>
      <c r="M831" s="115"/>
      <c r="N831" s="115"/>
      <c r="O831" s="115"/>
      <c r="P831" s="115"/>
    </row>
    <row r="832" spans="10:16" ht="12.5" x14ac:dyDescent="0.25">
      <c r="J832" s="115"/>
      <c r="K832" s="115"/>
      <c r="L832" s="115"/>
      <c r="M832" s="115"/>
      <c r="N832" s="115"/>
      <c r="O832" s="115"/>
      <c r="P832" s="115"/>
    </row>
    <row r="833" spans="10:16" ht="12.5" x14ac:dyDescent="0.25">
      <c r="J833" s="115"/>
      <c r="K833" s="115"/>
      <c r="L833" s="115"/>
      <c r="M833" s="115"/>
      <c r="N833" s="115"/>
      <c r="O833" s="115"/>
      <c r="P833" s="115"/>
    </row>
    <row r="834" spans="10:16" ht="12.5" x14ac:dyDescent="0.25">
      <c r="J834" s="115"/>
      <c r="K834" s="115"/>
      <c r="L834" s="115"/>
      <c r="M834" s="115"/>
      <c r="N834" s="115"/>
      <c r="O834" s="115"/>
      <c r="P834" s="115"/>
    </row>
    <row r="835" spans="10:16" ht="12.5" x14ac:dyDescent="0.25">
      <c r="J835" s="115"/>
      <c r="K835" s="115"/>
      <c r="L835" s="115"/>
      <c r="M835" s="115"/>
      <c r="N835" s="115"/>
      <c r="O835" s="115"/>
      <c r="P835" s="115"/>
    </row>
    <row r="836" spans="10:16" ht="12.5" x14ac:dyDescent="0.25">
      <c r="J836" s="115"/>
      <c r="K836" s="115"/>
      <c r="L836" s="115"/>
      <c r="M836" s="115"/>
      <c r="N836" s="115"/>
      <c r="O836" s="115"/>
      <c r="P836" s="115"/>
    </row>
    <row r="837" spans="10:16" ht="12.5" x14ac:dyDescent="0.25">
      <c r="J837" s="115"/>
      <c r="K837" s="115"/>
      <c r="L837" s="115"/>
      <c r="M837" s="115"/>
      <c r="N837" s="115"/>
      <c r="O837" s="115"/>
      <c r="P837" s="115"/>
    </row>
    <row r="838" spans="10:16" ht="12.5" x14ac:dyDescent="0.25">
      <c r="J838" s="115"/>
      <c r="K838" s="115"/>
      <c r="L838" s="115"/>
      <c r="M838" s="115"/>
      <c r="N838" s="115"/>
      <c r="O838" s="115"/>
      <c r="P838" s="115"/>
    </row>
    <row r="839" spans="10:16" ht="12.5" x14ac:dyDescent="0.25">
      <c r="J839" s="115"/>
      <c r="K839" s="115"/>
      <c r="L839" s="115"/>
      <c r="M839" s="115"/>
      <c r="N839" s="115"/>
      <c r="O839" s="115"/>
      <c r="P839" s="115"/>
    </row>
    <row r="840" spans="10:16" ht="12.5" x14ac:dyDescent="0.25">
      <c r="J840" s="115"/>
      <c r="K840" s="115"/>
      <c r="L840" s="115"/>
      <c r="M840" s="115"/>
      <c r="N840" s="115"/>
      <c r="O840" s="115"/>
      <c r="P840" s="115"/>
    </row>
    <row r="841" spans="10:16" ht="12.5" x14ac:dyDescent="0.25">
      <c r="J841" s="115"/>
      <c r="K841" s="115"/>
      <c r="L841" s="115"/>
      <c r="M841" s="115"/>
      <c r="N841" s="115"/>
      <c r="O841" s="115"/>
      <c r="P841" s="115"/>
    </row>
    <row r="842" spans="10:16" ht="12.5" x14ac:dyDescent="0.25">
      <c r="J842" s="115"/>
      <c r="K842" s="115"/>
      <c r="L842" s="115"/>
      <c r="M842" s="115"/>
      <c r="N842" s="115"/>
      <c r="O842" s="115"/>
      <c r="P842" s="115"/>
    </row>
    <row r="843" spans="10:16" ht="12.5" x14ac:dyDescent="0.25">
      <c r="J843" s="115"/>
      <c r="K843" s="115"/>
      <c r="L843" s="115"/>
      <c r="M843" s="115"/>
      <c r="N843" s="115"/>
      <c r="O843" s="115"/>
      <c r="P843" s="115"/>
    </row>
    <row r="844" spans="10:16" ht="12.5" x14ac:dyDescent="0.25">
      <c r="J844" s="115"/>
      <c r="K844" s="115"/>
      <c r="L844" s="115"/>
      <c r="M844" s="115"/>
      <c r="N844" s="115"/>
      <c r="O844" s="115"/>
      <c r="P844" s="115"/>
    </row>
    <row r="845" spans="10:16" ht="12.5" x14ac:dyDescent="0.25">
      <c r="J845" s="115"/>
      <c r="K845" s="115"/>
      <c r="L845" s="115"/>
      <c r="M845" s="115"/>
      <c r="N845" s="115"/>
      <c r="O845" s="115"/>
      <c r="P845" s="115"/>
    </row>
    <row r="846" spans="10:16" ht="12.5" x14ac:dyDescent="0.25">
      <c r="J846" s="115"/>
      <c r="K846" s="115"/>
      <c r="L846" s="115"/>
      <c r="M846" s="115"/>
      <c r="N846" s="115"/>
      <c r="O846" s="115"/>
      <c r="P846" s="115"/>
    </row>
    <row r="847" spans="10:16" ht="12.5" x14ac:dyDescent="0.25">
      <c r="J847" s="115"/>
      <c r="K847" s="115"/>
      <c r="L847" s="115"/>
      <c r="M847" s="115"/>
      <c r="N847" s="115"/>
      <c r="O847" s="115"/>
      <c r="P847" s="115"/>
    </row>
    <row r="848" spans="10:16" ht="12.5" x14ac:dyDescent="0.25">
      <c r="J848" s="115"/>
      <c r="K848" s="115"/>
      <c r="L848" s="115"/>
      <c r="M848" s="115"/>
      <c r="N848" s="115"/>
      <c r="O848" s="115"/>
      <c r="P848" s="115"/>
    </row>
    <row r="849" spans="10:16" ht="12.5" x14ac:dyDescent="0.25">
      <c r="J849" s="115"/>
      <c r="K849" s="115"/>
      <c r="L849" s="115"/>
      <c r="M849" s="115"/>
      <c r="N849" s="115"/>
      <c r="O849" s="115"/>
      <c r="P849" s="115"/>
    </row>
    <row r="850" spans="10:16" ht="12.5" x14ac:dyDescent="0.25">
      <c r="J850" s="115"/>
      <c r="K850" s="115"/>
      <c r="L850" s="115"/>
      <c r="M850" s="115"/>
      <c r="N850" s="115"/>
      <c r="O850" s="115"/>
      <c r="P850" s="115"/>
    </row>
    <row r="851" spans="10:16" ht="12.5" x14ac:dyDescent="0.25">
      <c r="J851" s="115"/>
      <c r="K851" s="115"/>
      <c r="L851" s="115"/>
      <c r="M851" s="115"/>
      <c r="N851" s="115"/>
      <c r="O851" s="115"/>
      <c r="P851" s="115"/>
    </row>
    <row r="852" spans="10:16" ht="12.5" x14ac:dyDescent="0.25">
      <c r="J852" s="115"/>
      <c r="K852" s="115"/>
      <c r="L852" s="115"/>
      <c r="M852" s="115"/>
      <c r="N852" s="115"/>
      <c r="O852" s="115"/>
      <c r="P852" s="115"/>
    </row>
    <row r="853" spans="10:16" ht="12.5" x14ac:dyDescent="0.25">
      <c r="J853" s="115"/>
      <c r="K853" s="115"/>
      <c r="L853" s="115"/>
      <c r="M853" s="115"/>
      <c r="N853" s="115"/>
      <c r="O853" s="115"/>
      <c r="P853" s="115"/>
    </row>
    <row r="854" spans="10:16" ht="12.5" x14ac:dyDescent="0.25">
      <c r="J854" s="115"/>
      <c r="K854" s="115"/>
      <c r="L854" s="115"/>
      <c r="M854" s="115"/>
      <c r="N854" s="115"/>
      <c r="O854" s="115"/>
      <c r="P854" s="115"/>
    </row>
    <row r="855" spans="10:16" ht="12.5" x14ac:dyDescent="0.25">
      <c r="J855" s="115"/>
      <c r="K855" s="115"/>
      <c r="L855" s="115"/>
      <c r="M855" s="115"/>
      <c r="N855" s="115"/>
      <c r="O855" s="115"/>
      <c r="P855" s="115"/>
    </row>
    <row r="856" spans="10:16" ht="12.5" x14ac:dyDescent="0.25">
      <c r="J856" s="115"/>
      <c r="K856" s="115"/>
      <c r="L856" s="115"/>
      <c r="M856" s="115"/>
      <c r="N856" s="115"/>
      <c r="O856" s="115"/>
      <c r="P856" s="115"/>
    </row>
    <row r="857" spans="10:16" ht="12.5" x14ac:dyDescent="0.25">
      <c r="J857" s="115"/>
      <c r="K857" s="115"/>
      <c r="L857" s="115"/>
      <c r="M857" s="115"/>
      <c r="N857" s="115"/>
      <c r="O857" s="115"/>
      <c r="P857" s="115"/>
    </row>
    <row r="858" spans="10:16" ht="12.5" x14ac:dyDescent="0.25">
      <c r="J858" s="115"/>
      <c r="K858" s="115"/>
      <c r="L858" s="115"/>
      <c r="M858" s="115"/>
      <c r="N858" s="115"/>
      <c r="O858" s="115"/>
      <c r="P858" s="115"/>
    </row>
    <row r="859" spans="10:16" ht="12.5" x14ac:dyDescent="0.25">
      <c r="J859" s="115"/>
      <c r="K859" s="115"/>
      <c r="L859" s="115"/>
      <c r="M859" s="115"/>
      <c r="N859" s="115"/>
      <c r="O859" s="115"/>
      <c r="P859" s="115"/>
    </row>
    <row r="860" spans="10:16" ht="12.5" x14ac:dyDescent="0.25">
      <c r="J860" s="115"/>
      <c r="K860" s="115"/>
      <c r="L860" s="115"/>
      <c r="M860" s="115"/>
      <c r="N860" s="115"/>
      <c r="O860" s="115"/>
      <c r="P860" s="115"/>
    </row>
    <row r="861" spans="10:16" ht="12.5" x14ac:dyDescent="0.25">
      <c r="J861" s="115"/>
      <c r="K861" s="115"/>
      <c r="L861" s="115"/>
      <c r="M861" s="115"/>
      <c r="N861" s="115"/>
      <c r="O861" s="115"/>
      <c r="P861" s="115"/>
    </row>
    <row r="862" spans="10:16" ht="12.5" x14ac:dyDescent="0.25">
      <c r="J862" s="115"/>
      <c r="K862" s="115"/>
      <c r="L862" s="115"/>
      <c r="M862" s="115"/>
      <c r="N862" s="115"/>
      <c r="O862" s="115"/>
      <c r="P862" s="115"/>
    </row>
    <row r="863" spans="10:16" ht="12.5" x14ac:dyDescent="0.25">
      <c r="J863" s="115"/>
      <c r="K863" s="115"/>
      <c r="L863" s="115"/>
      <c r="M863" s="115"/>
      <c r="N863" s="115"/>
      <c r="O863" s="115"/>
      <c r="P863" s="115"/>
    </row>
    <row r="864" spans="10:16" ht="12.5" x14ac:dyDescent="0.25">
      <c r="J864" s="115"/>
      <c r="K864" s="115"/>
      <c r="L864" s="115"/>
      <c r="M864" s="115"/>
      <c r="N864" s="115"/>
      <c r="O864" s="115"/>
      <c r="P864" s="115"/>
    </row>
    <row r="865" spans="10:16" ht="12.5" x14ac:dyDescent="0.25">
      <c r="J865" s="115"/>
      <c r="K865" s="115"/>
      <c r="L865" s="115"/>
      <c r="M865" s="115"/>
      <c r="N865" s="115"/>
      <c r="O865" s="115"/>
      <c r="P865" s="115"/>
    </row>
    <row r="866" spans="10:16" ht="12.5" x14ac:dyDescent="0.25">
      <c r="J866" s="115"/>
      <c r="K866" s="115"/>
      <c r="L866" s="115"/>
      <c r="M866" s="115"/>
      <c r="N866" s="115"/>
      <c r="O866" s="115"/>
      <c r="P866" s="115"/>
    </row>
    <row r="867" spans="10:16" ht="12.5" x14ac:dyDescent="0.25">
      <c r="J867" s="115"/>
      <c r="K867" s="115"/>
      <c r="L867" s="115"/>
      <c r="M867" s="115"/>
      <c r="N867" s="115"/>
      <c r="O867" s="115"/>
      <c r="P867" s="115"/>
    </row>
    <row r="868" spans="10:16" ht="12.5" x14ac:dyDescent="0.25">
      <c r="J868" s="115"/>
      <c r="K868" s="115"/>
      <c r="L868" s="115"/>
      <c r="M868" s="115"/>
      <c r="N868" s="115"/>
      <c r="O868" s="115"/>
      <c r="P868" s="115"/>
    </row>
    <row r="869" spans="10:16" ht="12.5" x14ac:dyDescent="0.25">
      <c r="J869" s="115"/>
      <c r="K869" s="115"/>
      <c r="L869" s="115"/>
      <c r="M869" s="115"/>
      <c r="N869" s="115"/>
      <c r="O869" s="115"/>
      <c r="P869" s="115"/>
    </row>
    <row r="870" spans="10:16" ht="12.5" x14ac:dyDescent="0.25">
      <c r="J870" s="115"/>
      <c r="K870" s="115"/>
      <c r="L870" s="115"/>
      <c r="M870" s="115"/>
      <c r="N870" s="115"/>
      <c r="O870" s="115"/>
      <c r="P870" s="115"/>
    </row>
    <row r="871" spans="10:16" ht="12.5" x14ac:dyDescent="0.25">
      <c r="J871" s="115"/>
      <c r="K871" s="115"/>
      <c r="L871" s="115"/>
      <c r="M871" s="115"/>
      <c r="N871" s="115"/>
      <c r="O871" s="115"/>
      <c r="P871" s="115"/>
    </row>
    <row r="872" spans="10:16" ht="12.5" x14ac:dyDescent="0.25">
      <c r="J872" s="115"/>
      <c r="K872" s="115"/>
      <c r="L872" s="115"/>
      <c r="M872" s="115"/>
      <c r="N872" s="115"/>
      <c r="O872" s="115"/>
      <c r="P872" s="115"/>
    </row>
    <row r="873" spans="10:16" ht="12.5" x14ac:dyDescent="0.25">
      <c r="J873" s="115"/>
      <c r="K873" s="115"/>
      <c r="L873" s="115"/>
      <c r="M873" s="115"/>
      <c r="N873" s="115"/>
      <c r="O873" s="115"/>
      <c r="P873" s="115"/>
    </row>
    <row r="874" spans="10:16" ht="12.5" x14ac:dyDescent="0.25">
      <c r="J874" s="115"/>
      <c r="K874" s="115"/>
      <c r="L874" s="115"/>
      <c r="M874" s="115"/>
      <c r="N874" s="115"/>
      <c r="O874" s="115"/>
      <c r="P874" s="115"/>
    </row>
    <row r="875" spans="10:16" ht="12.5" x14ac:dyDescent="0.25">
      <c r="J875" s="115"/>
      <c r="K875" s="115"/>
      <c r="L875" s="115"/>
      <c r="M875" s="115"/>
      <c r="N875" s="115"/>
      <c r="O875" s="115"/>
      <c r="P875" s="115"/>
    </row>
    <row r="876" spans="10:16" ht="12.5" x14ac:dyDescent="0.25">
      <c r="J876" s="115"/>
      <c r="K876" s="115"/>
      <c r="L876" s="115"/>
      <c r="M876" s="115"/>
      <c r="N876" s="115"/>
      <c r="O876" s="115"/>
      <c r="P876" s="115"/>
    </row>
    <row r="877" spans="10:16" ht="12.5" x14ac:dyDescent="0.25">
      <c r="J877" s="115"/>
      <c r="K877" s="115"/>
      <c r="L877" s="115"/>
      <c r="M877" s="115"/>
      <c r="N877" s="115"/>
      <c r="O877" s="115"/>
      <c r="P877" s="115"/>
    </row>
    <row r="878" spans="10:16" ht="12.5" x14ac:dyDescent="0.25">
      <c r="J878" s="115"/>
      <c r="K878" s="115"/>
      <c r="L878" s="115"/>
      <c r="M878" s="115"/>
      <c r="N878" s="115"/>
      <c r="O878" s="115"/>
      <c r="P878" s="115"/>
    </row>
    <row r="879" spans="10:16" ht="12.5" x14ac:dyDescent="0.25">
      <c r="J879" s="115"/>
      <c r="K879" s="115"/>
      <c r="L879" s="115"/>
      <c r="M879" s="115"/>
      <c r="N879" s="115"/>
      <c r="O879" s="115"/>
      <c r="P879" s="115"/>
    </row>
    <row r="880" spans="10:16" ht="12.5" x14ac:dyDescent="0.25">
      <c r="J880" s="115"/>
      <c r="K880" s="115"/>
      <c r="L880" s="115"/>
      <c r="M880" s="115"/>
      <c r="N880" s="115"/>
      <c r="O880" s="115"/>
      <c r="P880" s="115"/>
    </row>
    <row r="881" spans="10:16" ht="12.5" x14ac:dyDescent="0.25">
      <c r="J881" s="115"/>
      <c r="K881" s="115"/>
      <c r="L881" s="115"/>
      <c r="M881" s="115"/>
      <c r="N881" s="115"/>
      <c r="O881" s="115"/>
      <c r="P881" s="115"/>
    </row>
    <row r="882" spans="10:16" ht="12.5" x14ac:dyDescent="0.25">
      <c r="J882" s="115"/>
      <c r="K882" s="115"/>
      <c r="L882" s="115"/>
      <c r="M882" s="115"/>
      <c r="N882" s="115"/>
      <c r="O882" s="115"/>
      <c r="P882" s="115"/>
    </row>
    <row r="883" spans="10:16" ht="12.5" x14ac:dyDescent="0.25">
      <c r="J883" s="115"/>
      <c r="K883" s="115"/>
      <c r="L883" s="115"/>
      <c r="M883" s="115"/>
      <c r="N883" s="115"/>
      <c r="O883" s="115"/>
      <c r="P883" s="115"/>
    </row>
    <row r="884" spans="10:16" ht="12.5" x14ac:dyDescent="0.25">
      <c r="J884" s="115"/>
      <c r="K884" s="115"/>
      <c r="L884" s="115"/>
      <c r="M884" s="115"/>
      <c r="N884" s="115"/>
      <c r="O884" s="115"/>
      <c r="P884" s="115"/>
    </row>
    <row r="885" spans="10:16" ht="12.5" x14ac:dyDescent="0.25">
      <c r="J885" s="115"/>
      <c r="K885" s="115"/>
      <c r="L885" s="115"/>
      <c r="M885" s="115"/>
      <c r="N885" s="115"/>
      <c r="O885" s="115"/>
      <c r="P885" s="115"/>
    </row>
    <row r="886" spans="10:16" ht="12.5" x14ac:dyDescent="0.25">
      <c r="J886" s="115"/>
      <c r="K886" s="115"/>
      <c r="L886" s="115"/>
      <c r="M886" s="115"/>
      <c r="N886" s="115"/>
      <c r="O886" s="115"/>
      <c r="P886" s="115"/>
    </row>
    <row r="887" spans="10:16" ht="12.5" x14ac:dyDescent="0.25">
      <c r="J887" s="115"/>
      <c r="K887" s="115"/>
      <c r="L887" s="115"/>
      <c r="M887" s="115"/>
      <c r="N887" s="115"/>
      <c r="O887" s="115"/>
      <c r="P887" s="115"/>
    </row>
    <row r="888" spans="10:16" ht="12.5" x14ac:dyDescent="0.25">
      <c r="J888" s="115"/>
      <c r="K888" s="115"/>
      <c r="L888" s="115"/>
      <c r="M888" s="115"/>
      <c r="N888" s="115"/>
      <c r="O888" s="115"/>
      <c r="P888" s="115"/>
    </row>
    <row r="889" spans="10:16" ht="12.5" x14ac:dyDescent="0.25">
      <c r="J889" s="115"/>
      <c r="K889" s="115"/>
      <c r="L889" s="115"/>
      <c r="M889" s="115"/>
      <c r="N889" s="115"/>
      <c r="O889" s="115"/>
      <c r="P889" s="115"/>
    </row>
    <row r="890" spans="10:16" ht="12.5" x14ac:dyDescent="0.25">
      <c r="J890" s="115"/>
      <c r="K890" s="115"/>
      <c r="L890" s="115"/>
      <c r="M890" s="115"/>
      <c r="N890" s="115"/>
      <c r="O890" s="115"/>
      <c r="P890" s="115"/>
    </row>
    <row r="891" spans="10:16" ht="12.5" x14ac:dyDescent="0.25">
      <c r="J891" s="115"/>
      <c r="K891" s="115"/>
      <c r="L891" s="115"/>
      <c r="M891" s="115"/>
      <c r="N891" s="115"/>
      <c r="O891" s="115"/>
      <c r="P891" s="115"/>
    </row>
    <row r="892" spans="10:16" ht="12.5" x14ac:dyDescent="0.25">
      <c r="J892" s="115"/>
      <c r="K892" s="115"/>
      <c r="L892" s="115"/>
      <c r="M892" s="115"/>
      <c r="N892" s="115"/>
      <c r="O892" s="115"/>
      <c r="P892" s="115"/>
    </row>
    <row r="893" spans="10:16" ht="12.5" x14ac:dyDescent="0.25">
      <c r="J893" s="115"/>
      <c r="K893" s="115"/>
      <c r="L893" s="115"/>
      <c r="M893" s="115"/>
      <c r="N893" s="115"/>
      <c r="O893" s="115"/>
      <c r="P893" s="115"/>
    </row>
    <row r="894" spans="10:16" ht="12.5" x14ac:dyDescent="0.25">
      <c r="J894" s="115"/>
      <c r="K894" s="115"/>
      <c r="L894" s="115"/>
      <c r="M894" s="115"/>
      <c r="N894" s="115"/>
      <c r="O894" s="115"/>
      <c r="P894" s="115"/>
    </row>
    <row r="895" spans="10:16" ht="12.5" x14ac:dyDescent="0.25">
      <c r="J895" s="115"/>
      <c r="K895" s="115"/>
      <c r="L895" s="115"/>
      <c r="M895" s="115"/>
      <c r="N895" s="115"/>
      <c r="O895" s="115"/>
      <c r="P895" s="115"/>
    </row>
    <row r="896" spans="10:16" ht="12.5" x14ac:dyDescent="0.25">
      <c r="J896" s="115"/>
      <c r="K896" s="115"/>
      <c r="L896" s="115"/>
      <c r="M896" s="115"/>
      <c r="N896" s="115"/>
      <c r="O896" s="115"/>
      <c r="P896" s="115"/>
    </row>
    <row r="897" spans="10:16" ht="12.5" x14ac:dyDescent="0.25">
      <c r="J897" s="115"/>
      <c r="K897" s="115"/>
      <c r="L897" s="115"/>
      <c r="M897" s="115"/>
      <c r="N897" s="115"/>
      <c r="O897" s="115"/>
      <c r="P897" s="115"/>
    </row>
    <row r="898" spans="10:16" ht="12.5" x14ac:dyDescent="0.25">
      <c r="J898" s="115"/>
      <c r="K898" s="115"/>
      <c r="L898" s="115"/>
      <c r="M898" s="115"/>
      <c r="N898" s="115"/>
      <c r="O898" s="115"/>
      <c r="P898" s="115"/>
    </row>
    <row r="899" spans="10:16" ht="12.5" x14ac:dyDescent="0.25">
      <c r="J899" s="115"/>
      <c r="K899" s="115"/>
      <c r="L899" s="115"/>
      <c r="M899" s="115"/>
      <c r="N899" s="115"/>
      <c r="O899" s="115"/>
      <c r="P899" s="115"/>
    </row>
    <row r="900" spans="10:16" ht="12.5" x14ac:dyDescent="0.25">
      <c r="J900" s="115"/>
      <c r="K900" s="115"/>
      <c r="L900" s="115"/>
      <c r="M900" s="115"/>
      <c r="N900" s="115"/>
      <c r="O900" s="115"/>
      <c r="P900" s="115"/>
    </row>
    <row r="901" spans="10:16" ht="12.5" x14ac:dyDescent="0.25">
      <c r="J901" s="115"/>
      <c r="K901" s="115"/>
      <c r="L901" s="115"/>
      <c r="M901" s="115"/>
      <c r="N901" s="115"/>
      <c r="O901" s="115"/>
      <c r="P901" s="115"/>
    </row>
    <row r="902" spans="10:16" ht="12.5" x14ac:dyDescent="0.25">
      <c r="J902" s="115"/>
      <c r="K902" s="115"/>
      <c r="L902" s="115"/>
      <c r="M902" s="115"/>
      <c r="N902" s="115"/>
      <c r="O902" s="115"/>
      <c r="P902" s="115"/>
    </row>
    <row r="903" spans="10:16" ht="12.5" x14ac:dyDescent="0.25">
      <c r="J903" s="115"/>
      <c r="K903" s="115"/>
      <c r="L903" s="115"/>
      <c r="M903" s="115"/>
      <c r="N903" s="115"/>
      <c r="O903" s="115"/>
      <c r="P903" s="115"/>
    </row>
    <row r="904" spans="10:16" ht="12.5" x14ac:dyDescent="0.25">
      <c r="J904" s="115"/>
      <c r="K904" s="115"/>
      <c r="L904" s="115"/>
      <c r="M904" s="115"/>
      <c r="N904" s="115"/>
      <c r="O904" s="115"/>
      <c r="P904" s="115"/>
    </row>
    <row r="905" spans="10:16" ht="12.5" x14ac:dyDescent="0.25">
      <c r="J905" s="115"/>
      <c r="K905" s="115"/>
      <c r="L905" s="115"/>
      <c r="M905" s="115"/>
      <c r="N905" s="115"/>
      <c r="O905" s="115"/>
      <c r="P905" s="115"/>
    </row>
    <row r="906" spans="10:16" ht="12.5" x14ac:dyDescent="0.25">
      <c r="J906" s="115"/>
      <c r="K906" s="115"/>
      <c r="L906" s="115"/>
      <c r="M906" s="115"/>
      <c r="N906" s="115"/>
      <c r="O906" s="115"/>
      <c r="P906" s="115"/>
    </row>
    <row r="907" spans="10:16" ht="12.5" x14ac:dyDescent="0.25">
      <c r="J907" s="115"/>
      <c r="K907" s="115"/>
      <c r="L907" s="115"/>
      <c r="M907" s="115"/>
      <c r="N907" s="115"/>
      <c r="O907" s="115"/>
      <c r="P907" s="115"/>
    </row>
    <row r="908" spans="10:16" ht="12.5" x14ac:dyDescent="0.25">
      <c r="J908" s="115"/>
      <c r="K908" s="115"/>
      <c r="L908" s="115"/>
      <c r="M908" s="115"/>
      <c r="N908" s="115"/>
      <c r="O908" s="115"/>
      <c r="P908" s="115"/>
    </row>
    <row r="909" spans="10:16" ht="12.5" x14ac:dyDescent="0.25">
      <c r="J909" s="115"/>
      <c r="K909" s="115"/>
      <c r="L909" s="115"/>
      <c r="M909" s="115"/>
      <c r="N909" s="115"/>
      <c r="O909" s="115"/>
      <c r="P909" s="115"/>
    </row>
    <row r="910" spans="10:16" ht="12.5" x14ac:dyDescent="0.25">
      <c r="J910" s="115"/>
      <c r="K910" s="115"/>
      <c r="L910" s="115"/>
      <c r="M910" s="115"/>
      <c r="N910" s="115"/>
      <c r="O910" s="115"/>
      <c r="P910" s="115"/>
    </row>
    <row r="911" spans="10:16" ht="12.5" x14ac:dyDescent="0.25">
      <c r="J911" s="115"/>
      <c r="K911" s="115"/>
      <c r="L911" s="115"/>
      <c r="M911" s="115"/>
      <c r="N911" s="115"/>
      <c r="O911" s="115"/>
      <c r="P911" s="115"/>
    </row>
    <row r="912" spans="10:16" ht="12.5" x14ac:dyDescent="0.25">
      <c r="J912" s="115"/>
      <c r="K912" s="115"/>
      <c r="L912" s="115"/>
      <c r="M912" s="115"/>
      <c r="N912" s="115"/>
      <c r="O912" s="115"/>
      <c r="P912" s="115"/>
    </row>
    <row r="913" spans="10:16" ht="12.5" x14ac:dyDescent="0.25">
      <c r="J913" s="115"/>
      <c r="K913" s="115"/>
      <c r="L913" s="115"/>
      <c r="M913" s="115"/>
      <c r="N913" s="115"/>
      <c r="O913" s="115"/>
      <c r="P913" s="115"/>
    </row>
    <row r="914" spans="10:16" ht="12.5" x14ac:dyDescent="0.25">
      <c r="J914" s="115"/>
      <c r="K914" s="115"/>
      <c r="L914" s="115"/>
      <c r="M914" s="115"/>
      <c r="N914" s="115"/>
      <c r="O914" s="115"/>
      <c r="P914" s="115"/>
    </row>
    <row r="915" spans="10:16" ht="12.5" x14ac:dyDescent="0.25">
      <c r="J915" s="115"/>
      <c r="K915" s="115"/>
      <c r="L915" s="115"/>
      <c r="M915" s="115"/>
      <c r="N915" s="115"/>
      <c r="O915" s="115"/>
      <c r="P915" s="115"/>
    </row>
    <row r="916" spans="10:16" ht="12.5" x14ac:dyDescent="0.25">
      <c r="J916" s="115"/>
      <c r="K916" s="115"/>
      <c r="L916" s="115"/>
      <c r="M916" s="115"/>
      <c r="N916" s="115"/>
      <c r="O916" s="115"/>
      <c r="P916" s="115"/>
    </row>
    <row r="917" spans="10:16" ht="12.5" x14ac:dyDescent="0.25">
      <c r="J917" s="115"/>
      <c r="K917" s="115"/>
      <c r="L917" s="115"/>
      <c r="M917" s="115"/>
      <c r="N917" s="115"/>
      <c r="O917" s="115"/>
      <c r="P917" s="115"/>
    </row>
    <row r="918" spans="10:16" ht="12.5" x14ac:dyDescent="0.25">
      <c r="J918" s="115"/>
      <c r="K918" s="115"/>
      <c r="L918" s="115"/>
      <c r="M918" s="115"/>
      <c r="N918" s="115"/>
      <c r="O918" s="115"/>
      <c r="P918" s="115"/>
    </row>
    <row r="919" spans="10:16" ht="12.5" x14ac:dyDescent="0.25">
      <c r="J919" s="115"/>
      <c r="K919" s="115"/>
      <c r="L919" s="115"/>
      <c r="M919" s="115"/>
      <c r="N919" s="115"/>
      <c r="O919" s="115"/>
      <c r="P919" s="115"/>
    </row>
    <row r="920" spans="10:16" ht="12.5" x14ac:dyDescent="0.25">
      <c r="J920" s="115"/>
      <c r="K920" s="115"/>
      <c r="L920" s="115"/>
      <c r="M920" s="115"/>
      <c r="N920" s="115"/>
      <c r="O920" s="115"/>
      <c r="P920" s="115"/>
    </row>
    <row r="921" spans="10:16" ht="12.5" x14ac:dyDescent="0.25">
      <c r="J921" s="115"/>
      <c r="K921" s="115"/>
      <c r="L921" s="115"/>
      <c r="M921" s="115"/>
      <c r="N921" s="115"/>
      <c r="O921" s="115"/>
      <c r="P921" s="115"/>
    </row>
    <row r="922" spans="10:16" ht="12.5" x14ac:dyDescent="0.25">
      <c r="J922" s="115"/>
      <c r="K922" s="115"/>
      <c r="L922" s="115"/>
      <c r="M922" s="115"/>
      <c r="N922" s="115"/>
      <c r="O922" s="115"/>
      <c r="P922" s="115"/>
    </row>
    <row r="923" spans="10:16" ht="12.5" x14ac:dyDescent="0.25">
      <c r="J923" s="115"/>
      <c r="K923" s="115"/>
      <c r="L923" s="115"/>
      <c r="M923" s="115"/>
      <c r="N923" s="115"/>
      <c r="O923" s="115"/>
      <c r="P923" s="115"/>
    </row>
    <row r="924" spans="10:16" ht="12.5" x14ac:dyDescent="0.25">
      <c r="J924" s="115"/>
      <c r="K924" s="115"/>
      <c r="L924" s="115"/>
      <c r="M924" s="115"/>
      <c r="N924" s="115"/>
      <c r="O924" s="115"/>
      <c r="P924" s="115"/>
    </row>
    <row r="925" spans="10:16" ht="12.5" x14ac:dyDescent="0.25">
      <c r="J925" s="115"/>
      <c r="K925" s="115"/>
      <c r="L925" s="115"/>
      <c r="M925" s="115"/>
      <c r="N925" s="115"/>
      <c r="O925" s="115"/>
      <c r="P925" s="115"/>
    </row>
    <row r="926" spans="10:16" ht="12.5" x14ac:dyDescent="0.25">
      <c r="J926" s="115"/>
      <c r="K926" s="115"/>
      <c r="L926" s="115"/>
      <c r="M926" s="115"/>
      <c r="N926" s="115"/>
      <c r="O926" s="115"/>
      <c r="P926" s="115"/>
    </row>
    <row r="927" spans="10:16" ht="12.5" x14ac:dyDescent="0.25">
      <c r="J927" s="115"/>
      <c r="K927" s="115"/>
      <c r="L927" s="115"/>
      <c r="M927" s="115"/>
      <c r="N927" s="115"/>
      <c r="O927" s="115"/>
      <c r="P927" s="115"/>
    </row>
    <row r="928" spans="10:16" ht="12.5" x14ac:dyDescent="0.25">
      <c r="J928" s="115"/>
      <c r="K928" s="115"/>
      <c r="L928" s="115"/>
      <c r="M928" s="115"/>
      <c r="N928" s="115"/>
      <c r="O928" s="115"/>
      <c r="P928" s="115"/>
    </row>
    <row r="929" spans="10:16" ht="12.5" x14ac:dyDescent="0.25">
      <c r="J929" s="115"/>
      <c r="K929" s="115"/>
      <c r="L929" s="115"/>
      <c r="M929" s="115"/>
      <c r="N929" s="115"/>
      <c r="O929" s="115"/>
      <c r="P929" s="115"/>
    </row>
    <row r="930" spans="10:16" ht="12.5" x14ac:dyDescent="0.25">
      <c r="J930" s="115"/>
      <c r="K930" s="115"/>
      <c r="L930" s="115"/>
      <c r="M930" s="115"/>
      <c r="N930" s="115"/>
      <c r="O930" s="115"/>
      <c r="P930" s="115"/>
    </row>
    <row r="931" spans="10:16" ht="12.5" x14ac:dyDescent="0.25">
      <c r="J931" s="115"/>
      <c r="K931" s="115"/>
      <c r="L931" s="115"/>
      <c r="M931" s="115"/>
      <c r="N931" s="115"/>
      <c r="O931" s="115"/>
      <c r="P931" s="115"/>
    </row>
    <row r="932" spans="10:16" ht="12.5" x14ac:dyDescent="0.25">
      <c r="J932" s="115"/>
      <c r="K932" s="115"/>
      <c r="L932" s="115"/>
      <c r="M932" s="115"/>
      <c r="N932" s="115"/>
      <c r="O932" s="115"/>
      <c r="P932" s="115"/>
    </row>
    <row r="933" spans="10:16" ht="12.5" x14ac:dyDescent="0.25">
      <c r="J933" s="115"/>
      <c r="K933" s="115"/>
      <c r="L933" s="115"/>
      <c r="M933" s="115"/>
      <c r="N933" s="115"/>
      <c r="O933" s="115"/>
      <c r="P933" s="115"/>
    </row>
    <row r="934" spans="10:16" ht="12.5" x14ac:dyDescent="0.25">
      <c r="J934" s="115"/>
      <c r="K934" s="115"/>
      <c r="L934" s="115"/>
      <c r="M934" s="115"/>
      <c r="N934" s="115"/>
      <c r="O934" s="115"/>
      <c r="P934" s="115"/>
    </row>
    <row r="935" spans="10:16" ht="12.5" x14ac:dyDescent="0.25">
      <c r="J935" s="115"/>
      <c r="K935" s="115"/>
      <c r="L935" s="115"/>
      <c r="M935" s="115"/>
      <c r="N935" s="115"/>
      <c r="O935" s="115"/>
      <c r="P935" s="115"/>
    </row>
    <row r="936" spans="10:16" ht="12.5" x14ac:dyDescent="0.25">
      <c r="J936" s="115"/>
      <c r="K936" s="115"/>
      <c r="L936" s="115"/>
      <c r="M936" s="115"/>
      <c r="N936" s="115"/>
      <c r="O936" s="115"/>
      <c r="P936" s="115"/>
    </row>
    <row r="937" spans="10:16" ht="12.5" x14ac:dyDescent="0.25">
      <c r="J937" s="115"/>
      <c r="K937" s="115"/>
      <c r="L937" s="115"/>
      <c r="M937" s="115"/>
      <c r="N937" s="115"/>
      <c r="O937" s="115"/>
      <c r="P937" s="115"/>
    </row>
    <row r="938" spans="10:16" ht="12.5" x14ac:dyDescent="0.25">
      <c r="J938" s="115"/>
      <c r="K938" s="115"/>
      <c r="L938" s="115"/>
      <c r="M938" s="115"/>
      <c r="N938" s="115"/>
      <c r="O938" s="115"/>
      <c r="P938" s="115"/>
    </row>
    <row r="939" spans="10:16" ht="12.5" x14ac:dyDescent="0.25">
      <c r="J939" s="115"/>
      <c r="K939" s="115"/>
      <c r="L939" s="115"/>
      <c r="M939" s="115"/>
      <c r="N939" s="115"/>
      <c r="O939" s="115"/>
      <c r="P939" s="115"/>
    </row>
    <row r="940" spans="10:16" ht="12.5" x14ac:dyDescent="0.25">
      <c r="J940" s="115"/>
      <c r="K940" s="115"/>
      <c r="L940" s="115"/>
      <c r="M940" s="115"/>
      <c r="N940" s="115"/>
      <c r="O940" s="115"/>
      <c r="P940" s="115"/>
    </row>
    <row r="941" spans="10:16" ht="12.5" x14ac:dyDescent="0.25">
      <c r="J941" s="115"/>
      <c r="K941" s="115"/>
      <c r="L941" s="115"/>
      <c r="M941" s="115"/>
      <c r="N941" s="115"/>
      <c r="O941" s="115"/>
      <c r="P941" s="115"/>
    </row>
    <row r="942" spans="10:16" ht="12.5" x14ac:dyDescent="0.25">
      <c r="J942" s="115"/>
      <c r="K942" s="115"/>
      <c r="L942" s="115"/>
      <c r="M942" s="115"/>
      <c r="N942" s="115"/>
      <c r="O942" s="115"/>
      <c r="P942" s="115"/>
    </row>
    <row r="943" spans="10:16" ht="12.5" x14ac:dyDescent="0.25">
      <c r="J943" s="115"/>
      <c r="K943" s="115"/>
      <c r="L943" s="115"/>
      <c r="M943" s="115"/>
      <c r="N943" s="115"/>
      <c r="O943" s="115"/>
      <c r="P943" s="115"/>
    </row>
    <row r="944" spans="10:16" ht="12.5" x14ac:dyDescent="0.25">
      <c r="J944" s="115"/>
      <c r="K944" s="115"/>
      <c r="L944" s="115"/>
      <c r="M944" s="115"/>
      <c r="N944" s="115"/>
      <c r="O944" s="115"/>
      <c r="P944" s="115"/>
    </row>
    <row r="945" spans="10:16" ht="12.5" x14ac:dyDescent="0.25">
      <c r="J945" s="115"/>
      <c r="K945" s="115"/>
      <c r="L945" s="115"/>
      <c r="M945" s="115"/>
      <c r="N945" s="115"/>
      <c r="O945" s="115"/>
      <c r="P945" s="115"/>
    </row>
    <row r="946" spans="10:16" ht="12.5" x14ac:dyDescent="0.25">
      <c r="J946" s="115"/>
      <c r="K946" s="115"/>
      <c r="L946" s="115"/>
      <c r="M946" s="115"/>
      <c r="N946" s="115"/>
      <c r="O946" s="115"/>
      <c r="P946" s="115"/>
    </row>
    <row r="947" spans="10:16" ht="12.5" x14ac:dyDescent="0.25">
      <c r="J947" s="115"/>
      <c r="K947" s="115"/>
      <c r="L947" s="115"/>
      <c r="M947" s="115"/>
      <c r="N947" s="115"/>
      <c r="O947" s="115"/>
      <c r="P947" s="115"/>
    </row>
    <row r="948" spans="10:16" ht="12.5" x14ac:dyDescent="0.25">
      <c r="J948" s="115"/>
      <c r="K948" s="115"/>
      <c r="L948" s="115"/>
      <c r="M948" s="115"/>
      <c r="N948" s="115"/>
      <c r="O948" s="115"/>
      <c r="P948" s="115"/>
    </row>
    <row r="949" spans="10:16" ht="12.5" x14ac:dyDescent="0.25">
      <c r="J949" s="115"/>
      <c r="K949" s="115"/>
      <c r="L949" s="115"/>
      <c r="M949" s="115"/>
      <c r="N949" s="115"/>
      <c r="O949" s="115"/>
      <c r="P949" s="115"/>
    </row>
    <row r="950" spans="10:16" ht="12.5" x14ac:dyDescent="0.25">
      <c r="J950" s="115"/>
      <c r="K950" s="115"/>
      <c r="L950" s="115"/>
      <c r="M950" s="115"/>
      <c r="N950" s="115"/>
      <c r="O950" s="115"/>
      <c r="P950" s="115"/>
    </row>
    <row r="951" spans="10:16" ht="12.5" x14ac:dyDescent="0.25">
      <c r="J951" s="115"/>
      <c r="K951" s="115"/>
      <c r="L951" s="115"/>
      <c r="M951" s="115"/>
      <c r="N951" s="115"/>
      <c r="O951" s="115"/>
      <c r="P951" s="115"/>
    </row>
    <row r="952" spans="10:16" ht="12.5" x14ac:dyDescent="0.25">
      <c r="J952" s="115"/>
      <c r="K952" s="115"/>
      <c r="L952" s="115"/>
      <c r="M952" s="115"/>
      <c r="N952" s="115"/>
      <c r="O952" s="115"/>
      <c r="P952" s="115"/>
    </row>
    <row r="953" spans="10:16" ht="12.5" x14ac:dyDescent="0.25">
      <c r="J953" s="115"/>
      <c r="K953" s="115"/>
      <c r="L953" s="115"/>
      <c r="M953" s="115"/>
      <c r="N953" s="115"/>
      <c r="O953" s="115"/>
      <c r="P953" s="115"/>
    </row>
    <row r="954" spans="10:16" ht="12.5" x14ac:dyDescent="0.25">
      <c r="J954" s="115"/>
      <c r="K954" s="115"/>
      <c r="L954" s="115"/>
      <c r="M954" s="115"/>
      <c r="N954" s="115"/>
      <c r="O954" s="115"/>
      <c r="P954" s="115"/>
    </row>
    <row r="955" spans="10:16" ht="12.5" x14ac:dyDescent="0.25">
      <c r="J955" s="115"/>
      <c r="K955" s="115"/>
      <c r="L955" s="115"/>
      <c r="M955" s="115"/>
      <c r="N955" s="115"/>
      <c r="O955" s="115"/>
      <c r="P955" s="115"/>
    </row>
    <row r="956" spans="10:16" ht="12.5" x14ac:dyDescent="0.25">
      <c r="J956" s="115"/>
      <c r="K956" s="115"/>
      <c r="L956" s="115"/>
      <c r="M956" s="115"/>
      <c r="N956" s="115"/>
      <c r="O956" s="115"/>
      <c r="P956" s="115"/>
    </row>
    <row r="957" spans="10:16" ht="12.5" x14ac:dyDescent="0.25">
      <c r="J957" s="115"/>
      <c r="K957" s="115"/>
      <c r="L957" s="115"/>
      <c r="M957" s="115"/>
      <c r="N957" s="115"/>
      <c r="O957" s="115"/>
      <c r="P957" s="115"/>
    </row>
    <row r="958" spans="10:16" ht="12.5" x14ac:dyDescent="0.25">
      <c r="J958" s="115"/>
      <c r="K958" s="115"/>
      <c r="L958" s="115"/>
      <c r="M958" s="115"/>
      <c r="N958" s="115"/>
      <c r="O958" s="115"/>
      <c r="P958" s="115"/>
    </row>
    <row r="959" spans="10:16" ht="12.5" x14ac:dyDescent="0.25">
      <c r="J959" s="115"/>
      <c r="K959" s="115"/>
      <c r="L959" s="115"/>
      <c r="M959" s="115"/>
      <c r="N959" s="115"/>
      <c r="O959" s="115"/>
      <c r="P959" s="115"/>
    </row>
    <row r="960" spans="10:16" ht="12.5" x14ac:dyDescent="0.25">
      <c r="J960" s="115"/>
      <c r="K960" s="115"/>
      <c r="L960" s="115"/>
      <c r="M960" s="115"/>
      <c r="N960" s="115"/>
      <c r="O960" s="115"/>
      <c r="P960" s="115"/>
    </row>
    <row r="961" spans="10:16" ht="12.5" x14ac:dyDescent="0.25">
      <c r="J961" s="115"/>
      <c r="K961" s="115"/>
      <c r="L961" s="115"/>
      <c r="M961" s="115"/>
      <c r="N961" s="115"/>
      <c r="O961" s="115"/>
      <c r="P961" s="115"/>
    </row>
    <row r="962" spans="10:16" ht="12.5" x14ac:dyDescent="0.25">
      <c r="J962" s="115"/>
      <c r="K962" s="115"/>
      <c r="L962" s="115"/>
      <c r="M962" s="115"/>
      <c r="N962" s="115"/>
      <c r="O962" s="115"/>
      <c r="P962" s="115"/>
    </row>
    <row r="963" spans="10:16" ht="12.5" x14ac:dyDescent="0.25">
      <c r="J963" s="115"/>
      <c r="K963" s="115"/>
      <c r="L963" s="115"/>
      <c r="M963" s="115"/>
      <c r="N963" s="115"/>
      <c r="O963" s="115"/>
      <c r="P963" s="115"/>
    </row>
    <row r="964" spans="10:16" ht="12.5" x14ac:dyDescent="0.25">
      <c r="J964" s="115"/>
      <c r="K964" s="115"/>
      <c r="L964" s="115"/>
      <c r="M964" s="115"/>
      <c r="N964" s="115"/>
      <c r="O964" s="115"/>
      <c r="P964" s="115"/>
    </row>
    <row r="965" spans="10:16" ht="12.5" x14ac:dyDescent="0.25">
      <c r="J965" s="115"/>
      <c r="K965" s="115"/>
      <c r="L965" s="115"/>
      <c r="M965" s="115"/>
      <c r="N965" s="115"/>
      <c r="O965" s="115"/>
      <c r="P965" s="115"/>
    </row>
    <row r="966" spans="10:16" ht="12.5" x14ac:dyDescent="0.25">
      <c r="J966" s="115"/>
      <c r="K966" s="115"/>
      <c r="L966" s="115"/>
      <c r="M966" s="115"/>
      <c r="N966" s="115"/>
      <c r="O966" s="115"/>
      <c r="P966" s="115"/>
    </row>
    <row r="967" spans="10:16" ht="12.5" x14ac:dyDescent="0.25">
      <c r="J967" s="115"/>
      <c r="K967" s="115"/>
      <c r="L967" s="115"/>
      <c r="M967" s="115"/>
      <c r="N967" s="115"/>
      <c r="O967" s="115"/>
      <c r="P967" s="115"/>
    </row>
    <row r="968" spans="10:16" ht="12.5" x14ac:dyDescent="0.25">
      <c r="J968" s="115"/>
      <c r="K968" s="115"/>
      <c r="L968" s="115"/>
      <c r="M968" s="115"/>
      <c r="N968" s="115"/>
      <c r="O968" s="115"/>
      <c r="P968" s="115"/>
    </row>
    <row r="969" spans="10:16" ht="12.5" x14ac:dyDescent="0.25">
      <c r="J969" s="115"/>
      <c r="K969" s="115"/>
      <c r="L969" s="115"/>
      <c r="M969" s="115"/>
      <c r="N969" s="115"/>
      <c r="O969" s="115"/>
      <c r="P969" s="115"/>
    </row>
    <row r="970" spans="10:16" ht="12.5" x14ac:dyDescent="0.25">
      <c r="J970" s="115"/>
      <c r="K970" s="115"/>
      <c r="L970" s="115"/>
      <c r="M970" s="115"/>
      <c r="N970" s="115"/>
      <c r="O970" s="115"/>
      <c r="P970" s="115"/>
    </row>
    <row r="971" spans="10:16" ht="12.5" x14ac:dyDescent="0.25">
      <c r="J971" s="115"/>
      <c r="K971" s="115"/>
      <c r="L971" s="115"/>
      <c r="M971" s="115"/>
      <c r="N971" s="115"/>
      <c r="O971" s="115"/>
      <c r="P971" s="115"/>
    </row>
    <row r="972" spans="10:16" ht="12.5" x14ac:dyDescent="0.25">
      <c r="J972" s="115"/>
      <c r="K972" s="115"/>
      <c r="L972" s="115"/>
      <c r="M972" s="115"/>
      <c r="N972" s="115"/>
      <c r="O972" s="115"/>
      <c r="P972" s="115"/>
    </row>
    <row r="973" spans="10:16" ht="12.5" x14ac:dyDescent="0.25">
      <c r="J973" s="115"/>
      <c r="K973" s="115"/>
      <c r="L973" s="115"/>
      <c r="M973" s="115"/>
      <c r="N973" s="115"/>
      <c r="O973" s="115"/>
      <c r="P973" s="115"/>
    </row>
    <row r="974" spans="10:16" ht="12.5" x14ac:dyDescent="0.25">
      <c r="J974" s="115"/>
      <c r="K974" s="115"/>
      <c r="L974" s="115"/>
      <c r="M974" s="115"/>
      <c r="N974" s="115"/>
      <c r="O974" s="115"/>
      <c r="P974" s="115"/>
    </row>
    <row r="975" spans="10:16" ht="12.5" x14ac:dyDescent="0.25">
      <c r="J975" s="115"/>
      <c r="K975" s="115"/>
      <c r="L975" s="115"/>
      <c r="M975" s="115"/>
      <c r="N975" s="115"/>
      <c r="O975" s="115"/>
      <c r="P975" s="115"/>
    </row>
    <row r="976" spans="10:16" ht="12.5" x14ac:dyDescent="0.25">
      <c r="J976" s="115"/>
      <c r="K976" s="115"/>
      <c r="L976" s="115"/>
      <c r="M976" s="115"/>
      <c r="N976" s="115"/>
      <c r="O976" s="115"/>
      <c r="P976" s="115"/>
    </row>
    <row r="977" spans="10:16" ht="12.5" x14ac:dyDescent="0.25">
      <c r="J977" s="115"/>
      <c r="K977" s="115"/>
      <c r="L977" s="115"/>
      <c r="M977" s="115"/>
      <c r="N977" s="115"/>
      <c r="O977" s="115"/>
      <c r="P977" s="115"/>
    </row>
    <row r="978" spans="10:16" ht="12.5" x14ac:dyDescent="0.25">
      <c r="J978" s="115"/>
      <c r="K978" s="115"/>
      <c r="L978" s="115"/>
      <c r="M978" s="115"/>
      <c r="N978" s="115"/>
      <c r="O978" s="115"/>
      <c r="P978" s="115"/>
    </row>
    <row r="979" spans="10:16" ht="12.5" x14ac:dyDescent="0.25">
      <c r="J979" s="115"/>
      <c r="K979" s="115"/>
      <c r="L979" s="115"/>
      <c r="M979" s="115"/>
      <c r="N979" s="115"/>
      <c r="O979" s="115"/>
      <c r="P979" s="115"/>
    </row>
    <row r="980" spans="10:16" ht="12.5" x14ac:dyDescent="0.25">
      <c r="J980" s="115"/>
      <c r="K980" s="115"/>
      <c r="L980" s="115"/>
      <c r="M980" s="115"/>
      <c r="N980" s="115"/>
      <c r="O980" s="115"/>
      <c r="P980" s="115"/>
    </row>
    <row r="981" spans="10:16" ht="12.5" x14ac:dyDescent="0.25">
      <c r="J981" s="115"/>
      <c r="K981" s="115"/>
      <c r="L981" s="115"/>
      <c r="M981" s="115"/>
      <c r="N981" s="115"/>
      <c r="O981" s="115"/>
      <c r="P981" s="115"/>
    </row>
    <row r="982" spans="10:16" ht="12.5" x14ac:dyDescent="0.25">
      <c r="J982" s="115"/>
      <c r="K982" s="115"/>
      <c r="L982" s="115"/>
      <c r="M982" s="115"/>
      <c r="N982" s="115"/>
      <c r="O982" s="115"/>
      <c r="P982" s="115"/>
    </row>
    <row r="983" spans="10:16" ht="12.5" x14ac:dyDescent="0.25">
      <c r="J983" s="115"/>
      <c r="K983" s="115"/>
      <c r="L983" s="115"/>
      <c r="M983" s="115"/>
      <c r="N983" s="115"/>
      <c r="O983" s="115"/>
      <c r="P983" s="115"/>
    </row>
    <row r="984" spans="10:16" ht="12.5" x14ac:dyDescent="0.25">
      <c r="J984" s="115"/>
      <c r="K984" s="115"/>
      <c r="L984" s="115"/>
      <c r="M984" s="115"/>
      <c r="N984" s="115"/>
      <c r="O984" s="115"/>
      <c r="P984" s="115"/>
    </row>
    <row r="985" spans="10:16" ht="12.5" x14ac:dyDescent="0.25">
      <c r="J985" s="115"/>
      <c r="K985" s="115"/>
      <c r="L985" s="115"/>
      <c r="M985" s="115"/>
      <c r="N985" s="115"/>
      <c r="O985" s="115"/>
      <c r="P985" s="115"/>
    </row>
    <row r="986" spans="10:16" ht="12.5" x14ac:dyDescent="0.25">
      <c r="J986" s="115"/>
      <c r="K986" s="115"/>
      <c r="L986" s="115"/>
      <c r="M986" s="115"/>
      <c r="N986" s="115"/>
      <c r="O986" s="115"/>
      <c r="P986" s="115"/>
    </row>
    <row r="987" spans="10:16" ht="12.5" x14ac:dyDescent="0.25">
      <c r="J987" s="115"/>
      <c r="K987" s="115"/>
      <c r="L987" s="115"/>
      <c r="M987" s="115"/>
      <c r="N987" s="115"/>
      <c r="O987" s="115"/>
      <c r="P987" s="115"/>
    </row>
    <row r="988" spans="10:16" ht="12.5" x14ac:dyDescent="0.25">
      <c r="J988" s="115"/>
      <c r="K988" s="115"/>
      <c r="L988" s="115"/>
      <c r="M988" s="115"/>
      <c r="N988" s="115"/>
      <c r="O988" s="115"/>
      <c r="P988" s="115"/>
    </row>
    <row r="989" spans="10:16" ht="12.5" x14ac:dyDescent="0.25">
      <c r="J989" s="115"/>
      <c r="K989" s="115"/>
      <c r="L989" s="115"/>
      <c r="M989" s="115"/>
      <c r="N989" s="115"/>
      <c r="O989" s="115"/>
      <c r="P989" s="115"/>
    </row>
    <row r="990" spans="10:16" ht="12.5" x14ac:dyDescent="0.25">
      <c r="J990" s="115"/>
      <c r="K990" s="115"/>
      <c r="L990" s="115"/>
      <c r="M990" s="115"/>
      <c r="N990" s="115"/>
      <c r="O990" s="115"/>
      <c r="P990" s="115"/>
    </row>
    <row r="991" spans="10:16" ht="12.5" x14ac:dyDescent="0.25">
      <c r="J991" s="115"/>
      <c r="K991" s="115"/>
      <c r="L991" s="115"/>
      <c r="M991" s="115"/>
      <c r="N991" s="115"/>
      <c r="O991" s="115"/>
      <c r="P991" s="115"/>
    </row>
    <row r="992" spans="10:16" ht="12.5" x14ac:dyDescent="0.25">
      <c r="J992" s="115"/>
      <c r="K992" s="115"/>
      <c r="L992" s="115"/>
      <c r="M992" s="115"/>
      <c r="N992" s="115"/>
      <c r="O992" s="115"/>
      <c r="P992" s="115"/>
    </row>
    <row r="993" spans="10:16" ht="12.5" x14ac:dyDescent="0.25">
      <c r="J993" s="115"/>
      <c r="K993" s="115"/>
      <c r="L993" s="115"/>
      <c r="M993" s="115"/>
      <c r="N993" s="115"/>
      <c r="O993" s="115"/>
      <c r="P993" s="115"/>
    </row>
    <row r="994" spans="10:16" ht="12.5" x14ac:dyDescent="0.25">
      <c r="J994" s="115"/>
      <c r="K994" s="115"/>
      <c r="L994" s="115"/>
      <c r="M994" s="115"/>
      <c r="N994" s="115"/>
      <c r="O994" s="115"/>
      <c r="P994" s="115"/>
    </row>
    <row r="995" spans="10:16" ht="12.5" x14ac:dyDescent="0.25">
      <c r="J995" s="115"/>
      <c r="K995" s="115"/>
      <c r="L995" s="115"/>
      <c r="M995" s="115"/>
      <c r="N995" s="115"/>
      <c r="O995" s="115"/>
      <c r="P995" s="115"/>
    </row>
    <row r="996" spans="10:16" ht="12.5" x14ac:dyDescent="0.25">
      <c r="J996" s="115"/>
      <c r="K996" s="115"/>
      <c r="L996" s="115"/>
      <c r="M996" s="115"/>
      <c r="N996" s="115"/>
      <c r="O996" s="115"/>
      <c r="P996" s="115"/>
    </row>
    <row r="997" spans="10:16" ht="12.5" x14ac:dyDescent="0.25">
      <c r="J997" s="115"/>
      <c r="K997" s="115"/>
      <c r="L997" s="115"/>
      <c r="M997" s="115"/>
      <c r="N997" s="115"/>
      <c r="O997" s="115"/>
      <c r="P997" s="115"/>
    </row>
    <row r="998" spans="10:16" ht="12.5" x14ac:dyDescent="0.25">
      <c r="J998" s="115"/>
      <c r="K998" s="115"/>
      <c r="L998" s="115"/>
      <c r="M998" s="115"/>
      <c r="N998" s="115"/>
      <c r="O998" s="115"/>
      <c r="P998" s="115"/>
    </row>
    <row r="999" spans="10:16" ht="12.5" x14ac:dyDescent="0.25">
      <c r="J999" s="115"/>
      <c r="K999" s="115"/>
      <c r="L999" s="115"/>
      <c r="M999" s="115"/>
      <c r="N999" s="115"/>
      <c r="O999" s="115"/>
      <c r="P999" s="115"/>
    </row>
    <row r="1000" spans="10:16" ht="12.5" x14ac:dyDescent="0.25">
      <c r="J1000" s="115"/>
      <c r="K1000" s="115"/>
      <c r="L1000" s="115"/>
      <c r="M1000" s="115"/>
      <c r="N1000" s="115"/>
      <c r="O1000" s="115"/>
      <c r="P1000" s="115"/>
    </row>
    <row r="1001" spans="10:16" ht="12.5" x14ac:dyDescent="0.25">
      <c r="J1001" s="115"/>
      <c r="K1001" s="115"/>
      <c r="L1001" s="115"/>
      <c r="M1001" s="115"/>
      <c r="N1001" s="115"/>
      <c r="O1001" s="115"/>
      <c r="P1001" s="115"/>
    </row>
    <row r="1002" spans="10:16" ht="12.5" x14ac:dyDescent="0.25">
      <c r="J1002" s="115"/>
      <c r="K1002" s="115"/>
      <c r="L1002" s="115"/>
      <c r="M1002" s="115"/>
      <c r="N1002" s="115"/>
      <c r="O1002" s="115"/>
      <c r="P1002" s="115"/>
    </row>
    <row r="1003" spans="10:16" ht="12.5" x14ac:dyDescent="0.25">
      <c r="J1003" s="115"/>
      <c r="K1003" s="115"/>
      <c r="L1003" s="115"/>
      <c r="M1003" s="115"/>
      <c r="N1003" s="115"/>
      <c r="O1003" s="115"/>
      <c r="P1003" s="115"/>
    </row>
    <row r="1004" spans="10:16" ht="12.5" x14ac:dyDescent="0.25">
      <c r="J1004" s="115"/>
      <c r="K1004" s="115"/>
      <c r="L1004" s="115"/>
      <c r="M1004" s="115"/>
      <c r="N1004" s="115"/>
      <c r="O1004" s="115"/>
      <c r="P1004" s="115"/>
    </row>
    <row r="1005" spans="10:16" ht="12.5" x14ac:dyDescent="0.25">
      <c r="J1005" s="115"/>
      <c r="K1005" s="115"/>
      <c r="L1005" s="115"/>
      <c r="M1005" s="115"/>
      <c r="N1005" s="115"/>
      <c r="O1005" s="115"/>
      <c r="P1005" s="115"/>
    </row>
    <row r="1006" spans="10:16" ht="12.5" x14ac:dyDescent="0.25">
      <c r="J1006" s="115"/>
      <c r="K1006" s="115"/>
      <c r="L1006" s="115"/>
      <c r="M1006" s="115"/>
      <c r="N1006" s="115"/>
      <c r="O1006" s="115"/>
      <c r="P1006" s="115"/>
    </row>
    <row r="1007" spans="10:16" ht="12.5" x14ac:dyDescent="0.25">
      <c r="J1007" s="115"/>
      <c r="K1007" s="115"/>
      <c r="L1007" s="115"/>
      <c r="M1007" s="115"/>
      <c r="N1007" s="115"/>
      <c r="O1007" s="115"/>
      <c r="P1007" s="115"/>
    </row>
    <row r="1008" spans="10:16" ht="12.5" x14ac:dyDescent="0.25">
      <c r="J1008" s="115"/>
      <c r="K1008" s="115"/>
      <c r="L1008" s="115"/>
      <c r="M1008" s="115"/>
      <c r="N1008" s="115"/>
      <c r="O1008" s="115"/>
      <c r="P1008" s="115"/>
    </row>
    <row r="1009" spans="10:16" ht="12.5" x14ac:dyDescent="0.25">
      <c r="J1009" s="115"/>
      <c r="K1009" s="115"/>
      <c r="L1009" s="115"/>
      <c r="M1009" s="115"/>
      <c r="N1009" s="115"/>
      <c r="O1009" s="115"/>
      <c r="P1009" s="115"/>
    </row>
    <row r="1010" spans="10:16" ht="12.5" x14ac:dyDescent="0.25">
      <c r="J1010" s="115"/>
      <c r="K1010" s="115"/>
      <c r="L1010" s="115"/>
      <c r="M1010" s="115"/>
      <c r="N1010" s="115"/>
      <c r="O1010" s="115"/>
      <c r="P1010" s="115"/>
    </row>
    <row r="1011" spans="10:16" ht="12.5" x14ac:dyDescent="0.25">
      <c r="J1011" s="115"/>
      <c r="K1011" s="115"/>
      <c r="L1011" s="115"/>
      <c r="M1011" s="115"/>
      <c r="N1011" s="115"/>
      <c r="O1011" s="115"/>
      <c r="P1011" s="115"/>
    </row>
    <row r="1012" spans="10:16" ht="12.5" x14ac:dyDescent="0.25">
      <c r="J1012" s="115"/>
      <c r="K1012" s="115"/>
      <c r="L1012" s="115"/>
      <c r="M1012" s="115"/>
      <c r="N1012" s="115"/>
      <c r="O1012" s="115"/>
      <c r="P1012" s="115"/>
    </row>
    <row r="1013" spans="10:16" ht="12.5" x14ac:dyDescent="0.25">
      <c r="J1013" s="115"/>
      <c r="K1013" s="115"/>
      <c r="L1013" s="115"/>
      <c r="M1013" s="115"/>
      <c r="N1013" s="115"/>
      <c r="O1013" s="115"/>
      <c r="P1013" s="115"/>
    </row>
    <row r="1014" spans="10:16" ht="12.5" x14ac:dyDescent="0.25">
      <c r="J1014" s="115"/>
      <c r="K1014" s="115"/>
      <c r="L1014" s="115"/>
      <c r="M1014" s="115"/>
      <c r="N1014" s="115"/>
      <c r="O1014" s="115"/>
      <c r="P1014" s="115"/>
    </row>
    <row r="1015" spans="10:16" ht="12.5" x14ac:dyDescent="0.25">
      <c r="J1015" s="115"/>
      <c r="K1015" s="115"/>
      <c r="L1015" s="115"/>
      <c r="M1015" s="115"/>
      <c r="N1015" s="115"/>
      <c r="O1015" s="115"/>
      <c r="P1015" s="115"/>
    </row>
    <row r="1016" spans="10:16" ht="12.5" x14ac:dyDescent="0.25">
      <c r="J1016" s="115"/>
      <c r="K1016" s="115"/>
      <c r="L1016" s="115"/>
      <c r="M1016" s="115"/>
      <c r="N1016" s="115"/>
      <c r="O1016" s="115"/>
      <c r="P1016" s="115"/>
    </row>
    <row r="1017" spans="10:16" ht="12.5" x14ac:dyDescent="0.25">
      <c r="J1017" s="115"/>
      <c r="K1017" s="115"/>
      <c r="L1017" s="115"/>
      <c r="M1017" s="115"/>
      <c r="N1017" s="115"/>
      <c r="O1017" s="115"/>
      <c r="P1017" s="115"/>
    </row>
    <row r="1018" spans="10:16" ht="12.5" x14ac:dyDescent="0.25">
      <c r="J1018" s="115"/>
      <c r="K1018" s="115"/>
      <c r="L1018" s="115"/>
      <c r="M1018" s="115"/>
      <c r="N1018" s="115"/>
      <c r="O1018" s="115"/>
      <c r="P1018" s="115"/>
    </row>
    <row r="1019" spans="10:16" ht="12.5" x14ac:dyDescent="0.25">
      <c r="J1019" s="115"/>
      <c r="K1019" s="115"/>
      <c r="L1019" s="115"/>
      <c r="M1019" s="115"/>
      <c r="N1019" s="115"/>
      <c r="O1019" s="115"/>
      <c r="P1019" s="115"/>
    </row>
    <row r="1020" spans="10:16" ht="12.5" x14ac:dyDescent="0.25">
      <c r="J1020" s="115"/>
      <c r="K1020" s="115"/>
      <c r="L1020" s="115"/>
      <c r="M1020" s="115"/>
      <c r="N1020" s="115"/>
      <c r="O1020" s="115"/>
      <c r="P1020" s="115"/>
    </row>
    <row r="1021" spans="10:16" ht="12.5" x14ac:dyDescent="0.25">
      <c r="J1021" s="115"/>
      <c r="K1021" s="115"/>
      <c r="L1021" s="115"/>
      <c r="M1021" s="115"/>
      <c r="N1021" s="115"/>
      <c r="O1021" s="115"/>
      <c r="P1021" s="115"/>
    </row>
    <row r="1022" spans="10:16" ht="12.5" x14ac:dyDescent="0.25">
      <c r="J1022" s="115"/>
      <c r="K1022" s="115"/>
      <c r="L1022" s="115"/>
      <c r="M1022" s="115"/>
      <c r="N1022" s="115"/>
      <c r="O1022" s="115"/>
      <c r="P1022" s="115"/>
    </row>
    <row r="1023" spans="10:16" ht="12.5" x14ac:dyDescent="0.25">
      <c r="J1023" s="115"/>
      <c r="K1023" s="115"/>
      <c r="L1023" s="115"/>
      <c r="M1023" s="115"/>
      <c r="N1023" s="115"/>
      <c r="O1023" s="115"/>
      <c r="P1023" s="115"/>
    </row>
    <row r="1024" spans="10:16" ht="12.5" x14ac:dyDescent="0.25">
      <c r="J1024" s="115"/>
      <c r="K1024" s="115"/>
      <c r="L1024" s="115"/>
      <c r="M1024" s="115"/>
      <c r="N1024" s="115"/>
      <c r="O1024" s="115"/>
      <c r="P1024" s="115"/>
    </row>
    <row r="1025" spans="10:16" ht="12.5" x14ac:dyDescent="0.25">
      <c r="J1025" s="115"/>
      <c r="K1025" s="115"/>
      <c r="L1025" s="115"/>
      <c r="M1025" s="115"/>
      <c r="N1025" s="115"/>
      <c r="O1025" s="115"/>
      <c r="P1025" s="115"/>
    </row>
    <row r="1026" spans="10:16" ht="12.5" x14ac:dyDescent="0.25">
      <c r="J1026" s="115"/>
      <c r="K1026" s="115"/>
      <c r="L1026" s="115"/>
      <c r="M1026" s="115"/>
      <c r="N1026" s="115"/>
      <c r="O1026" s="115"/>
      <c r="P1026" s="115"/>
    </row>
    <row r="1027" spans="10:16" ht="12.5" x14ac:dyDescent="0.25">
      <c r="J1027" s="115"/>
      <c r="K1027" s="115"/>
      <c r="L1027" s="115"/>
      <c r="M1027" s="115"/>
      <c r="N1027" s="115"/>
      <c r="O1027" s="115"/>
      <c r="P1027" s="115"/>
    </row>
    <row r="1028" spans="10:16" ht="12.5" x14ac:dyDescent="0.25">
      <c r="J1028" s="115"/>
      <c r="K1028" s="115"/>
      <c r="L1028" s="115"/>
      <c r="M1028" s="115"/>
      <c r="N1028" s="115"/>
      <c r="O1028" s="115"/>
      <c r="P1028" s="115"/>
    </row>
    <row r="1029" spans="10:16" ht="12.5" x14ac:dyDescent="0.25">
      <c r="J1029" s="115"/>
      <c r="K1029" s="115"/>
      <c r="L1029" s="115"/>
      <c r="M1029" s="115"/>
      <c r="N1029" s="115"/>
      <c r="O1029" s="115"/>
      <c r="P1029" s="115"/>
    </row>
    <row r="1030" spans="10:16" ht="12.5" x14ac:dyDescent="0.25">
      <c r="J1030" s="115"/>
      <c r="K1030" s="115"/>
      <c r="L1030" s="115"/>
      <c r="M1030" s="115"/>
      <c r="N1030" s="115"/>
      <c r="O1030" s="115"/>
      <c r="P1030" s="115"/>
    </row>
    <row r="1031" spans="10:16" ht="12.5" x14ac:dyDescent="0.25">
      <c r="J1031" s="115"/>
      <c r="K1031" s="115"/>
      <c r="L1031" s="115"/>
      <c r="M1031" s="115"/>
      <c r="N1031" s="115"/>
      <c r="O1031" s="115"/>
      <c r="P1031" s="115"/>
    </row>
    <row r="1032" spans="10:16" ht="12.5" x14ac:dyDescent="0.25">
      <c r="J1032" s="115"/>
      <c r="K1032" s="115"/>
      <c r="L1032" s="115"/>
      <c r="M1032" s="115"/>
      <c r="N1032" s="115"/>
      <c r="O1032" s="115"/>
      <c r="P1032" s="115"/>
    </row>
    <row r="1033" spans="10:16" ht="12.5" x14ac:dyDescent="0.25">
      <c r="J1033" s="115"/>
      <c r="K1033" s="115"/>
      <c r="L1033" s="115"/>
      <c r="M1033" s="115"/>
      <c r="N1033" s="115"/>
      <c r="O1033" s="115"/>
      <c r="P1033" s="115"/>
    </row>
    <row r="1034" spans="10:16" ht="12.5" x14ac:dyDescent="0.25">
      <c r="J1034" s="115"/>
      <c r="K1034" s="115"/>
      <c r="L1034" s="115"/>
      <c r="M1034" s="115"/>
      <c r="N1034" s="115"/>
      <c r="O1034" s="115"/>
      <c r="P1034" s="115"/>
    </row>
    <row r="1035" spans="10:16" ht="12.5" x14ac:dyDescent="0.25">
      <c r="J1035" s="115"/>
      <c r="K1035" s="115"/>
      <c r="L1035" s="115"/>
      <c r="M1035" s="115"/>
      <c r="N1035" s="115"/>
      <c r="O1035" s="115"/>
      <c r="P1035" s="115"/>
    </row>
    <row r="1036" spans="10:16" ht="12.5" x14ac:dyDescent="0.25">
      <c r="J1036" s="115"/>
      <c r="K1036" s="115"/>
      <c r="L1036" s="115"/>
      <c r="M1036" s="115"/>
      <c r="N1036" s="115"/>
      <c r="O1036" s="115"/>
      <c r="P1036" s="115"/>
    </row>
    <row r="1037" spans="10:16" ht="12.5" x14ac:dyDescent="0.25">
      <c r="J1037" s="115"/>
      <c r="K1037" s="115"/>
      <c r="L1037" s="115"/>
      <c r="M1037" s="115"/>
      <c r="N1037" s="115"/>
      <c r="O1037" s="115"/>
      <c r="P1037" s="115"/>
    </row>
    <row r="1038" spans="10:16" ht="12.5" x14ac:dyDescent="0.25">
      <c r="J1038" s="115"/>
      <c r="K1038" s="115"/>
      <c r="L1038" s="115"/>
      <c r="M1038" s="115"/>
      <c r="N1038" s="115"/>
      <c r="O1038" s="115"/>
      <c r="P1038" s="115"/>
    </row>
    <row r="1039" spans="10:16" ht="12.5" x14ac:dyDescent="0.25">
      <c r="J1039" s="115"/>
      <c r="K1039" s="115"/>
      <c r="L1039" s="115"/>
      <c r="M1039" s="115"/>
      <c r="N1039" s="115"/>
      <c r="O1039" s="115"/>
      <c r="P1039" s="115"/>
    </row>
    <row r="1040" spans="10:16" ht="12.5" x14ac:dyDescent="0.25">
      <c r="J1040" s="115"/>
      <c r="K1040" s="115"/>
      <c r="L1040" s="115"/>
      <c r="M1040" s="115"/>
      <c r="N1040" s="115"/>
      <c r="O1040" s="115"/>
      <c r="P1040" s="115"/>
    </row>
    <row r="1041" spans="10:16" ht="12.5" x14ac:dyDescent="0.25">
      <c r="J1041" s="115"/>
      <c r="K1041" s="115"/>
      <c r="L1041" s="115"/>
      <c r="M1041" s="115"/>
      <c r="N1041" s="115"/>
      <c r="O1041" s="115"/>
      <c r="P1041" s="115"/>
    </row>
    <row r="1042" spans="10:16" ht="12.5" x14ac:dyDescent="0.25">
      <c r="J1042" s="115"/>
      <c r="K1042" s="115"/>
      <c r="L1042" s="115"/>
      <c r="M1042" s="115"/>
      <c r="N1042" s="115"/>
      <c r="O1042" s="115"/>
      <c r="P1042" s="115"/>
    </row>
    <row r="1043" spans="10:16" ht="12.5" x14ac:dyDescent="0.25">
      <c r="J1043" s="115"/>
      <c r="K1043" s="115"/>
      <c r="L1043" s="115"/>
      <c r="M1043" s="115"/>
      <c r="N1043" s="115"/>
      <c r="O1043" s="115"/>
      <c r="P1043" s="115"/>
    </row>
    <row r="1044" spans="10:16" ht="12.5" x14ac:dyDescent="0.25">
      <c r="J1044" s="115"/>
      <c r="K1044" s="115"/>
      <c r="L1044" s="115"/>
      <c r="M1044" s="115"/>
      <c r="N1044" s="115"/>
      <c r="O1044" s="115"/>
      <c r="P1044" s="115"/>
    </row>
  </sheetData>
  <mergeCells count="419">
    <mergeCell ref="D114:I114"/>
    <mergeCell ref="K114:L114"/>
    <mergeCell ref="K117:L117"/>
    <mergeCell ref="K118:L118"/>
    <mergeCell ref="K119:L119"/>
    <mergeCell ref="M119:N119"/>
    <mergeCell ref="O119:P119"/>
    <mergeCell ref="Q119:V119"/>
    <mergeCell ref="D120:N120"/>
    <mergeCell ref="O120:P120"/>
    <mergeCell ref="M114:N114"/>
    <mergeCell ref="O114:P114"/>
    <mergeCell ref="Q114:V114"/>
    <mergeCell ref="K115:L115"/>
    <mergeCell ref="M115:N115"/>
    <mergeCell ref="O115:P115"/>
    <mergeCell ref="Q115:V115"/>
    <mergeCell ref="K112:L112"/>
    <mergeCell ref="M112:N112"/>
    <mergeCell ref="K113:L113"/>
    <mergeCell ref="M113:N113"/>
    <mergeCell ref="O113:P113"/>
    <mergeCell ref="K109:L109"/>
    <mergeCell ref="M109:N109"/>
    <mergeCell ref="O109:P109"/>
    <mergeCell ref="Q109:V109"/>
    <mergeCell ref="D110:I110"/>
    <mergeCell ref="O112:P112"/>
    <mergeCell ref="Q112:V112"/>
    <mergeCell ref="Q113:V113"/>
    <mergeCell ref="O110:P110"/>
    <mergeCell ref="Q110:V110"/>
    <mergeCell ref="K111:L111"/>
    <mergeCell ref="M111:N111"/>
    <mergeCell ref="O111:P111"/>
    <mergeCell ref="Q111:V111"/>
    <mergeCell ref="D112:I112"/>
    <mergeCell ref="O117:P117"/>
    <mergeCell ref="Q117:V117"/>
    <mergeCell ref="M118:N118"/>
    <mergeCell ref="O118:P118"/>
    <mergeCell ref="D116:I116"/>
    <mergeCell ref="K116:L116"/>
    <mergeCell ref="M116:N116"/>
    <mergeCell ref="O116:P116"/>
    <mergeCell ref="Q116:V116"/>
    <mergeCell ref="M117:N117"/>
    <mergeCell ref="D118:I118"/>
    <mergeCell ref="Q118:V118"/>
    <mergeCell ref="O108:P108"/>
    <mergeCell ref="Q108:V108"/>
    <mergeCell ref="K106:L106"/>
    <mergeCell ref="M106:N106"/>
    <mergeCell ref="K107:L107"/>
    <mergeCell ref="M107:N107"/>
    <mergeCell ref="O107:P107"/>
    <mergeCell ref="Q107:V107"/>
    <mergeCell ref="D108:I108"/>
    <mergeCell ref="K108:L108"/>
    <mergeCell ref="M108:N108"/>
    <mergeCell ref="O106:P106"/>
    <mergeCell ref="Q106:V106"/>
    <mergeCell ref="K104:L104"/>
    <mergeCell ref="M104:N104"/>
    <mergeCell ref="K105:L105"/>
    <mergeCell ref="M105:N105"/>
    <mergeCell ref="O105:P105"/>
    <mergeCell ref="Q105:V105"/>
    <mergeCell ref="D106:I106"/>
    <mergeCell ref="K100:L100"/>
    <mergeCell ref="M100:N100"/>
    <mergeCell ref="K101:L101"/>
    <mergeCell ref="M101:N101"/>
    <mergeCell ref="O101:P101"/>
    <mergeCell ref="Q101:V101"/>
    <mergeCell ref="D102:I102"/>
    <mergeCell ref="O104:P104"/>
    <mergeCell ref="Q104:V104"/>
    <mergeCell ref="K102:L102"/>
    <mergeCell ref="M102:N102"/>
    <mergeCell ref="K103:L103"/>
    <mergeCell ref="M103:N103"/>
    <mergeCell ref="O103:P103"/>
    <mergeCell ref="Q103:V103"/>
    <mergeCell ref="D104:I104"/>
    <mergeCell ref="D90:I90"/>
    <mergeCell ref="K90:L90"/>
    <mergeCell ref="K110:L110"/>
    <mergeCell ref="M110:N110"/>
    <mergeCell ref="O98:P98"/>
    <mergeCell ref="Q98:V98"/>
    <mergeCell ref="K96:L96"/>
    <mergeCell ref="M96:N96"/>
    <mergeCell ref="K97:L97"/>
    <mergeCell ref="M97:N97"/>
    <mergeCell ref="O97:P97"/>
    <mergeCell ref="Q97:V97"/>
    <mergeCell ref="D98:I98"/>
    <mergeCell ref="O100:P100"/>
    <mergeCell ref="Q100:V100"/>
    <mergeCell ref="K98:L98"/>
    <mergeCell ref="M98:N98"/>
    <mergeCell ref="K99:L99"/>
    <mergeCell ref="M99:N99"/>
    <mergeCell ref="O99:P99"/>
    <mergeCell ref="Q99:V99"/>
    <mergeCell ref="D100:I100"/>
    <mergeCell ref="O102:P102"/>
    <mergeCell ref="Q102:V102"/>
    <mergeCell ref="M90:N90"/>
    <mergeCell ref="O90:P90"/>
    <mergeCell ref="Q90:V90"/>
    <mergeCell ref="K91:L91"/>
    <mergeCell ref="M91:N91"/>
    <mergeCell ref="O91:P91"/>
    <mergeCell ref="Q91:V91"/>
    <mergeCell ref="K88:L88"/>
    <mergeCell ref="M88:N88"/>
    <mergeCell ref="K89:L89"/>
    <mergeCell ref="M89:N89"/>
    <mergeCell ref="O89:P89"/>
    <mergeCell ref="K85:L85"/>
    <mergeCell ref="M85:N85"/>
    <mergeCell ref="O85:P85"/>
    <mergeCell ref="Q85:V85"/>
    <mergeCell ref="D86:I86"/>
    <mergeCell ref="O88:P88"/>
    <mergeCell ref="Q88:V88"/>
    <mergeCell ref="Q89:V89"/>
    <mergeCell ref="O86:P86"/>
    <mergeCell ref="Q86:V86"/>
    <mergeCell ref="K87:L87"/>
    <mergeCell ref="M87:N87"/>
    <mergeCell ref="O87:P87"/>
    <mergeCell ref="Q87:V87"/>
    <mergeCell ref="D88:I88"/>
    <mergeCell ref="O96:P96"/>
    <mergeCell ref="Q96:V96"/>
    <mergeCell ref="K93:L93"/>
    <mergeCell ref="K94:L94"/>
    <mergeCell ref="K95:L95"/>
    <mergeCell ref="M95:N95"/>
    <mergeCell ref="O95:P95"/>
    <mergeCell ref="Q95:V95"/>
    <mergeCell ref="D96:I96"/>
    <mergeCell ref="O93:P93"/>
    <mergeCell ref="Q93:V93"/>
    <mergeCell ref="M94:N94"/>
    <mergeCell ref="O94:P94"/>
    <mergeCell ref="D92:I92"/>
    <mergeCell ref="K92:L92"/>
    <mergeCell ref="M92:N92"/>
    <mergeCell ref="O92:P92"/>
    <mergeCell ref="Q92:V92"/>
    <mergeCell ref="M93:N93"/>
    <mergeCell ref="D94:I94"/>
    <mergeCell ref="Q94:V94"/>
    <mergeCell ref="O84:P84"/>
    <mergeCell ref="Q84:V84"/>
    <mergeCell ref="K82:L82"/>
    <mergeCell ref="M82:N82"/>
    <mergeCell ref="K83:L83"/>
    <mergeCell ref="M83:N83"/>
    <mergeCell ref="O83:P83"/>
    <mergeCell ref="Q83:V83"/>
    <mergeCell ref="D84:I84"/>
    <mergeCell ref="K84:L84"/>
    <mergeCell ref="M84:N84"/>
    <mergeCell ref="O82:P82"/>
    <mergeCell ref="Q82:V82"/>
    <mergeCell ref="K80:L80"/>
    <mergeCell ref="M80:N80"/>
    <mergeCell ref="K81:L81"/>
    <mergeCell ref="M81:N81"/>
    <mergeCell ref="O81:P81"/>
    <mergeCell ref="Q81:V81"/>
    <mergeCell ref="D82:I82"/>
    <mergeCell ref="O80:P80"/>
    <mergeCell ref="Q80:V80"/>
    <mergeCell ref="K78:L78"/>
    <mergeCell ref="M78:N78"/>
    <mergeCell ref="K79:L79"/>
    <mergeCell ref="M79:N79"/>
    <mergeCell ref="O79:P79"/>
    <mergeCell ref="Q79:V79"/>
    <mergeCell ref="D80:I80"/>
    <mergeCell ref="O78:P78"/>
    <mergeCell ref="Q78:V78"/>
    <mergeCell ref="K76:L76"/>
    <mergeCell ref="M76:N76"/>
    <mergeCell ref="K77:L77"/>
    <mergeCell ref="M77:N77"/>
    <mergeCell ref="O77:P77"/>
    <mergeCell ref="Q77:V77"/>
    <mergeCell ref="D78:I78"/>
    <mergeCell ref="O64:P64"/>
    <mergeCell ref="Q64:V64"/>
    <mergeCell ref="Q65:V65"/>
    <mergeCell ref="M66:N66"/>
    <mergeCell ref="O66:P66"/>
    <mergeCell ref="Q66:V66"/>
    <mergeCell ref="K86:L86"/>
    <mergeCell ref="M86:N86"/>
    <mergeCell ref="D62:I62"/>
    <mergeCell ref="D63:I63"/>
    <mergeCell ref="K63:L63"/>
    <mergeCell ref="M63:N63"/>
    <mergeCell ref="O63:P63"/>
    <mergeCell ref="Q63:V63"/>
    <mergeCell ref="D64:I64"/>
    <mergeCell ref="K64:L64"/>
    <mergeCell ref="M64:N64"/>
    <mergeCell ref="K65:L65"/>
    <mergeCell ref="M65:N65"/>
    <mergeCell ref="O65:P65"/>
    <mergeCell ref="D66:I66"/>
    <mergeCell ref="K66:L66"/>
    <mergeCell ref="K71:L71"/>
    <mergeCell ref="D72:I72"/>
    <mergeCell ref="M62:N62"/>
    <mergeCell ref="O62:P62"/>
    <mergeCell ref="D61:I61"/>
    <mergeCell ref="K61:L61"/>
    <mergeCell ref="M61:N61"/>
    <mergeCell ref="O61:P61"/>
    <mergeCell ref="Q61:V61"/>
    <mergeCell ref="K62:L62"/>
    <mergeCell ref="Q62:V62"/>
    <mergeCell ref="O60:P60"/>
    <mergeCell ref="Q60:V60"/>
    <mergeCell ref="D58:I58"/>
    <mergeCell ref="D59:I59"/>
    <mergeCell ref="K59:L59"/>
    <mergeCell ref="M59:N59"/>
    <mergeCell ref="O59:P59"/>
    <mergeCell ref="Q59:V59"/>
    <mergeCell ref="D60:I60"/>
    <mergeCell ref="D74:I74"/>
    <mergeCell ref="K74:L74"/>
    <mergeCell ref="Q74:V74"/>
    <mergeCell ref="O76:P76"/>
    <mergeCell ref="Q76:V76"/>
    <mergeCell ref="M74:N74"/>
    <mergeCell ref="O74:P74"/>
    <mergeCell ref="K75:L75"/>
    <mergeCell ref="M75:N75"/>
    <mergeCell ref="O75:P75"/>
    <mergeCell ref="Q75:V75"/>
    <mergeCell ref="D76:I76"/>
    <mergeCell ref="K69:L69"/>
    <mergeCell ref="M69:N69"/>
    <mergeCell ref="O69:P69"/>
    <mergeCell ref="Q69:V69"/>
    <mergeCell ref="D70:I70"/>
    <mergeCell ref="K70:L70"/>
    <mergeCell ref="K73:L73"/>
    <mergeCell ref="M73:N73"/>
    <mergeCell ref="O73:P73"/>
    <mergeCell ref="Q73:V73"/>
    <mergeCell ref="K72:L72"/>
    <mergeCell ref="M72:N72"/>
    <mergeCell ref="O72:P72"/>
    <mergeCell ref="M70:N70"/>
    <mergeCell ref="O70:P70"/>
    <mergeCell ref="Q70:V70"/>
    <mergeCell ref="M71:N71"/>
    <mergeCell ref="O71:P71"/>
    <mergeCell ref="Q71:V71"/>
    <mergeCell ref="Q72:V72"/>
    <mergeCell ref="K67:L67"/>
    <mergeCell ref="M67:N67"/>
    <mergeCell ref="O67:P67"/>
    <mergeCell ref="Q67:V67"/>
    <mergeCell ref="D68:I68"/>
    <mergeCell ref="K68:L68"/>
    <mergeCell ref="M68:N68"/>
    <mergeCell ref="O68:P68"/>
    <mergeCell ref="Q68:V68"/>
    <mergeCell ref="Z39:AA39"/>
    <mergeCell ref="Z40:AA40"/>
    <mergeCell ref="T37:U37"/>
    <mergeCell ref="X37:Y37"/>
    <mergeCell ref="X38:Y38"/>
    <mergeCell ref="Z38:AA38"/>
    <mergeCell ref="T39:U39"/>
    <mergeCell ref="X39:Y40"/>
    <mergeCell ref="T40:V40"/>
    <mergeCell ref="F37:G37"/>
    <mergeCell ref="D50:F50"/>
    <mergeCell ref="D51:F51"/>
    <mergeCell ref="D52:G52"/>
    <mergeCell ref="D53:G53"/>
    <mergeCell ref="D42:H43"/>
    <mergeCell ref="D44:F44"/>
    <mergeCell ref="D45:F45"/>
    <mergeCell ref="D46:F46"/>
    <mergeCell ref="D47:F47"/>
    <mergeCell ref="D48:F48"/>
    <mergeCell ref="D49:F49"/>
    <mergeCell ref="Z14:AA14"/>
    <mergeCell ref="D12:H13"/>
    <mergeCell ref="J12:P13"/>
    <mergeCell ref="X12:AA12"/>
    <mergeCell ref="X13:Y13"/>
    <mergeCell ref="Z13:AA13"/>
    <mergeCell ref="D14:G14"/>
    <mergeCell ref="J14:K14"/>
    <mergeCell ref="X27:Y27"/>
    <mergeCell ref="T23:U23"/>
    <mergeCell ref="T24:U24"/>
    <mergeCell ref="T25:U25"/>
    <mergeCell ref="T26:U26"/>
    <mergeCell ref="X26:AA26"/>
    <mergeCell ref="T27:U27"/>
    <mergeCell ref="R22:S22"/>
    <mergeCell ref="R23:S23"/>
    <mergeCell ref="R24:S24"/>
    <mergeCell ref="R25:S25"/>
    <mergeCell ref="R26:S26"/>
    <mergeCell ref="R27:S27"/>
    <mergeCell ref="D25:F25"/>
    <mergeCell ref="D26:F26"/>
    <mergeCell ref="D27:F27"/>
    <mergeCell ref="D2:E2"/>
    <mergeCell ref="G2:L2"/>
    <mergeCell ref="D3:E3"/>
    <mergeCell ref="N3:Q5"/>
    <mergeCell ref="H4:I4"/>
    <mergeCell ref="J4:K4"/>
    <mergeCell ref="H5:I5"/>
    <mergeCell ref="R12:V13"/>
    <mergeCell ref="R14:S14"/>
    <mergeCell ref="T14:U14"/>
    <mergeCell ref="K60:L60"/>
    <mergeCell ref="M60:N60"/>
    <mergeCell ref="J5:K5"/>
    <mergeCell ref="S5:X5"/>
    <mergeCell ref="U8:V8"/>
    <mergeCell ref="W8:X8"/>
    <mergeCell ref="N6:Q6"/>
    <mergeCell ref="N7:P7"/>
    <mergeCell ref="S7:T7"/>
    <mergeCell ref="U7:V7"/>
    <mergeCell ref="W7:X7"/>
    <mergeCell ref="N8:P8"/>
    <mergeCell ref="S8:T8"/>
    <mergeCell ref="X14:Y14"/>
    <mergeCell ref="X28:Y28"/>
    <mergeCell ref="T28:U28"/>
    <mergeCell ref="R31:S31"/>
    <mergeCell ref="R33:S33"/>
    <mergeCell ref="R29:S29"/>
    <mergeCell ref="X34:AA34"/>
    <mergeCell ref="X35:Y35"/>
    <mergeCell ref="Z35:AA35"/>
    <mergeCell ref="T29:U29"/>
    <mergeCell ref="X29:Y29"/>
    <mergeCell ref="D23:H24"/>
    <mergeCell ref="T33:U33"/>
    <mergeCell ref="T34:U34"/>
    <mergeCell ref="R35:S35"/>
    <mergeCell ref="T35:U35"/>
    <mergeCell ref="T36:U36"/>
    <mergeCell ref="X36:AA36"/>
    <mergeCell ref="R37:S37"/>
    <mergeCell ref="Z37:AA37"/>
    <mergeCell ref="T30:U30"/>
    <mergeCell ref="X30:Y30"/>
    <mergeCell ref="T31:U31"/>
    <mergeCell ref="T32:U32"/>
    <mergeCell ref="X32:AA33"/>
    <mergeCell ref="D28:F28"/>
    <mergeCell ref="D29:F29"/>
    <mergeCell ref="D30:F30"/>
    <mergeCell ref="D31:F31"/>
    <mergeCell ref="D32:F32"/>
    <mergeCell ref="D33:F33"/>
    <mergeCell ref="D34:F34"/>
    <mergeCell ref="D35:F35"/>
    <mergeCell ref="D36:E37"/>
    <mergeCell ref="F36:G36"/>
    <mergeCell ref="R21:S21"/>
    <mergeCell ref="T21:U21"/>
    <mergeCell ref="T22:U22"/>
    <mergeCell ref="D16:G16"/>
    <mergeCell ref="D17:G17"/>
    <mergeCell ref="D18:G18"/>
    <mergeCell ref="D19:G19"/>
    <mergeCell ref="D20:G20"/>
    <mergeCell ref="D21:G21"/>
    <mergeCell ref="R17:S17"/>
    <mergeCell ref="T17:U17"/>
    <mergeCell ref="Z17:AA17"/>
    <mergeCell ref="R18:S18"/>
    <mergeCell ref="T18:U18"/>
    <mergeCell ref="R19:S19"/>
    <mergeCell ref="T19:U19"/>
    <mergeCell ref="R20:S20"/>
    <mergeCell ref="T20:U20"/>
    <mergeCell ref="D15:G15"/>
    <mergeCell ref="R15:S15"/>
    <mergeCell ref="T15:U15"/>
    <mergeCell ref="Z15:AA15"/>
    <mergeCell ref="R16:S16"/>
    <mergeCell ref="T16:U16"/>
    <mergeCell ref="Z16:AA16"/>
    <mergeCell ref="X15:Y15"/>
    <mergeCell ref="X16:Y16"/>
    <mergeCell ref="D39:F40"/>
    <mergeCell ref="G39:H40"/>
    <mergeCell ref="R39:S39"/>
    <mergeCell ref="R40:S40"/>
    <mergeCell ref="J42:R42"/>
    <mergeCell ref="T42:V42"/>
    <mergeCell ref="D56:V57"/>
    <mergeCell ref="K58:L58"/>
    <mergeCell ref="Q58:V58"/>
    <mergeCell ref="M58:N58"/>
    <mergeCell ref="O58:P58"/>
  </mergeCells>
  <conditionalFormatting sqref="Z39:AA40">
    <cfRule type="cellIs" dxfId="11" priority="1" operator="greaterThanOrEqual">
      <formula>0</formula>
    </cfRule>
    <cfRule type="cellIs" dxfId="10" priority="3" operator="lessThan">
      <formula>0</formula>
    </cfRule>
    <cfRule type="containsText" dxfId="9" priority="4" operator="containsText" text="falta">
      <formula>NOT(ISERROR(SEARCH(("falta"),(Z39))))</formula>
    </cfRule>
  </conditionalFormatting>
  <conditionalFormatting sqref="Z40:AA40">
    <cfRule type="containsText" dxfId="8" priority="2" operator="containsText" text="sobra">
      <formula>NOT(ISERROR(SEARCH(("sobra"),(Z40))))</formula>
    </cfRule>
  </conditionalFormatting>
  <dataValidations count="3">
    <dataValidation type="list" allowBlank="1" showErrorMessage="1" sqref="G45:G51" xr:uid="{00000000-0002-0000-0B00-000000000000}">
      <formula1>"Ahorro,Inversión"</formula1>
    </dataValidation>
    <dataValidation type="list" allowBlank="1" showErrorMessage="1" sqref="K59:K119" xr:uid="{00000000-0002-0000-0B00-000001000000}">
      <formula1>"Transporte,Alimentación,Restaurantes,Delivery,Bares,Ropa,Belleza,Gasolina,Hogar,Tarjeta de crédito,Ocio,Pequeñas compras,Tasas/Impuestos,Viajes/vacaciones,Tecnología,Reparaciones,Salud,Higiene,Cursos/Formación/Trabajo,Mascotas,Familia,Otros,Préstamos"</formula1>
    </dataValidation>
    <dataValidation type="list" allowBlank="1" showErrorMessage="1" sqref="N15:N39 M59:M119" xr:uid="{00000000-0002-0000-0B00-000002000000}">
      <formula1>"Transferencia,Tarjeta de débito,Efectivo,Tarjeta de crédito"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D1044"/>
  <sheetViews>
    <sheetView workbookViewId="0"/>
  </sheetViews>
  <sheetFormatPr baseColWidth="10" defaultColWidth="12.6328125" defaultRowHeight="15.75" customHeight="1" x14ac:dyDescent="0.25"/>
  <cols>
    <col min="7" max="7" width="13.7265625" customWidth="1"/>
    <col min="14" max="14" width="17.6328125" customWidth="1"/>
  </cols>
  <sheetData>
    <row r="1" spans="1:30" ht="15.7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8"/>
      <c r="O1" s="28"/>
      <c r="P1" s="28"/>
      <c r="Q1" s="28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x14ac:dyDescent="0.3">
      <c r="A2" s="2"/>
      <c r="B2" s="2"/>
      <c r="C2" s="2"/>
      <c r="D2" s="254" t="s">
        <v>45</v>
      </c>
      <c r="E2" s="200"/>
      <c r="F2" s="11"/>
      <c r="G2" s="244" t="s">
        <v>46</v>
      </c>
      <c r="H2" s="245"/>
      <c r="I2" s="245"/>
      <c r="J2" s="245"/>
      <c r="K2" s="245"/>
      <c r="L2" s="246"/>
      <c r="M2" s="29"/>
      <c r="N2" s="11"/>
      <c r="O2" s="11"/>
      <c r="P2" s="11"/>
      <c r="Q2" s="11"/>
      <c r="R2" s="11"/>
      <c r="S2" s="11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5.75" customHeight="1" x14ac:dyDescent="0.4">
      <c r="A3" s="2"/>
      <c r="B3" s="2"/>
      <c r="C3" s="2"/>
      <c r="D3" s="255">
        <f>CTAS!J8</f>
        <v>0</v>
      </c>
      <c r="E3" s="236"/>
      <c r="F3" s="2"/>
      <c r="G3" s="2"/>
      <c r="H3" s="2"/>
      <c r="I3" s="2"/>
      <c r="J3" s="2"/>
      <c r="K3" s="2"/>
      <c r="L3" s="2"/>
      <c r="M3" s="11"/>
      <c r="N3" s="256" t="s">
        <v>10</v>
      </c>
      <c r="O3" s="209"/>
      <c r="P3" s="209"/>
      <c r="Q3" s="129"/>
      <c r="R3" s="30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3">
      <c r="A4" s="2"/>
      <c r="B4" s="2"/>
      <c r="C4" s="2"/>
      <c r="D4" s="28"/>
      <c r="E4" s="28"/>
      <c r="F4" s="2"/>
      <c r="G4" s="28"/>
      <c r="H4" s="259" t="s">
        <v>15</v>
      </c>
      <c r="I4" s="224"/>
      <c r="J4" s="260" t="s">
        <v>47</v>
      </c>
      <c r="K4" s="119"/>
      <c r="L4" s="31" t="s">
        <v>14</v>
      </c>
      <c r="M4" s="32"/>
      <c r="N4" s="257"/>
      <c r="O4" s="197"/>
      <c r="P4" s="197"/>
      <c r="Q4" s="258"/>
      <c r="R4" s="30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x14ac:dyDescent="0.3">
      <c r="A5" s="2"/>
      <c r="B5" s="2"/>
      <c r="C5" s="2"/>
      <c r="D5" s="2"/>
      <c r="E5" s="2"/>
      <c r="F5" s="2"/>
      <c r="G5" s="33" t="s">
        <v>48</v>
      </c>
      <c r="H5" s="261">
        <f>H37</f>
        <v>0</v>
      </c>
      <c r="I5" s="219"/>
      <c r="J5" s="243">
        <f>G39</f>
        <v>0</v>
      </c>
      <c r="K5" s="201"/>
      <c r="L5" s="34">
        <f>H5+J5</f>
        <v>0</v>
      </c>
      <c r="M5" s="32"/>
      <c r="N5" s="257"/>
      <c r="O5" s="197"/>
      <c r="P5" s="197"/>
      <c r="Q5" s="258"/>
      <c r="R5" s="29"/>
      <c r="S5" s="244" t="s">
        <v>49</v>
      </c>
      <c r="T5" s="245"/>
      <c r="U5" s="245"/>
      <c r="V5" s="245"/>
      <c r="W5" s="245"/>
      <c r="X5" s="246"/>
      <c r="Y5" s="30"/>
      <c r="Z5" s="2"/>
      <c r="AA5" s="2"/>
      <c r="AB5" s="2"/>
      <c r="AC5" s="2"/>
      <c r="AD5" s="2"/>
    </row>
    <row r="6" spans="1:30" ht="15.75" customHeight="1" x14ac:dyDescent="0.25">
      <c r="A6" s="2"/>
      <c r="B6" s="2"/>
      <c r="C6" s="2"/>
      <c r="D6" s="35"/>
      <c r="E6" s="35"/>
      <c r="F6" s="2"/>
      <c r="G6" s="35"/>
      <c r="H6" s="2"/>
      <c r="I6" s="36"/>
      <c r="J6" s="37"/>
      <c r="K6" s="37"/>
      <c r="L6" s="37"/>
      <c r="M6" s="38"/>
      <c r="N6" s="248">
        <v>2026</v>
      </c>
      <c r="O6" s="218"/>
      <c r="P6" s="218"/>
      <c r="Q6" s="249"/>
      <c r="R6" s="30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x14ac:dyDescent="0.3">
      <c r="A7" s="2"/>
      <c r="B7" s="2"/>
      <c r="C7" s="2"/>
      <c r="D7" s="2"/>
      <c r="E7" s="2"/>
      <c r="F7" s="2"/>
      <c r="G7" s="2"/>
      <c r="H7" s="39" t="s">
        <v>50</v>
      </c>
      <c r="I7" s="39" t="s">
        <v>51</v>
      </c>
      <c r="J7" s="7" t="s">
        <v>19</v>
      </c>
      <c r="K7" s="7" t="s">
        <v>52</v>
      </c>
      <c r="L7" s="7" t="s">
        <v>14</v>
      </c>
      <c r="M7" s="40"/>
      <c r="N7" s="250" t="s">
        <v>53</v>
      </c>
      <c r="O7" s="224"/>
      <c r="P7" s="227"/>
      <c r="Q7" s="41">
        <v>46327</v>
      </c>
      <c r="R7" s="30"/>
      <c r="S7" s="251" t="s">
        <v>54</v>
      </c>
      <c r="T7" s="219"/>
      <c r="U7" s="252" t="s">
        <v>55</v>
      </c>
      <c r="V7" s="219"/>
      <c r="W7" s="253" t="s">
        <v>56</v>
      </c>
      <c r="X7" s="219"/>
      <c r="Y7" s="2"/>
      <c r="Z7" s="2"/>
      <c r="AA7" s="2"/>
      <c r="AB7" s="2"/>
      <c r="AC7" s="2"/>
      <c r="AD7" s="2"/>
    </row>
    <row r="8" spans="1:30" x14ac:dyDescent="0.3">
      <c r="A8" s="2"/>
      <c r="B8" s="2"/>
      <c r="C8" s="2"/>
      <c r="D8" s="2"/>
      <c r="E8" s="2"/>
      <c r="F8" s="2"/>
      <c r="G8" s="42" t="s">
        <v>55</v>
      </c>
      <c r="H8" s="43">
        <f>M40</f>
        <v>0</v>
      </c>
      <c r="I8" s="44">
        <f>O120</f>
        <v>0</v>
      </c>
      <c r="J8" s="45">
        <f>H52</f>
        <v>0</v>
      </c>
      <c r="K8" s="45">
        <f>H53</f>
        <v>0</v>
      </c>
      <c r="L8" s="46">
        <f>SUM(H8:K8)</f>
        <v>0</v>
      </c>
      <c r="M8" s="40"/>
      <c r="N8" s="250" t="s">
        <v>57</v>
      </c>
      <c r="O8" s="224"/>
      <c r="P8" s="227"/>
      <c r="Q8" s="41">
        <v>46356</v>
      </c>
      <c r="R8" s="30"/>
      <c r="S8" s="247">
        <f>L5</f>
        <v>0</v>
      </c>
      <c r="T8" s="142"/>
      <c r="U8" s="247">
        <f>L8</f>
        <v>0</v>
      </c>
      <c r="V8" s="142"/>
      <c r="W8" s="247">
        <f>S8-U8</f>
        <v>0</v>
      </c>
      <c r="X8" s="142"/>
      <c r="Y8" s="2"/>
      <c r="Z8" s="2"/>
      <c r="AA8" s="2"/>
      <c r="AB8" s="2"/>
      <c r="AC8" s="2"/>
      <c r="AD8" s="2"/>
    </row>
    <row r="9" spans="1:30" ht="15.75" customHeight="1" x14ac:dyDescent="0.25">
      <c r="A9" s="2"/>
      <c r="B9" s="2"/>
      <c r="C9" s="2"/>
      <c r="D9" s="47"/>
      <c r="E9" s="47"/>
      <c r="F9" s="2"/>
      <c r="G9" s="2"/>
      <c r="H9" s="35"/>
      <c r="I9" s="35"/>
      <c r="J9" s="48"/>
      <c r="K9" s="48"/>
      <c r="L9" s="48"/>
      <c r="M9" s="49"/>
      <c r="N9" s="49"/>
      <c r="O9" s="49"/>
      <c r="P9" s="49"/>
      <c r="Q9" s="49"/>
      <c r="R9" s="49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15.75" customHeight="1" x14ac:dyDescent="0.25">
      <c r="A10" s="2"/>
      <c r="B10" s="2"/>
      <c r="C10" s="2"/>
      <c r="D10" s="35"/>
      <c r="E10" s="35"/>
      <c r="F10" s="2"/>
      <c r="G10" s="2"/>
      <c r="H10" s="2"/>
      <c r="I10" s="2"/>
      <c r="J10" s="49"/>
      <c r="K10" s="49"/>
      <c r="L10" s="49"/>
      <c r="M10" s="49"/>
      <c r="N10" s="49"/>
      <c r="O10" s="49"/>
      <c r="P10" s="49"/>
      <c r="Q10" s="49"/>
      <c r="R10" s="49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15.75" customHeight="1" x14ac:dyDescent="0.25">
      <c r="A11" s="2"/>
      <c r="B11" s="2"/>
      <c r="C11" s="2"/>
      <c r="D11" s="28"/>
      <c r="E11" s="28"/>
      <c r="F11" s="28"/>
      <c r="G11" s="28"/>
      <c r="H11" s="28"/>
      <c r="I11" s="2"/>
      <c r="J11" s="50"/>
      <c r="K11" s="50"/>
      <c r="L11" s="50"/>
      <c r="M11" s="50"/>
      <c r="N11" s="50"/>
      <c r="O11" s="50"/>
      <c r="P11" s="50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15.75" customHeight="1" x14ac:dyDescent="0.35">
      <c r="A12" s="2"/>
      <c r="B12" s="2"/>
      <c r="C12" s="11"/>
      <c r="D12" s="215" t="s">
        <v>58</v>
      </c>
      <c r="E12" s="209"/>
      <c r="F12" s="209"/>
      <c r="G12" s="209"/>
      <c r="H12" s="129"/>
      <c r="I12" s="29"/>
      <c r="J12" s="216" t="s">
        <v>16</v>
      </c>
      <c r="K12" s="209"/>
      <c r="L12" s="209"/>
      <c r="M12" s="209"/>
      <c r="N12" s="209"/>
      <c r="O12" s="209"/>
      <c r="P12" s="129"/>
      <c r="Q12" s="30"/>
      <c r="R12" s="208" t="s">
        <v>17</v>
      </c>
      <c r="S12" s="209"/>
      <c r="T12" s="209"/>
      <c r="U12" s="209"/>
      <c r="V12" s="129"/>
      <c r="X12" s="217" t="s">
        <v>18</v>
      </c>
      <c r="Y12" s="218"/>
      <c r="Z12" s="218"/>
      <c r="AA12" s="219"/>
      <c r="AB12" s="2"/>
      <c r="AC12" s="2"/>
      <c r="AD12" s="2"/>
    </row>
    <row r="13" spans="1:30" ht="15.75" customHeight="1" x14ac:dyDescent="0.25">
      <c r="A13" s="2"/>
      <c r="B13" s="2"/>
      <c r="C13" s="11"/>
      <c r="D13" s="130"/>
      <c r="E13" s="200"/>
      <c r="F13" s="200"/>
      <c r="G13" s="200"/>
      <c r="H13" s="131"/>
      <c r="I13" s="29"/>
      <c r="J13" s="130"/>
      <c r="K13" s="200"/>
      <c r="L13" s="200"/>
      <c r="M13" s="200"/>
      <c r="N13" s="200"/>
      <c r="O13" s="200"/>
      <c r="P13" s="131"/>
      <c r="Q13" s="30"/>
      <c r="R13" s="130"/>
      <c r="S13" s="200"/>
      <c r="T13" s="200"/>
      <c r="U13" s="200"/>
      <c r="V13" s="131"/>
      <c r="W13" s="2"/>
      <c r="X13" s="220" t="s">
        <v>59</v>
      </c>
      <c r="Y13" s="221"/>
      <c r="Z13" s="222">
        <f>M40</f>
        <v>0</v>
      </c>
      <c r="AA13" s="198"/>
      <c r="AB13" s="2"/>
      <c r="AC13" s="2"/>
      <c r="AD13" s="2"/>
    </row>
    <row r="14" spans="1:30" ht="15.75" customHeight="1" x14ac:dyDescent="0.25">
      <c r="A14" s="2"/>
      <c r="B14" s="2"/>
      <c r="C14" s="11"/>
      <c r="D14" s="223" t="s">
        <v>62</v>
      </c>
      <c r="E14" s="224"/>
      <c r="F14" s="224"/>
      <c r="G14" s="225"/>
      <c r="H14" s="51" t="s">
        <v>61</v>
      </c>
      <c r="I14" s="29"/>
      <c r="J14" s="266" t="s">
        <v>62</v>
      </c>
      <c r="K14" s="119"/>
      <c r="L14" s="52" t="s">
        <v>63</v>
      </c>
      <c r="M14" s="52" t="s">
        <v>64</v>
      </c>
      <c r="N14" s="52" t="s">
        <v>65</v>
      </c>
      <c r="O14" s="52" t="s">
        <v>104</v>
      </c>
      <c r="P14" s="52" t="s">
        <v>67</v>
      </c>
      <c r="Q14" s="29"/>
      <c r="R14" s="210" t="s">
        <v>68</v>
      </c>
      <c r="S14" s="119"/>
      <c r="T14" s="210" t="s">
        <v>69</v>
      </c>
      <c r="U14" s="119"/>
      <c r="V14" s="53" t="s">
        <v>70</v>
      </c>
      <c r="W14" s="29"/>
      <c r="X14" s="262" t="s">
        <v>71</v>
      </c>
      <c r="Y14" s="263"/>
      <c r="Z14" s="264">
        <f>O120</f>
        <v>0</v>
      </c>
      <c r="AA14" s="265"/>
      <c r="AB14" s="30"/>
      <c r="AC14" s="2"/>
      <c r="AD14" s="2"/>
    </row>
    <row r="15" spans="1:30" ht="15.75" customHeight="1" x14ac:dyDescent="0.25">
      <c r="A15" s="2"/>
      <c r="B15" s="2"/>
      <c r="C15" s="11"/>
      <c r="D15" s="226"/>
      <c r="E15" s="224"/>
      <c r="F15" s="224"/>
      <c r="G15" s="227"/>
      <c r="H15" s="54">
        <v>0</v>
      </c>
      <c r="I15" s="29"/>
      <c r="J15" s="117"/>
      <c r="K15" s="4"/>
      <c r="L15" s="4"/>
      <c r="M15" s="4"/>
      <c r="N15" s="4"/>
      <c r="O15" s="4"/>
      <c r="P15" s="56">
        <v>0</v>
      </c>
      <c r="Q15" s="29"/>
      <c r="R15" s="231" t="s">
        <v>22</v>
      </c>
      <c r="S15" s="232"/>
      <c r="T15" s="233">
        <f t="shared" ref="T15:T37" si="0">SUMIF($K$59:$L$119,R15,$O$59:$P$119)</f>
        <v>0</v>
      </c>
      <c r="U15" s="232"/>
      <c r="V15" s="57" t="e">
        <f t="shared" ref="V15:V37" si="1">T15*1/$T$40</f>
        <v>#DIV/0!</v>
      </c>
      <c r="W15" s="30"/>
      <c r="X15" s="211" t="s">
        <v>73</v>
      </c>
      <c r="Y15" s="212"/>
      <c r="Z15" s="213">
        <f t="shared" ref="Z15:Z16" si="2">H52</f>
        <v>0</v>
      </c>
      <c r="AA15" s="214"/>
      <c r="AB15" s="2"/>
      <c r="AC15" s="2"/>
      <c r="AD15" s="2"/>
    </row>
    <row r="16" spans="1:30" ht="15.75" customHeight="1" x14ac:dyDescent="0.25">
      <c r="A16" s="2"/>
      <c r="B16" s="2"/>
      <c r="C16" s="2"/>
      <c r="D16" s="240"/>
      <c r="E16" s="224"/>
      <c r="F16" s="224"/>
      <c r="G16" s="241"/>
      <c r="H16" s="58">
        <v>0</v>
      </c>
      <c r="I16" s="11"/>
      <c r="J16" s="66"/>
      <c r="K16" s="59"/>
      <c r="L16" s="59"/>
      <c r="M16" s="59"/>
      <c r="N16" s="59"/>
      <c r="O16" s="59"/>
      <c r="P16" s="61">
        <v>0</v>
      </c>
      <c r="Q16" s="29"/>
      <c r="R16" s="234" t="s">
        <v>23</v>
      </c>
      <c r="S16" s="142"/>
      <c r="T16" s="235">
        <f t="shared" si="0"/>
        <v>0</v>
      </c>
      <c r="U16" s="236"/>
      <c r="V16" s="62" t="e">
        <f t="shared" si="1"/>
        <v>#DIV/0!</v>
      </c>
      <c r="W16" s="30"/>
      <c r="X16" s="237" t="s">
        <v>74</v>
      </c>
      <c r="Y16" s="238"/>
      <c r="Z16" s="228">
        <f t="shared" si="2"/>
        <v>0</v>
      </c>
      <c r="AA16" s="198"/>
      <c r="AB16" s="2"/>
      <c r="AC16" s="2"/>
      <c r="AD16" s="2"/>
    </row>
    <row r="17" spans="1:30" x14ac:dyDescent="0.3">
      <c r="A17" s="2"/>
      <c r="B17" s="2"/>
      <c r="C17" s="2"/>
      <c r="D17" s="226"/>
      <c r="E17" s="224"/>
      <c r="F17" s="224"/>
      <c r="G17" s="227"/>
      <c r="H17" s="54">
        <v>0</v>
      </c>
      <c r="I17" s="11"/>
      <c r="J17" s="63"/>
      <c r="K17" s="3"/>
      <c r="L17" s="3"/>
      <c r="M17" s="3"/>
      <c r="N17" s="3"/>
      <c r="O17" s="3"/>
      <c r="P17" s="64">
        <v>0</v>
      </c>
      <c r="Q17" s="29"/>
      <c r="R17" s="231" t="s">
        <v>24</v>
      </c>
      <c r="S17" s="232"/>
      <c r="T17" s="233">
        <f t="shared" si="0"/>
        <v>0</v>
      </c>
      <c r="U17" s="232"/>
      <c r="V17" s="57" t="e">
        <f t="shared" si="1"/>
        <v>#DIV/0!</v>
      </c>
      <c r="W17" s="30"/>
      <c r="X17" s="65" t="s">
        <v>14</v>
      </c>
      <c r="Y17" s="65"/>
      <c r="Z17" s="229">
        <f>SUM(Z13:Z16)</f>
        <v>0</v>
      </c>
      <c r="AA17" s="230"/>
      <c r="AB17" s="2"/>
      <c r="AC17" s="2"/>
      <c r="AD17" s="2"/>
    </row>
    <row r="18" spans="1:30" ht="15.75" customHeight="1" x14ac:dyDescent="0.25">
      <c r="A18" s="2"/>
      <c r="B18" s="2"/>
      <c r="C18" s="2"/>
      <c r="D18" s="240"/>
      <c r="E18" s="224"/>
      <c r="F18" s="224"/>
      <c r="G18" s="241"/>
      <c r="H18" s="58">
        <v>0</v>
      </c>
      <c r="I18" s="11"/>
      <c r="J18" s="66"/>
      <c r="K18" s="59"/>
      <c r="L18" s="59"/>
      <c r="M18" s="59"/>
      <c r="N18" s="59"/>
      <c r="O18" s="59"/>
      <c r="P18" s="61">
        <v>0</v>
      </c>
      <c r="Q18" s="29"/>
      <c r="R18" s="239" t="s">
        <v>25</v>
      </c>
      <c r="S18" s="236"/>
      <c r="T18" s="235">
        <f t="shared" si="0"/>
        <v>0</v>
      </c>
      <c r="U18" s="236"/>
      <c r="V18" s="62" t="e">
        <f t="shared" si="1"/>
        <v>#DIV/0!</v>
      </c>
      <c r="W18" s="30"/>
      <c r="X18" s="2"/>
      <c r="Y18" s="2"/>
      <c r="Z18" s="2"/>
      <c r="AA18" s="2"/>
      <c r="AB18" s="2"/>
      <c r="AC18" s="2"/>
      <c r="AD18" s="2"/>
    </row>
    <row r="19" spans="1:30" ht="15.75" customHeight="1" x14ac:dyDescent="0.25">
      <c r="A19" s="2"/>
      <c r="B19" s="2"/>
      <c r="C19" s="2"/>
      <c r="D19" s="226"/>
      <c r="E19" s="224"/>
      <c r="F19" s="224"/>
      <c r="G19" s="227"/>
      <c r="H19" s="54">
        <v>0</v>
      </c>
      <c r="I19" s="11"/>
      <c r="J19" s="63"/>
      <c r="K19" s="3"/>
      <c r="L19" s="3"/>
      <c r="M19" s="3"/>
      <c r="N19" s="3"/>
      <c r="O19" s="3"/>
      <c r="P19" s="64">
        <v>0</v>
      </c>
      <c r="Q19" s="29"/>
      <c r="R19" s="231" t="s">
        <v>26</v>
      </c>
      <c r="S19" s="232"/>
      <c r="T19" s="233">
        <f t="shared" si="0"/>
        <v>0</v>
      </c>
      <c r="U19" s="232"/>
      <c r="V19" s="57" t="e">
        <f t="shared" si="1"/>
        <v>#DIV/0!</v>
      </c>
      <c r="W19" s="30"/>
      <c r="X19" s="2"/>
      <c r="Y19" s="2"/>
      <c r="Z19" s="2"/>
      <c r="AA19" s="2"/>
      <c r="AB19" s="2"/>
      <c r="AC19" s="2"/>
      <c r="AD19" s="2"/>
    </row>
    <row r="20" spans="1:30" ht="15.75" customHeight="1" x14ac:dyDescent="0.25">
      <c r="A20" s="2"/>
      <c r="B20" s="2"/>
      <c r="C20" s="2"/>
      <c r="D20" s="240"/>
      <c r="E20" s="224"/>
      <c r="F20" s="224"/>
      <c r="G20" s="241"/>
      <c r="H20" s="58">
        <v>0</v>
      </c>
      <c r="I20" s="11"/>
      <c r="J20" s="66"/>
      <c r="K20" s="59"/>
      <c r="L20" s="59"/>
      <c r="M20" s="59"/>
      <c r="N20" s="59"/>
      <c r="O20" s="59"/>
      <c r="P20" s="61">
        <v>0</v>
      </c>
      <c r="Q20" s="29"/>
      <c r="R20" s="239" t="s">
        <v>27</v>
      </c>
      <c r="S20" s="236"/>
      <c r="T20" s="235">
        <f t="shared" si="0"/>
        <v>0</v>
      </c>
      <c r="U20" s="236"/>
      <c r="V20" s="62" t="e">
        <f t="shared" si="1"/>
        <v>#DIV/0!</v>
      </c>
      <c r="W20" s="30"/>
      <c r="X20" s="2"/>
      <c r="Y20" s="2"/>
      <c r="Z20" s="2"/>
      <c r="AA20" s="2"/>
      <c r="AB20" s="2"/>
      <c r="AC20" s="2"/>
      <c r="AD20" s="2"/>
    </row>
    <row r="21" spans="1:30" ht="15.75" customHeight="1" x14ac:dyDescent="0.25">
      <c r="A21" s="2"/>
      <c r="B21" s="2"/>
      <c r="C21" s="2"/>
      <c r="D21" s="226"/>
      <c r="E21" s="224"/>
      <c r="F21" s="224"/>
      <c r="G21" s="227"/>
      <c r="H21" s="54">
        <v>0</v>
      </c>
      <c r="I21" s="11"/>
      <c r="J21" s="63"/>
      <c r="K21" s="3"/>
      <c r="L21" s="3"/>
      <c r="M21" s="3"/>
      <c r="N21" s="3"/>
      <c r="O21" s="3"/>
      <c r="P21" s="64">
        <v>0</v>
      </c>
      <c r="Q21" s="29"/>
      <c r="R21" s="231" t="s">
        <v>28</v>
      </c>
      <c r="S21" s="232"/>
      <c r="T21" s="233">
        <f t="shared" si="0"/>
        <v>0</v>
      </c>
      <c r="U21" s="232"/>
      <c r="V21" s="57" t="e">
        <f t="shared" si="1"/>
        <v>#DIV/0!</v>
      </c>
      <c r="W21" s="30"/>
      <c r="X21" s="2"/>
      <c r="Y21" s="2"/>
      <c r="Z21" s="2"/>
      <c r="AA21" s="2"/>
      <c r="AB21" s="2"/>
      <c r="AC21" s="2"/>
      <c r="AD21" s="2"/>
    </row>
    <row r="22" spans="1:30" ht="15.75" customHeight="1" x14ac:dyDescent="0.25">
      <c r="A22" s="2"/>
      <c r="B22" s="2"/>
      <c r="C22" s="2"/>
      <c r="D22" s="28"/>
      <c r="E22" s="28"/>
      <c r="F22" s="28"/>
      <c r="G22" s="28"/>
      <c r="H22" s="28"/>
      <c r="I22" s="11"/>
      <c r="J22" s="66"/>
      <c r="K22" s="59"/>
      <c r="L22" s="59"/>
      <c r="M22" s="59"/>
      <c r="N22" s="59"/>
      <c r="O22" s="59"/>
      <c r="P22" s="61">
        <v>0</v>
      </c>
      <c r="Q22" s="29"/>
      <c r="R22" s="239" t="s">
        <v>29</v>
      </c>
      <c r="S22" s="236"/>
      <c r="T22" s="235">
        <f t="shared" si="0"/>
        <v>0</v>
      </c>
      <c r="U22" s="236"/>
      <c r="V22" s="62" t="e">
        <f t="shared" si="1"/>
        <v>#DIV/0!</v>
      </c>
      <c r="W22" s="30"/>
      <c r="X22" s="2"/>
      <c r="Y22" s="2"/>
      <c r="Z22" s="2"/>
      <c r="AA22" s="2"/>
      <c r="AB22" s="2"/>
      <c r="AC22" s="2"/>
      <c r="AD22" s="2"/>
    </row>
    <row r="23" spans="1:30" ht="15.75" customHeight="1" x14ac:dyDescent="0.25">
      <c r="A23" s="2"/>
      <c r="B23" s="2"/>
      <c r="C23" s="11"/>
      <c r="D23" s="242" t="s">
        <v>15</v>
      </c>
      <c r="E23" s="209"/>
      <c r="F23" s="209"/>
      <c r="G23" s="209"/>
      <c r="H23" s="129"/>
      <c r="I23" s="29"/>
      <c r="J23" s="63"/>
      <c r="K23" s="3"/>
      <c r="L23" s="3"/>
      <c r="M23" s="3"/>
      <c r="N23" s="3"/>
      <c r="O23" s="3"/>
      <c r="P23" s="64">
        <v>0</v>
      </c>
      <c r="Q23" s="29"/>
      <c r="R23" s="231" t="s">
        <v>30</v>
      </c>
      <c r="S23" s="232"/>
      <c r="T23" s="233">
        <f t="shared" si="0"/>
        <v>0</v>
      </c>
      <c r="U23" s="232"/>
      <c r="V23" s="57" t="e">
        <f t="shared" si="1"/>
        <v>#DIV/0!</v>
      </c>
      <c r="W23" s="30"/>
      <c r="X23" s="2"/>
      <c r="Y23" s="2"/>
      <c r="Z23" s="2"/>
      <c r="AA23" s="2"/>
      <c r="AB23" s="2"/>
      <c r="AC23" s="2"/>
      <c r="AD23" s="2"/>
    </row>
    <row r="24" spans="1:30" ht="15.75" customHeight="1" x14ac:dyDescent="0.25">
      <c r="A24" s="2"/>
      <c r="B24" s="2"/>
      <c r="C24" s="11"/>
      <c r="D24" s="130"/>
      <c r="E24" s="200"/>
      <c r="F24" s="200"/>
      <c r="G24" s="200"/>
      <c r="H24" s="131"/>
      <c r="I24" s="29"/>
      <c r="J24" s="66"/>
      <c r="K24" s="59"/>
      <c r="L24" s="59"/>
      <c r="M24" s="59"/>
      <c r="N24" s="59"/>
      <c r="O24" s="59"/>
      <c r="P24" s="61">
        <v>0</v>
      </c>
      <c r="Q24" s="29"/>
      <c r="R24" s="239" t="s">
        <v>31</v>
      </c>
      <c r="S24" s="236"/>
      <c r="T24" s="235">
        <f t="shared" si="0"/>
        <v>0</v>
      </c>
      <c r="U24" s="236"/>
      <c r="V24" s="62" t="e">
        <f t="shared" si="1"/>
        <v>#DIV/0!</v>
      </c>
      <c r="W24" s="30"/>
      <c r="X24" s="67"/>
      <c r="Y24" s="67"/>
      <c r="Z24" s="67"/>
      <c r="AA24" s="67"/>
      <c r="AB24" s="2"/>
      <c r="AC24" s="2"/>
      <c r="AD24" s="2"/>
    </row>
    <row r="25" spans="1:30" ht="15.75" customHeight="1" x14ac:dyDescent="0.25">
      <c r="A25" s="2"/>
      <c r="B25" s="2"/>
      <c r="C25" s="11"/>
      <c r="D25" s="275" t="s">
        <v>62</v>
      </c>
      <c r="E25" s="224"/>
      <c r="F25" s="119"/>
      <c r="G25" s="68" t="s">
        <v>75</v>
      </c>
      <c r="H25" s="69" t="s">
        <v>76</v>
      </c>
      <c r="I25" s="29"/>
      <c r="J25" s="63"/>
      <c r="K25" s="3"/>
      <c r="L25" s="3"/>
      <c r="M25" s="3"/>
      <c r="N25" s="3"/>
      <c r="O25" s="3"/>
      <c r="P25" s="64">
        <v>0</v>
      </c>
      <c r="Q25" s="29"/>
      <c r="R25" s="231" t="s">
        <v>32</v>
      </c>
      <c r="S25" s="232"/>
      <c r="T25" s="233">
        <f t="shared" si="0"/>
        <v>0</v>
      </c>
      <c r="U25" s="232"/>
      <c r="V25" s="57" t="e">
        <f t="shared" si="1"/>
        <v>#DIV/0!</v>
      </c>
      <c r="W25" s="2"/>
      <c r="X25" s="2"/>
      <c r="Y25" s="2"/>
      <c r="Z25" s="2"/>
      <c r="AA25" s="2"/>
      <c r="AB25" s="2"/>
      <c r="AC25" s="2"/>
      <c r="AD25" s="2"/>
    </row>
    <row r="26" spans="1:30" ht="15.75" customHeight="1" x14ac:dyDescent="0.25">
      <c r="A26" s="2"/>
      <c r="B26" s="2"/>
      <c r="C26" s="11"/>
      <c r="D26" s="276"/>
      <c r="E26" s="277"/>
      <c r="F26" s="142"/>
      <c r="G26" s="70"/>
      <c r="H26" s="71"/>
      <c r="I26" s="29"/>
      <c r="J26" s="66"/>
      <c r="K26" s="59"/>
      <c r="L26" s="59"/>
      <c r="M26" s="59"/>
      <c r="N26" s="59"/>
      <c r="O26" s="59"/>
      <c r="P26" s="61">
        <v>0</v>
      </c>
      <c r="Q26" s="29"/>
      <c r="R26" s="239" t="s">
        <v>33</v>
      </c>
      <c r="S26" s="236"/>
      <c r="T26" s="235">
        <f t="shared" si="0"/>
        <v>0</v>
      </c>
      <c r="U26" s="236"/>
      <c r="V26" s="62" t="e">
        <f t="shared" si="1"/>
        <v>#DIV/0!</v>
      </c>
      <c r="W26" s="29"/>
      <c r="X26" s="278" t="s">
        <v>77</v>
      </c>
      <c r="Y26" s="224"/>
      <c r="Z26" s="224"/>
      <c r="AA26" s="119"/>
      <c r="AB26" s="30"/>
      <c r="AC26" s="2"/>
      <c r="AD26" s="2"/>
    </row>
    <row r="27" spans="1:30" x14ac:dyDescent="0.3">
      <c r="A27" s="2"/>
      <c r="B27" s="2"/>
      <c r="C27" s="11"/>
      <c r="D27" s="279"/>
      <c r="E27" s="245"/>
      <c r="F27" s="280"/>
      <c r="G27" s="72"/>
      <c r="H27" s="73"/>
      <c r="I27" s="29"/>
      <c r="J27" s="63"/>
      <c r="K27" s="3"/>
      <c r="L27" s="3"/>
      <c r="M27" s="3"/>
      <c r="N27" s="3"/>
      <c r="O27" s="3"/>
      <c r="P27" s="64">
        <v>0</v>
      </c>
      <c r="Q27" s="29"/>
      <c r="R27" s="231" t="s">
        <v>34</v>
      </c>
      <c r="S27" s="232"/>
      <c r="T27" s="233">
        <f t="shared" si="0"/>
        <v>0</v>
      </c>
      <c r="U27" s="232"/>
      <c r="V27" s="57" t="e">
        <f t="shared" si="1"/>
        <v>#DIV/0!</v>
      </c>
      <c r="W27" s="29"/>
      <c r="X27" s="270" t="s">
        <v>78</v>
      </c>
      <c r="Y27" s="119"/>
      <c r="Z27" s="74">
        <f>SUMIF(M59:N119,"Tarjeta de débito",O59:P119)+SUMIF(N15:N39,"Tarjeta de débito",M15:M39)</f>
        <v>0</v>
      </c>
      <c r="AA27" s="75" t="e">
        <f t="shared" ref="AA27:AA30" si="3">Z27*1/$U$8</f>
        <v>#DIV/0!</v>
      </c>
      <c r="AB27" s="30"/>
      <c r="AC27" s="2"/>
      <c r="AD27" s="2"/>
    </row>
    <row r="28" spans="1:30" x14ac:dyDescent="0.3">
      <c r="A28" s="2"/>
      <c r="B28" s="2"/>
      <c r="C28" s="11"/>
      <c r="D28" s="286"/>
      <c r="E28" s="245"/>
      <c r="F28" s="236"/>
      <c r="G28" s="76"/>
      <c r="H28" s="77"/>
      <c r="I28" s="29"/>
      <c r="J28" s="66"/>
      <c r="K28" s="59"/>
      <c r="L28" s="59"/>
      <c r="M28" s="59"/>
      <c r="N28" s="59"/>
      <c r="O28" s="59"/>
      <c r="P28" s="61">
        <v>0</v>
      </c>
      <c r="Q28" s="29"/>
      <c r="R28" s="78" t="s">
        <v>35</v>
      </c>
      <c r="S28" s="79"/>
      <c r="T28" s="235">
        <f t="shared" si="0"/>
        <v>0</v>
      </c>
      <c r="U28" s="236"/>
      <c r="V28" s="62" t="e">
        <f t="shared" si="1"/>
        <v>#DIV/0!</v>
      </c>
      <c r="W28" s="29"/>
      <c r="X28" s="281" t="s">
        <v>31</v>
      </c>
      <c r="Y28" s="119"/>
      <c r="Z28" s="80">
        <f>SUMIF(M59:N119,"Tarjeta de crédito",O59:P119)+SUMIF(N15:N39,"Tarjeta de crédito",M15:M39)</f>
        <v>0</v>
      </c>
      <c r="AA28" s="75" t="e">
        <f t="shared" si="3"/>
        <v>#DIV/0!</v>
      </c>
      <c r="AB28" s="30"/>
      <c r="AC28" s="2"/>
      <c r="AD28" s="2"/>
    </row>
    <row r="29" spans="1:30" x14ac:dyDescent="0.3">
      <c r="A29" s="2"/>
      <c r="B29" s="2"/>
      <c r="C29" s="11"/>
      <c r="D29" s="279"/>
      <c r="E29" s="245"/>
      <c r="F29" s="280"/>
      <c r="G29" s="72"/>
      <c r="H29" s="73"/>
      <c r="I29" s="29"/>
      <c r="J29" s="63"/>
      <c r="K29" s="3"/>
      <c r="L29" s="3"/>
      <c r="M29" s="3"/>
      <c r="N29" s="3"/>
      <c r="O29" s="3"/>
      <c r="P29" s="64">
        <v>0</v>
      </c>
      <c r="Q29" s="29"/>
      <c r="R29" s="231" t="s">
        <v>79</v>
      </c>
      <c r="S29" s="232"/>
      <c r="T29" s="233">
        <f t="shared" si="0"/>
        <v>0</v>
      </c>
      <c r="U29" s="232"/>
      <c r="V29" s="57" t="e">
        <f t="shared" si="1"/>
        <v>#DIV/0!</v>
      </c>
      <c r="W29" s="29"/>
      <c r="X29" s="282" t="s">
        <v>80</v>
      </c>
      <c r="Y29" s="119"/>
      <c r="Z29" s="80">
        <f>SUMIF(M59:N119,"Efectivo",O59:P119)+SUMIF(N15:N39,"Efectivo",M15:M39)</f>
        <v>0</v>
      </c>
      <c r="AA29" s="75" t="e">
        <f t="shared" si="3"/>
        <v>#DIV/0!</v>
      </c>
      <c r="AB29" s="30"/>
      <c r="AC29" s="2"/>
      <c r="AD29" s="2"/>
    </row>
    <row r="30" spans="1:30" x14ac:dyDescent="0.3">
      <c r="A30" s="2"/>
      <c r="B30" s="2"/>
      <c r="C30" s="11"/>
      <c r="D30" s="286"/>
      <c r="E30" s="245"/>
      <c r="F30" s="236"/>
      <c r="G30" s="76"/>
      <c r="H30" s="77"/>
      <c r="I30" s="29"/>
      <c r="J30" s="66"/>
      <c r="K30" s="59"/>
      <c r="L30" s="59"/>
      <c r="M30" s="59"/>
      <c r="N30" s="59"/>
      <c r="O30" s="59"/>
      <c r="P30" s="61">
        <v>0</v>
      </c>
      <c r="Q30" s="29"/>
      <c r="R30" s="78" t="s">
        <v>37</v>
      </c>
      <c r="S30" s="79"/>
      <c r="T30" s="235">
        <f t="shared" si="0"/>
        <v>0</v>
      </c>
      <c r="U30" s="236"/>
      <c r="V30" s="62" t="e">
        <f t="shared" si="1"/>
        <v>#DIV/0!</v>
      </c>
      <c r="W30" s="29"/>
      <c r="X30" s="283" t="s">
        <v>72</v>
      </c>
      <c r="Y30" s="119"/>
      <c r="Z30" s="74">
        <f>SUMIF(M59:N119,"Transferencia",O59:P119)+SUMIF(N15:N39,"Transferencia",M15:M39)</f>
        <v>0</v>
      </c>
      <c r="AA30" s="75" t="e">
        <f t="shared" si="3"/>
        <v>#DIV/0!</v>
      </c>
      <c r="AB30" s="30"/>
      <c r="AC30" s="2"/>
      <c r="AD30" s="2"/>
    </row>
    <row r="31" spans="1:30" ht="15.75" customHeight="1" x14ac:dyDescent="0.25">
      <c r="A31" s="2"/>
      <c r="B31" s="2"/>
      <c r="C31" s="11"/>
      <c r="D31" s="279"/>
      <c r="E31" s="245"/>
      <c r="F31" s="280"/>
      <c r="G31" s="72"/>
      <c r="H31" s="73"/>
      <c r="I31" s="29"/>
      <c r="J31" s="63"/>
      <c r="K31" s="3"/>
      <c r="L31" s="3"/>
      <c r="M31" s="3"/>
      <c r="N31" s="3"/>
      <c r="O31" s="3"/>
      <c r="P31" s="64">
        <v>0</v>
      </c>
      <c r="Q31" s="29"/>
      <c r="R31" s="231" t="s">
        <v>38</v>
      </c>
      <c r="S31" s="232"/>
      <c r="T31" s="233">
        <f t="shared" si="0"/>
        <v>0</v>
      </c>
      <c r="U31" s="232"/>
      <c r="V31" s="57" t="e">
        <f t="shared" si="1"/>
        <v>#DIV/0!</v>
      </c>
      <c r="W31" s="2"/>
      <c r="X31" s="28"/>
      <c r="Y31" s="28"/>
      <c r="Z31" s="28"/>
      <c r="AA31" s="28"/>
      <c r="AB31" s="2"/>
      <c r="AC31" s="2"/>
      <c r="AD31" s="2"/>
    </row>
    <row r="32" spans="1:30" ht="15.75" customHeight="1" x14ac:dyDescent="0.25">
      <c r="A32" s="2"/>
      <c r="B32" s="2"/>
      <c r="C32" s="11"/>
      <c r="D32" s="286"/>
      <c r="E32" s="245"/>
      <c r="F32" s="236"/>
      <c r="G32" s="76"/>
      <c r="H32" s="77"/>
      <c r="I32" s="29"/>
      <c r="J32" s="81"/>
      <c r="K32" s="82"/>
      <c r="L32" s="82"/>
      <c r="M32" s="82"/>
      <c r="N32" s="82"/>
      <c r="O32" s="82"/>
      <c r="P32" s="83">
        <v>0</v>
      </c>
      <c r="Q32" s="29"/>
      <c r="R32" s="78" t="s">
        <v>39</v>
      </c>
      <c r="S32" s="79"/>
      <c r="T32" s="235">
        <f t="shared" si="0"/>
        <v>0</v>
      </c>
      <c r="U32" s="236"/>
      <c r="V32" s="62" t="e">
        <f t="shared" si="1"/>
        <v>#DIV/0!</v>
      </c>
      <c r="W32" s="29"/>
      <c r="X32" s="284" t="s">
        <v>81</v>
      </c>
      <c r="Y32" s="209"/>
      <c r="Z32" s="209"/>
      <c r="AA32" s="129"/>
      <c r="AB32" s="30"/>
      <c r="AC32" s="2"/>
      <c r="AD32" s="2"/>
    </row>
    <row r="33" spans="1:30" ht="15.75" customHeight="1" x14ac:dyDescent="0.25">
      <c r="A33" s="2"/>
      <c r="B33" s="2"/>
      <c r="C33" s="11"/>
      <c r="D33" s="279"/>
      <c r="E33" s="245"/>
      <c r="F33" s="280"/>
      <c r="G33" s="72"/>
      <c r="H33" s="73"/>
      <c r="I33" s="29"/>
      <c r="J33" s="84"/>
      <c r="K33" s="85"/>
      <c r="L33" s="85"/>
      <c r="M33" s="85"/>
      <c r="N33" s="85"/>
      <c r="O33" s="85"/>
      <c r="P33" s="86">
        <v>0</v>
      </c>
      <c r="Q33" s="29"/>
      <c r="R33" s="231" t="s">
        <v>40</v>
      </c>
      <c r="S33" s="232"/>
      <c r="T33" s="233">
        <f t="shared" si="0"/>
        <v>0</v>
      </c>
      <c r="U33" s="232"/>
      <c r="V33" s="57" t="e">
        <f t="shared" si="1"/>
        <v>#DIV/0!</v>
      </c>
      <c r="W33" s="29"/>
      <c r="X33" s="130"/>
      <c r="Y33" s="200"/>
      <c r="Z33" s="200"/>
      <c r="AA33" s="131"/>
      <c r="AB33" s="30"/>
      <c r="AC33" s="2"/>
      <c r="AD33" s="2"/>
    </row>
    <row r="34" spans="1:30" x14ac:dyDescent="0.3">
      <c r="A34" s="2"/>
      <c r="B34" s="2"/>
      <c r="C34" s="11"/>
      <c r="D34" s="287"/>
      <c r="E34" s="245"/>
      <c r="F34" s="236"/>
      <c r="G34" s="87"/>
      <c r="H34" s="88"/>
      <c r="I34" s="29"/>
      <c r="J34" s="81"/>
      <c r="K34" s="82"/>
      <c r="L34" s="82"/>
      <c r="M34" s="82"/>
      <c r="N34" s="82"/>
      <c r="O34" s="82"/>
      <c r="P34" s="83">
        <v>0</v>
      </c>
      <c r="Q34" s="29"/>
      <c r="R34" s="78" t="s">
        <v>41</v>
      </c>
      <c r="S34" s="79"/>
      <c r="T34" s="235">
        <f t="shared" si="0"/>
        <v>0</v>
      </c>
      <c r="U34" s="236"/>
      <c r="V34" s="62" t="e">
        <f t="shared" si="1"/>
        <v>#DIV/0!</v>
      </c>
      <c r="W34" s="29"/>
      <c r="X34" s="285" t="s">
        <v>82</v>
      </c>
      <c r="Y34" s="224"/>
      <c r="Z34" s="224"/>
      <c r="AA34" s="119"/>
      <c r="AB34" s="30"/>
      <c r="AC34" s="2"/>
      <c r="AD34" s="2"/>
    </row>
    <row r="35" spans="1:30" ht="15.75" customHeight="1" x14ac:dyDescent="0.25">
      <c r="A35" s="2"/>
      <c r="B35" s="2"/>
      <c r="C35" s="11"/>
      <c r="D35" s="304"/>
      <c r="E35" s="194"/>
      <c r="F35" s="305"/>
      <c r="G35" s="89"/>
      <c r="H35" s="90"/>
      <c r="I35" s="29"/>
      <c r="J35" s="84"/>
      <c r="K35" s="85"/>
      <c r="L35" s="85"/>
      <c r="M35" s="85"/>
      <c r="N35" s="85"/>
      <c r="O35" s="85"/>
      <c r="P35" s="86">
        <v>0</v>
      </c>
      <c r="Q35" s="29"/>
      <c r="R35" s="231" t="s">
        <v>42</v>
      </c>
      <c r="S35" s="232"/>
      <c r="T35" s="233">
        <f t="shared" si="0"/>
        <v>0</v>
      </c>
      <c r="U35" s="232"/>
      <c r="V35" s="57" t="e">
        <f t="shared" si="1"/>
        <v>#DIV/0!</v>
      </c>
      <c r="W35" s="29"/>
      <c r="X35" s="294" t="s">
        <v>83</v>
      </c>
      <c r="Y35" s="295"/>
      <c r="Z35" s="296">
        <f>W8</f>
        <v>0</v>
      </c>
      <c r="AA35" s="258"/>
      <c r="AB35" s="30"/>
      <c r="AC35" s="2"/>
      <c r="AD35" s="2"/>
    </row>
    <row r="36" spans="1:30" x14ac:dyDescent="0.3">
      <c r="A36" s="2"/>
      <c r="B36" s="2"/>
      <c r="C36" s="11"/>
      <c r="D36" s="306" t="s">
        <v>84</v>
      </c>
      <c r="E36" s="129"/>
      <c r="F36" s="307" t="s">
        <v>85</v>
      </c>
      <c r="G36" s="308"/>
      <c r="H36" s="91">
        <f>SUM(G26:G35)</f>
        <v>0</v>
      </c>
      <c r="I36" s="29"/>
      <c r="J36" s="81"/>
      <c r="K36" s="82"/>
      <c r="L36" s="82"/>
      <c r="M36" s="82"/>
      <c r="N36" s="82"/>
      <c r="O36" s="82"/>
      <c r="P36" s="83">
        <v>0</v>
      </c>
      <c r="Q36" s="29"/>
      <c r="R36" s="78" t="s">
        <v>43</v>
      </c>
      <c r="S36" s="79"/>
      <c r="T36" s="235">
        <f t="shared" si="0"/>
        <v>0</v>
      </c>
      <c r="U36" s="236"/>
      <c r="V36" s="62" t="e">
        <f t="shared" si="1"/>
        <v>#DIV/0!</v>
      </c>
      <c r="W36" s="29"/>
      <c r="X36" s="285" t="s">
        <v>86</v>
      </c>
      <c r="Y36" s="224"/>
      <c r="Z36" s="224"/>
      <c r="AA36" s="119"/>
      <c r="AB36" s="30"/>
      <c r="AC36" s="2"/>
      <c r="AD36" s="2"/>
    </row>
    <row r="37" spans="1:30" ht="13" x14ac:dyDescent="0.3">
      <c r="A37" s="2"/>
      <c r="B37" s="2"/>
      <c r="C37" s="11"/>
      <c r="D37" s="130"/>
      <c r="E37" s="131"/>
      <c r="F37" s="309" t="s">
        <v>87</v>
      </c>
      <c r="G37" s="310"/>
      <c r="H37" s="92">
        <f>SUM(H26:H35)</f>
        <v>0</v>
      </c>
      <c r="I37" s="29"/>
      <c r="J37" s="84"/>
      <c r="K37" s="85"/>
      <c r="L37" s="85"/>
      <c r="M37" s="85"/>
      <c r="N37" s="85"/>
      <c r="O37" s="85"/>
      <c r="P37" s="86">
        <v>0</v>
      </c>
      <c r="Q37" s="29"/>
      <c r="R37" s="231" t="s">
        <v>88</v>
      </c>
      <c r="S37" s="232"/>
      <c r="T37" s="233">
        <f t="shared" si="0"/>
        <v>0</v>
      </c>
      <c r="U37" s="232"/>
      <c r="V37" s="57" t="e">
        <f t="shared" si="1"/>
        <v>#DIV/0!</v>
      </c>
      <c r="W37" s="29"/>
      <c r="X37" s="297" t="s">
        <v>89</v>
      </c>
      <c r="Y37" s="298"/>
      <c r="Z37" s="299"/>
      <c r="AA37" s="300"/>
      <c r="AB37" s="30"/>
      <c r="AC37" s="2"/>
      <c r="AD37" s="2"/>
    </row>
    <row r="38" spans="1:30" ht="12.5" x14ac:dyDescent="0.25">
      <c r="A38" s="2"/>
      <c r="B38" s="2"/>
      <c r="C38" s="2"/>
      <c r="D38" s="36"/>
      <c r="E38" s="36"/>
      <c r="F38" s="36"/>
      <c r="G38" s="36"/>
      <c r="H38" s="36"/>
      <c r="I38" s="11"/>
      <c r="J38" s="81"/>
      <c r="K38" s="82"/>
      <c r="L38" s="82"/>
      <c r="M38" s="82"/>
      <c r="N38" s="82"/>
      <c r="O38" s="82"/>
      <c r="P38" s="83">
        <v>0</v>
      </c>
      <c r="Q38" s="29"/>
      <c r="R38" s="93"/>
      <c r="S38" s="2"/>
      <c r="T38" s="2"/>
      <c r="U38" s="2"/>
      <c r="V38" s="94"/>
      <c r="W38" s="29"/>
      <c r="X38" s="301" t="s">
        <v>80</v>
      </c>
      <c r="Y38" s="302"/>
      <c r="Z38" s="288"/>
      <c r="AA38" s="289"/>
      <c r="AB38" s="30"/>
      <c r="AC38" s="2"/>
      <c r="AD38" s="2"/>
    </row>
    <row r="39" spans="1:30" ht="13" x14ac:dyDescent="0.25">
      <c r="A39" s="2"/>
      <c r="B39" s="2"/>
      <c r="C39" s="11"/>
      <c r="D39" s="311" t="s">
        <v>90</v>
      </c>
      <c r="E39" s="209"/>
      <c r="F39" s="209"/>
      <c r="G39" s="312"/>
      <c r="H39" s="129"/>
      <c r="I39" s="29"/>
      <c r="J39" s="84"/>
      <c r="K39" s="85"/>
      <c r="L39" s="85"/>
      <c r="M39" s="85"/>
      <c r="N39" s="85"/>
      <c r="O39" s="85"/>
      <c r="P39" s="86">
        <v>0</v>
      </c>
      <c r="Q39" s="29"/>
      <c r="R39" s="271"/>
      <c r="S39" s="232"/>
      <c r="T39" s="274"/>
      <c r="U39" s="232"/>
      <c r="V39" s="95"/>
      <c r="W39" s="29"/>
      <c r="X39" s="303" t="s">
        <v>91</v>
      </c>
      <c r="Y39" s="129"/>
      <c r="Z39" s="290">
        <f>(Z38+Z37)-Z35</f>
        <v>0</v>
      </c>
      <c r="AA39" s="119"/>
      <c r="AB39" s="30"/>
      <c r="AC39" s="2"/>
      <c r="AD39" s="2"/>
    </row>
    <row r="40" spans="1:30" ht="13" x14ac:dyDescent="0.3">
      <c r="A40" s="2"/>
      <c r="B40" s="2"/>
      <c r="C40" s="11"/>
      <c r="D40" s="130"/>
      <c r="E40" s="200"/>
      <c r="F40" s="200"/>
      <c r="G40" s="130"/>
      <c r="H40" s="131"/>
      <c r="I40" s="29"/>
      <c r="J40" s="96" t="s">
        <v>14</v>
      </c>
      <c r="K40" s="97"/>
      <c r="L40" s="97">
        <f t="shared" ref="L40:M40" si="4">SUM(L15:L39)</f>
        <v>0</v>
      </c>
      <c r="M40" s="97">
        <f t="shared" si="4"/>
        <v>0</v>
      </c>
      <c r="N40" s="97"/>
      <c r="O40" s="97"/>
      <c r="P40" s="98"/>
      <c r="Q40" s="29"/>
      <c r="R40" s="272" t="s">
        <v>14</v>
      </c>
      <c r="S40" s="273"/>
      <c r="T40" s="291">
        <f>SUM(T15:U39)</f>
        <v>0</v>
      </c>
      <c r="U40" s="224"/>
      <c r="V40" s="119"/>
      <c r="W40" s="29"/>
      <c r="X40" s="130"/>
      <c r="Y40" s="131"/>
      <c r="Z40" s="290" t="str">
        <f>IF(Z39&lt;0,"Te falta dinero o anotar algo", "Te sobra dinero o anotar algo")</f>
        <v>Te sobra dinero o anotar algo</v>
      </c>
      <c r="AA40" s="119"/>
      <c r="AB40" s="30"/>
      <c r="AC40" s="2"/>
      <c r="AD40" s="2"/>
    </row>
    <row r="41" spans="1:30" ht="12.5" x14ac:dyDescent="0.25">
      <c r="A41" s="2"/>
      <c r="B41" s="2"/>
      <c r="C41" s="2"/>
      <c r="D41" s="35"/>
      <c r="E41" s="35"/>
      <c r="F41" s="35"/>
      <c r="G41" s="35"/>
      <c r="H41" s="35"/>
      <c r="I41" s="2"/>
      <c r="J41" s="99"/>
      <c r="K41" s="99"/>
      <c r="L41" s="99"/>
      <c r="M41" s="99"/>
      <c r="N41" s="99"/>
      <c r="O41" s="99"/>
      <c r="P41" s="99"/>
      <c r="Q41" s="28"/>
      <c r="R41" s="36"/>
      <c r="S41" s="36"/>
      <c r="T41" s="36"/>
      <c r="U41" s="36"/>
      <c r="V41" s="36"/>
      <c r="W41" s="2"/>
      <c r="X41" s="35"/>
      <c r="Y41" s="35"/>
      <c r="Z41" s="35"/>
      <c r="AA41" s="35"/>
      <c r="AB41" s="2"/>
      <c r="AC41" s="2"/>
      <c r="AD41" s="2"/>
    </row>
    <row r="42" spans="1:30" ht="13" x14ac:dyDescent="0.3">
      <c r="A42" s="2"/>
      <c r="B42" s="2"/>
      <c r="C42" s="2"/>
      <c r="D42" s="313" t="s">
        <v>92</v>
      </c>
      <c r="E42" s="209"/>
      <c r="F42" s="209"/>
      <c r="G42" s="209"/>
      <c r="H42" s="129"/>
      <c r="I42" s="11"/>
      <c r="J42" s="292" t="s">
        <v>93</v>
      </c>
      <c r="K42" s="224"/>
      <c r="L42" s="224"/>
      <c r="M42" s="224"/>
      <c r="N42" s="224"/>
      <c r="O42" s="224"/>
      <c r="P42" s="224"/>
      <c r="Q42" s="224"/>
      <c r="R42" s="224"/>
      <c r="S42" s="100">
        <f>M40+O120</f>
        <v>0</v>
      </c>
      <c r="T42" s="293"/>
      <c r="U42" s="224"/>
      <c r="V42" s="119"/>
      <c r="W42" s="30"/>
      <c r="X42" s="2"/>
      <c r="Y42" s="2"/>
      <c r="Z42" s="2"/>
      <c r="AA42" s="2"/>
      <c r="AB42" s="2"/>
      <c r="AC42" s="2"/>
      <c r="AD42" s="2"/>
    </row>
    <row r="43" spans="1:30" ht="12.5" x14ac:dyDescent="0.25">
      <c r="A43" s="2"/>
      <c r="B43" s="2"/>
      <c r="C43" s="2"/>
      <c r="D43" s="130"/>
      <c r="E43" s="200"/>
      <c r="F43" s="200"/>
      <c r="G43" s="200"/>
      <c r="H43" s="131"/>
      <c r="I43" s="2"/>
      <c r="J43" s="4"/>
      <c r="K43" s="4"/>
      <c r="L43" s="4"/>
      <c r="M43" s="4"/>
      <c r="N43" s="4"/>
      <c r="O43" s="4"/>
      <c r="P43" s="4"/>
      <c r="Q43" s="35"/>
      <c r="R43" s="35"/>
      <c r="S43" s="35"/>
      <c r="T43" s="35"/>
      <c r="U43" s="35"/>
      <c r="V43" s="35"/>
      <c r="W43" s="2"/>
      <c r="X43" s="2"/>
      <c r="Y43" s="2"/>
      <c r="Z43" s="2"/>
      <c r="AA43" s="2"/>
      <c r="AB43" s="2"/>
      <c r="AC43" s="2"/>
      <c r="AD43" s="2"/>
    </row>
    <row r="44" spans="1:30" ht="13" x14ac:dyDescent="0.25">
      <c r="A44" s="2"/>
      <c r="B44" s="2"/>
      <c r="C44" s="2"/>
      <c r="D44" s="324" t="s">
        <v>62</v>
      </c>
      <c r="E44" s="224"/>
      <c r="F44" s="325"/>
      <c r="G44" s="101" t="s">
        <v>94</v>
      </c>
      <c r="H44" s="102" t="s">
        <v>95</v>
      </c>
      <c r="I44" s="2"/>
      <c r="J44" s="3"/>
      <c r="K44" s="3"/>
      <c r="L44" s="3"/>
      <c r="M44" s="3"/>
      <c r="N44" s="3"/>
      <c r="O44" s="3"/>
      <c r="P44" s="3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2.5" x14ac:dyDescent="0.25">
      <c r="A45" s="2"/>
      <c r="B45" s="2"/>
      <c r="C45" s="11"/>
      <c r="D45" s="326"/>
      <c r="E45" s="327"/>
      <c r="F45" s="230"/>
      <c r="G45" s="103"/>
      <c r="H45" s="104"/>
      <c r="I45" s="30"/>
      <c r="J45" s="3"/>
      <c r="K45" s="3"/>
      <c r="L45" s="3"/>
      <c r="M45" s="3"/>
      <c r="N45" s="3"/>
      <c r="O45" s="3"/>
      <c r="P45" s="3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2.5" x14ac:dyDescent="0.25">
      <c r="A46" s="2"/>
      <c r="B46" s="2"/>
      <c r="C46" s="11"/>
      <c r="D46" s="328"/>
      <c r="E46" s="245"/>
      <c r="F46" s="329"/>
      <c r="G46" s="105"/>
      <c r="H46" s="106"/>
      <c r="I46" s="30"/>
      <c r="J46" s="3"/>
      <c r="K46" s="3"/>
      <c r="L46" s="3"/>
      <c r="M46" s="3"/>
      <c r="N46" s="3"/>
      <c r="O46" s="3"/>
      <c r="P46" s="3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2.5" x14ac:dyDescent="0.25">
      <c r="A47" s="2"/>
      <c r="B47" s="2"/>
      <c r="C47" s="11"/>
      <c r="D47" s="330"/>
      <c r="E47" s="245"/>
      <c r="F47" s="236"/>
      <c r="G47" s="2"/>
      <c r="H47" s="94"/>
      <c r="I47" s="30"/>
      <c r="J47" s="3"/>
      <c r="K47" s="3"/>
      <c r="L47" s="3"/>
      <c r="M47" s="3"/>
      <c r="N47" s="3"/>
      <c r="O47" s="3"/>
      <c r="P47" s="3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2.5" x14ac:dyDescent="0.25">
      <c r="A48" s="2"/>
      <c r="B48" s="2"/>
      <c r="C48" s="11"/>
      <c r="D48" s="328"/>
      <c r="E48" s="245"/>
      <c r="F48" s="329"/>
      <c r="G48" s="105"/>
      <c r="H48" s="106"/>
      <c r="I48" s="30"/>
      <c r="J48" s="3"/>
      <c r="K48" s="3"/>
      <c r="L48" s="3"/>
      <c r="M48" s="3"/>
      <c r="N48" s="3"/>
      <c r="O48" s="3"/>
      <c r="P48" s="3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2.5" x14ac:dyDescent="0.25">
      <c r="A49" s="2"/>
      <c r="B49" s="2"/>
      <c r="C49" s="11"/>
      <c r="D49" s="330"/>
      <c r="E49" s="245"/>
      <c r="F49" s="236"/>
      <c r="G49" s="2"/>
      <c r="H49" s="94"/>
      <c r="I49" s="30"/>
      <c r="J49" s="3"/>
      <c r="K49" s="3"/>
      <c r="L49" s="3"/>
      <c r="M49" s="3"/>
      <c r="N49" s="3"/>
      <c r="O49" s="3"/>
      <c r="P49" s="3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2.5" x14ac:dyDescent="0.25">
      <c r="A50" s="2"/>
      <c r="B50" s="2"/>
      <c r="C50" s="11"/>
      <c r="D50" s="328"/>
      <c r="E50" s="245"/>
      <c r="F50" s="329"/>
      <c r="G50" s="105"/>
      <c r="H50" s="106"/>
      <c r="I50" s="30"/>
      <c r="J50" s="3"/>
      <c r="K50" s="3"/>
      <c r="L50" s="3"/>
      <c r="M50" s="3"/>
      <c r="N50" s="3"/>
      <c r="O50" s="3"/>
      <c r="P50" s="3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2.5" x14ac:dyDescent="0.25">
      <c r="A51" s="2"/>
      <c r="B51" s="2"/>
      <c r="C51" s="11"/>
      <c r="D51" s="331"/>
      <c r="E51" s="218"/>
      <c r="F51" s="219"/>
      <c r="G51" s="47"/>
      <c r="H51" s="107"/>
      <c r="I51" s="30"/>
      <c r="J51" s="3"/>
      <c r="K51" s="3"/>
      <c r="L51" s="3"/>
      <c r="M51" s="3"/>
      <c r="N51" s="3"/>
      <c r="O51" s="3"/>
      <c r="P51" s="3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3" x14ac:dyDescent="0.3">
      <c r="A52" s="2"/>
      <c r="B52" s="2"/>
      <c r="C52" s="11"/>
      <c r="D52" s="332" t="s">
        <v>96</v>
      </c>
      <c r="E52" s="224"/>
      <c r="F52" s="224"/>
      <c r="G52" s="325"/>
      <c r="H52" s="108">
        <f>SUMIF(G45:G51, "Ahorro", H45:H51)</f>
        <v>0</v>
      </c>
      <c r="I52" s="30"/>
      <c r="J52" s="3"/>
      <c r="K52" s="3"/>
      <c r="L52" s="3"/>
      <c r="M52" s="3"/>
      <c r="N52" s="3"/>
      <c r="O52" s="3"/>
      <c r="P52" s="3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3" x14ac:dyDescent="0.3">
      <c r="A53" s="2"/>
      <c r="B53" s="2"/>
      <c r="C53" s="11"/>
      <c r="D53" s="332" t="s">
        <v>97</v>
      </c>
      <c r="E53" s="224"/>
      <c r="F53" s="224"/>
      <c r="G53" s="325"/>
      <c r="H53" s="108">
        <f>SUMIF(G45:G51, "Inversión", H45:H51)</f>
        <v>0</v>
      </c>
      <c r="I53" s="30"/>
      <c r="J53" s="3"/>
      <c r="K53" s="3"/>
      <c r="L53" s="3"/>
      <c r="M53" s="3"/>
      <c r="N53" s="3"/>
      <c r="O53" s="3"/>
      <c r="P53" s="3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2.5" x14ac:dyDescent="0.25">
      <c r="A54" s="2"/>
      <c r="B54" s="2"/>
      <c r="C54" s="2"/>
      <c r="D54" s="35"/>
      <c r="E54" s="35"/>
      <c r="F54" s="35"/>
      <c r="G54" s="35"/>
      <c r="H54" s="35"/>
      <c r="I54" s="2"/>
      <c r="J54" s="3"/>
      <c r="K54" s="3"/>
      <c r="L54" s="3"/>
      <c r="M54" s="3"/>
      <c r="N54" s="3"/>
      <c r="O54" s="3"/>
      <c r="P54" s="3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2.5" x14ac:dyDescent="0.25">
      <c r="A55" s="2"/>
      <c r="B55" s="2"/>
      <c r="C55" s="2"/>
      <c r="D55" s="28"/>
      <c r="E55" s="28"/>
      <c r="F55" s="28"/>
      <c r="G55" s="28"/>
      <c r="H55" s="28"/>
      <c r="I55" s="28"/>
      <c r="J55" s="5"/>
      <c r="K55" s="5"/>
      <c r="L55" s="5"/>
      <c r="M55" s="5"/>
      <c r="N55" s="5"/>
      <c r="O55" s="5"/>
      <c r="P55" s="5"/>
      <c r="Q55" s="28"/>
      <c r="R55" s="28"/>
      <c r="S55" s="28"/>
      <c r="T55" s="28"/>
      <c r="U55" s="28"/>
      <c r="V55" s="28"/>
      <c r="W55" s="2"/>
      <c r="X55" s="2"/>
      <c r="Y55" s="2"/>
      <c r="Z55" s="2"/>
      <c r="AA55" s="2"/>
      <c r="AB55" s="2"/>
      <c r="AC55" s="2"/>
      <c r="AD55" s="2"/>
    </row>
    <row r="56" spans="1:30" ht="12.5" x14ac:dyDescent="0.25">
      <c r="A56" s="2"/>
      <c r="B56" s="2"/>
      <c r="C56" s="11"/>
      <c r="D56" s="208" t="s">
        <v>98</v>
      </c>
      <c r="E56" s="209"/>
      <c r="F56" s="209"/>
      <c r="G56" s="209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9"/>
      <c r="S56" s="209"/>
      <c r="T56" s="209"/>
      <c r="U56" s="209"/>
      <c r="V56" s="129"/>
      <c r="W56" s="30"/>
      <c r="X56" s="2"/>
      <c r="Y56" s="2"/>
      <c r="Z56" s="2"/>
      <c r="AA56" s="2"/>
      <c r="AB56" s="2"/>
      <c r="AC56" s="2"/>
      <c r="AD56" s="2"/>
    </row>
    <row r="57" spans="1:30" ht="12.5" x14ac:dyDescent="0.25">
      <c r="A57" s="2"/>
      <c r="B57" s="2"/>
      <c r="C57" s="11"/>
      <c r="D57" s="333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277"/>
      <c r="P57" s="277"/>
      <c r="Q57" s="277"/>
      <c r="R57" s="277"/>
      <c r="S57" s="277"/>
      <c r="T57" s="277"/>
      <c r="U57" s="277"/>
      <c r="V57" s="334"/>
      <c r="W57" s="30"/>
      <c r="X57" s="2"/>
      <c r="Y57" s="2"/>
      <c r="Z57" s="2"/>
      <c r="AA57" s="2"/>
      <c r="AB57" s="2"/>
      <c r="AC57" s="2"/>
      <c r="AD57" s="2"/>
    </row>
    <row r="58" spans="1:30" ht="13" x14ac:dyDescent="0.3">
      <c r="A58" s="2"/>
      <c r="B58" s="2"/>
      <c r="C58" s="11"/>
      <c r="D58" s="335" t="s">
        <v>62</v>
      </c>
      <c r="E58" s="224"/>
      <c r="F58" s="224"/>
      <c r="G58" s="224"/>
      <c r="H58" s="224"/>
      <c r="I58" s="119"/>
      <c r="J58" s="109" t="s">
        <v>99</v>
      </c>
      <c r="K58" s="319" t="s">
        <v>68</v>
      </c>
      <c r="L58" s="119"/>
      <c r="M58" s="319" t="s">
        <v>100</v>
      </c>
      <c r="N58" s="119"/>
      <c r="O58" s="319" t="s">
        <v>95</v>
      </c>
      <c r="P58" s="119"/>
      <c r="Q58" s="319" t="s">
        <v>101</v>
      </c>
      <c r="R58" s="224"/>
      <c r="S58" s="224"/>
      <c r="T58" s="224"/>
      <c r="U58" s="224"/>
      <c r="V58" s="119"/>
      <c r="W58" s="30"/>
      <c r="X58" s="2"/>
      <c r="Y58" s="2"/>
      <c r="Z58" s="2"/>
      <c r="AA58" s="2"/>
      <c r="AB58" s="2"/>
      <c r="AC58" s="2"/>
      <c r="AD58" s="2"/>
    </row>
    <row r="59" spans="1:30" ht="12.5" x14ac:dyDescent="0.25">
      <c r="A59" s="2"/>
      <c r="B59" s="2"/>
      <c r="C59" s="11"/>
      <c r="D59" s="336"/>
      <c r="E59" s="277"/>
      <c r="F59" s="277"/>
      <c r="G59" s="277"/>
      <c r="H59" s="277"/>
      <c r="I59" s="142"/>
      <c r="J59" s="4"/>
      <c r="K59" s="314"/>
      <c r="L59" s="142"/>
      <c r="M59" s="314"/>
      <c r="N59" s="142"/>
      <c r="O59" s="315"/>
      <c r="P59" s="142"/>
      <c r="Q59" s="247"/>
      <c r="R59" s="277"/>
      <c r="S59" s="277"/>
      <c r="T59" s="277"/>
      <c r="U59" s="277"/>
      <c r="V59" s="334"/>
      <c r="W59" s="30"/>
      <c r="X59" s="2"/>
      <c r="Y59" s="2"/>
      <c r="Z59" s="2"/>
      <c r="AA59" s="2"/>
      <c r="AB59" s="2"/>
      <c r="AC59" s="2"/>
      <c r="AD59" s="2"/>
    </row>
    <row r="60" spans="1:30" ht="12.5" x14ac:dyDescent="0.25">
      <c r="A60" s="2"/>
      <c r="B60" s="2"/>
      <c r="C60" s="11"/>
      <c r="D60" s="337"/>
      <c r="E60" s="277"/>
      <c r="F60" s="277"/>
      <c r="G60" s="277"/>
      <c r="H60" s="277"/>
      <c r="I60" s="338"/>
      <c r="J60" s="111"/>
      <c r="K60" s="316"/>
      <c r="L60" s="232"/>
      <c r="M60" s="316"/>
      <c r="N60" s="232"/>
      <c r="O60" s="317"/>
      <c r="P60" s="232"/>
      <c r="Q60" s="274"/>
      <c r="R60" s="245"/>
      <c r="S60" s="245"/>
      <c r="T60" s="245"/>
      <c r="U60" s="245"/>
      <c r="V60" s="246"/>
      <c r="W60" s="30"/>
      <c r="X60" s="2"/>
      <c r="Y60" s="2"/>
      <c r="Z60" s="2"/>
      <c r="AA60" s="2"/>
      <c r="AB60" s="2"/>
      <c r="AC60" s="2"/>
      <c r="AD60" s="2"/>
    </row>
    <row r="61" spans="1:30" ht="12.5" x14ac:dyDescent="0.25">
      <c r="A61" s="2"/>
      <c r="B61" s="2"/>
      <c r="C61" s="11"/>
      <c r="D61" s="336"/>
      <c r="E61" s="277"/>
      <c r="F61" s="277"/>
      <c r="G61" s="277"/>
      <c r="H61" s="277"/>
      <c r="I61" s="142"/>
      <c r="J61" s="3"/>
      <c r="K61" s="314"/>
      <c r="L61" s="142"/>
      <c r="M61" s="314"/>
      <c r="N61" s="142"/>
      <c r="O61" s="320"/>
      <c r="P61" s="236"/>
      <c r="Q61" s="318"/>
      <c r="R61" s="245"/>
      <c r="S61" s="245"/>
      <c r="T61" s="245"/>
      <c r="U61" s="245"/>
      <c r="V61" s="246"/>
      <c r="W61" s="30"/>
      <c r="X61" s="2"/>
      <c r="Y61" s="2"/>
      <c r="Z61" s="2"/>
      <c r="AA61" s="2"/>
      <c r="AB61" s="2"/>
      <c r="AC61" s="2"/>
      <c r="AD61" s="2"/>
    </row>
    <row r="62" spans="1:30" ht="12.5" x14ac:dyDescent="0.25">
      <c r="A62" s="2"/>
      <c r="B62" s="2"/>
      <c r="C62" s="11"/>
      <c r="D62" s="337"/>
      <c r="E62" s="277"/>
      <c r="F62" s="277"/>
      <c r="G62" s="277"/>
      <c r="H62" s="277"/>
      <c r="I62" s="338"/>
      <c r="J62" s="111"/>
      <c r="K62" s="316"/>
      <c r="L62" s="232"/>
      <c r="M62" s="316"/>
      <c r="N62" s="232"/>
      <c r="O62" s="317"/>
      <c r="P62" s="232"/>
      <c r="Q62" s="274"/>
      <c r="R62" s="245"/>
      <c r="S62" s="245"/>
      <c r="T62" s="245"/>
      <c r="U62" s="245"/>
      <c r="V62" s="246"/>
      <c r="W62" s="30"/>
      <c r="X62" s="2"/>
      <c r="Y62" s="2"/>
      <c r="Z62" s="2"/>
      <c r="AA62" s="2"/>
      <c r="AB62" s="2"/>
      <c r="AC62" s="2"/>
      <c r="AD62" s="2"/>
    </row>
    <row r="63" spans="1:30" ht="12.5" x14ac:dyDescent="0.25">
      <c r="A63" s="2"/>
      <c r="B63" s="2"/>
      <c r="C63" s="11"/>
      <c r="D63" s="336"/>
      <c r="E63" s="277"/>
      <c r="F63" s="277"/>
      <c r="G63" s="277"/>
      <c r="H63" s="277"/>
      <c r="I63" s="142"/>
      <c r="J63" s="3"/>
      <c r="K63" s="314"/>
      <c r="L63" s="142"/>
      <c r="M63" s="314"/>
      <c r="N63" s="142"/>
      <c r="O63" s="320"/>
      <c r="P63" s="236"/>
      <c r="Q63" s="318"/>
      <c r="R63" s="245"/>
      <c r="S63" s="245"/>
      <c r="T63" s="245"/>
      <c r="U63" s="245"/>
      <c r="V63" s="246"/>
      <c r="W63" s="30"/>
      <c r="X63" s="2"/>
      <c r="Y63" s="2"/>
      <c r="Z63" s="2"/>
      <c r="AA63" s="2"/>
      <c r="AB63" s="2"/>
      <c r="AC63" s="2"/>
      <c r="AD63" s="2"/>
    </row>
    <row r="64" spans="1:30" ht="14" x14ac:dyDescent="0.3">
      <c r="A64" s="2"/>
      <c r="B64" s="2"/>
      <c r="C64" s="11"/>
      <c r="D64" s="337"/>
      <c r="E64" s="277"/>
      <c r="F64" s="277"/>
      <c r="G64" s="277"/>
      <c r="H64" s="277"/>
      <c r="I64" s="338"/>
      <c r="J64" s="111"/>
      <c r="K64" s="316"/>
      <c r="L64" s="232"/>
      <c r="M64" s="316"/>
      <c r="N64" s="232"/>
      <c r="O64" s="321"/>
      <c r="P64" s="232"/>
      <c r="Q64" s="274"/>
      <c r="R64" s="245"/>
      <c r="S64" s="245"/>
      <c r="T64" s="245"/>
      <c r="U64" s="245"/>
      <c r="V64" s="246"/>
      <c r="W64" s="30"/>
      <c r="X64" s="2"/>
      <c r="Y64" s="2"/>
      <c r="Z64" s="2"/>
      <c r="AA64" s="2"/>
      <c r="AB64" s="2"/>
      <c r="AC64" s="2"/>
      <c r="AD64" s="2"/>
    </row>
    <row r="65" spans="1:30" ht="12.5" x14ac:dyDescent="0.25">
      <c r="A65" s="2"/>
      <c r="B65" s="2"/>
      <c r="C65" s="11"/>
      <c r="D65" s="93"/>
      <c r="E65" s="2"/>
      <c r="F65" s="2"/>
      <c r="G65" s="2"/>
      <c r="H65" s="2"/>
      <c r="I65" s="2"/>
      <c r="J65" s="3"/>
      <c r="K65" s="314"/>
      <c r="L65" s="142"/>
      <c r="M65" s="314"/>
      <c r="N65" s="142"/>
      <c r="O65" s="320"/>
      <c r="P65" s="236"/>
      <c r="Q65" s="318"/>
      <c r="R65" s="245"/>
      <c r="S65" s="245"/>
      <c r="T65" s="245"/>
      <c r="U65" s="245"/>
      <c r="V65" s="246"/>
      <c r="W65" s="30"/>
      <c r="X65" s="2"/>
      <c r="Y65" s="2"/>
      <c r="Z65" s="2"/>
      <c r="AA65" s="2"/>
      <c r="AB65" s="2"/>
      <c r="AC65" s="2"/>
      <c r="AD65" s="2"/>
    </row>
    <row r="66" spans="1:30" ht="12.5" x14ac:dyDescent="0.25">
      <c r="A66" s="2"/>
      <c r="B66" s="2"/>
      <c r="C66" s="11"/>
      <c r="D66" s="337"/>
      <c r="E66" s="277"/>
      <c r="F66" s="277"/>
      <c r="G66" s="277"/>
      <c r="H66" s="277"/>
      <c r="I66" s="338"/>
      <c r="J66" s="111"/>
      <c r="K66" s="316"/>
      <c r="L66" s="232"/>
      <c r="M66" s="316"/>
      <c r="N66" s="232"/>
      <c r="O66" s="317"/>
      <c r="P66" s="232"/>
      <c r="Q66" s="274"/>
      <c r="R66" s="245"/>
      <c r="S66" s="245"/>
      <c r="T66" s="245"/>
      <c r="U66" s="245"/>
      <c r="V66" s="246"/>
      <c r="W66" s="30"/>
      <c r="X66" s="2"/>
      <c r="Y66" s="2"/>
      <c r="Z66" s="2"/>
      <c r="AA66" s="2"/>
      <c r="AB66" s="2"/>
      <c r="AC66" s="2"/>
      <c r="AD66" s="2"/>
    </row>
    <row r="67" spans="1:30" ht="12.5" x14ac:dyDescent="0.25">
      <c r="A67" s="2"/>
      <c r="B67" s="2"/>
      <c r="C67" s="11"/>
      <c r="D67" s="93"/>
      <c r="E67" s="2"/>
      <c r="F67" s="2"/>
      <c r="G67" s="2"/>
      <c r="H67" s="2"/>
      <c r="I67" s="2"/>
      <c r="J67" s="3"/>
      <c r="K67" s="314"/>
      <c r="L67" s="142"/>
      <c r="M67" s="314"/>
      <c r="N67" s="142"/>
      <c r="O67" s="320"/>
      <c r="P67" s="236"/>
      <c r="Q67" s="318"/>
      <c r="R67" s="245"/>
      <c r="S67" s="245"/>
      <c r="T67" s="245"/>
      <c r="U67" s="245"/>
      <c r="V67" s="246"/>
      <c r="W67" s="30"/>
      <c r="X67" s="2"/>
      <c r="Y67" s="2"/>
      <c r="Z67" s="2"/>
      <c r="AA67" s="2"/>
      <c r="AB67" s="2"/>
      <c r="AC67" s="2"/>
      <c r="AD67" s="2"/>
    </row>
    <row r="68" spans="1:30" ht="12.5" x14ac:dyDescent="0.25">
      <c r="A68" s="2"/>
      <c r="B68" s="2"/>
      <c r="C68" s="11"/>
      <c r="D68" s="337"/>
      <c r="E68" s="277"/>
      <c r="F68" s="277"/>
      <c r="G68" s="277"/>
      <c r="H68" s="277"/>
      <c r="I68" s="338"/>
      <c r="J68" s="111"/>
      <c r="K68" s="316"/>
      <c r="L68" s="232"/>
      <c r="M68" s="316"/>
      <c r="N68" s="232"/>
      <c r="O68" s="317"/>
      <c r="P68" s="232"/>
      <c r="Q68" s="274"/>
      <c r="R68" s="245"/>
      <c r="S68" s="245"/>
      <c r="T68" s="245"/>
      <c r="U68" s="245"/>
      <c r="V68" s="246"/>
      <c r="W68" s="30"/>
      <c r="X68" s="2"/>
      <c r="Y68" s="2"/>
      <c r="Z68" s="2"/>
      <c r="AA68" s="2"/>
      <c r="AB68" s="2"/>
      <c r="AC68" s="2"/>
      <c r="AD68" s="2"/>
    </row>
    <row r="69" spans="1:30" ht="12.5" x14ac:dyDescent="0.25">
      <c r="A69" s="2"/>
      <c r="B69" s="2"/>
      <c r="C69" s="11"/>
      <c r="D69" s="93"/>
      <c r="E69" s="2"/>
      <c r="F69" s="2"/>
      <c r="G69" s="2"/>
      <c r="H69" s="2"/>
      <c r="I69" s="2"/>
      <c r="J69" s="3"/>
      <c r="K69" s="314"/>
      <c r="L69" s="142"/>
      <c r="M69" s="314"/>
      <c r="N69" s="142"/>
      <c r="O69" s="320"/>
      <c r="P69" s="236"/>
      <c r="Q69" s="318"/>
      <c r="R69" s="245"/>
      <c r="S69" s="245"/>
      <c r="T69" s="245"/>
      <c r="U69" s="245"/>
      <c r="V69" s="246"/>
      <c r="W69" s="30"/>
      <c r="X69" s="2"/>
      <c r="Y69" s="2"/>
      <c r="Z69" s="2"/>
      <c r="AA69" s="2"/>
      <c r="AB69" s="2"/>
      <c r="AC69" s="2"/>
      <c r="AD69" s="2"/>
    </row>
    <row r="70" spans="1:30" ht="12.5" x14ac:dyDescent="0.25">
      <c r="A70" s="2"/>
      <c r="B70" s="2"/>
      <c r="C70" s="11"/>
      <c r="D70" s="337"/>
      <c r="E70" s="277"/>
      <c r="F70" s="277"/>
      <c r="G70" s="277"/>
      <c r="H70" s="277"/>
      <c r="I70" s="338"/>
      <c r="J70" s="111"/>
      <c r="K70" s="316"/>
      <c r="L70" s="232"/>
      <c r="M70" s="316"/>
      <c r="N70" s="232"/>
      <c r="O70" s="317"/>
      <c r="P70" s="232"/>
      <c r="Q70" s="274"/>
      <c r="R70" s="245"/>
      <c r="S70" s="245"/>
      <c r="T70" s="245"/>
      <c r="U70" s="245"/>
      <c r="V70" s="246"/>
      <c r="W70" s="30"/>
      <c r="X70" s="2"/>
      <c r="Y70" s="2"/>
      <c r="Z70" s="2"/>
      <c r="AA70" s="2"/>
      <c r="AB70" s="2"/>
      <c r="AC70" s="2"/>
      <c r="AD70" s="2"/>
    </row>
    <row r="71" spans="1:30" ht="12.5" x14ac:dyDescent="0.25">
      <c r="A71" s="2"/>
      <c r="B71" s="2"/>
      <c r="C71" s="11"/>
      <c r="D71" s="93"/>
      <c r="E71" s="2"/>
      <c r="F71" s="2"/>
      <c r="G71" s="2"/>
      <c r="H71" s="2"/>
      <c r="I71" s="2"/>
      <c r="J71" s="3"/>
      <c r="K71" s="314"/>
      <c r="L71" s="142"/>
      <c r="M71" s="314"/>
      <c r="N71" s="142"/>
      <c r="O71" s="320"/>
      <c r="P71" s="236"/>
      <c r="Q71" s="318"/>
      <c r="R71" s="245"/>
      <c r="S71" s="245"/>
      <c r="T71" s="245"/>
      <c r="U71" s="245"/>
      <c r="V71" s="246"/>
      <c r="W71" s="30"/>
      <c r="X71" s="2"/>
      <c r="Y71" s="2"/>
      <c r="Z71" s="2"/>
      <c r="AA71" s="2"/>
      <c r="AB71" s="2"/>
      <c r="AC71" s="2"/>
      <c r="AD71" s="2"/>
    </row>
    <row r="72" spans="1:30" ht="12.5" x14ac:dyDescent="0.25">
      <c r="A72" s="2"/>
      <c r="B72" s="2"/>
      <c r="C72" s="11"/>
      <c r="D72" s="337"/>
      <c r="E72" s="277"/>
      <c r="F72" s="277"/>
      <c r="G72" s="277"/>
      <c r="H72" s="277"/>
      <c r="I72" s="338"/>
      <c r="J72" s="111"/>
      <c r="K72" s="316"/>
      <c r="L72" s="232"/>
      <c r="M72" s="316"/>
      <c r="N72" s="232"/>
      <c r="O72" s="317"/>
      <c r="P72" s="232"/>
      <c r="Q72" s="274"/>
      <c r="R72" s="245"/>
      <c r="S72" s="245"/>
      <c r="T72" s="245"/>
      <c r="U72" s="245"/>
      <c r="V72" s="246"/>
      <c r="W72" s="30"/>
      <c r="X72" s="2"/>
      <c r="Y72" s="2"/>
      <c r="Z72" s="2"/>
      <c r="AA72" s="2"/>
      <c r="AB72" s="2"/>
      <c r="AC72" s="2"/>
      <c r="AD72" s="2"/>
    </row>
    <row r="73" spans="1:30" ht="12.5" x14ac:dyDescent="0.25">
      <c r="A73" s="2"/>
      <c r="B73" s="2"/>
      <c r="C73" s="11"/>
      <c r="D73" s="93"/>
      <c r="E73" s="2"/>
      <c r="F73" s="2"/>
      <c r="G73" s="2"/>
      <c r="H73" s="2"/>
      <c r="I73" s="2"/>
      <c r="J73" s="3"/>
      <c r="K73" s="314"/>
      <c r="L73" s="142"/>
      <c r="M73" s="314"/>
      <c r="N73" s="142"/>
      <c r="O73" s="320"/>
      <c r="P73" s="236"/>
      <c r="Q73" s="318"/>
      <c r="R73" s="245"/>
      <c r="S73" s="245"/>
      <c r="T73" s="245"/>
      <c r="U73" s="245"/>
      <c r="V73" s="246"/>
      <c r="W73" s="30"/>
      <c r="X73" s="2"/>
      <c r="Y73" s="2"/>
      <c r="Z73" s="2"/>
      <c r="AA73" s="2"/>
      <c r="AB73" s="2"/>
      <c r="AC73" s="2"/>
      <c r="AD73" s="2"/>
    </row>
    <row r="74" spans="1:30" ht="12.5" x14ac:dyDescent="0.25">
      <c r="A74" s="2"/>
      <c r="B74" s="2"/>
      <c r="C74" s="11"/>
      <c r="D74" s="337"/>
      <c r="E74" s="277"/>
      <c r="F74" s="277"/>
      <c r="G74" s="277"/>
      <c r="H74" s="277"/>
      <c r="I74" s="338"/>
      <c r="J74" s="111"/>
      <c r="K74" s="316"/>
      <c r="L74" s="232"/>
      <c r="M74" s="316"/>
      <c r="N74" s="232"/>
      <c r="O74" s="317"/>
      <c r="P74" s="232"/>
      <c r="Q74" s="274"/>
      <c r="R74" s="245"/>
      <c r="S74" s="245"/>
      <c r="T74" s="245"/>
      <c r="U74" s="245"/>
      <c r="V74" s="246"/>
      <c r="W74" s="30"/>
      <c r="X74" s="2"/>
      <c r="Y74" s="2"/>
      <c r="Z74" s="2"/>
      <c r="AA74" s="2"/>
      <c r="AB74" s="2"/>
      <c r="AC74" s="2"/>
      <c r="AD74" s="2"/>
    </row>
    <row r="75" spans="1:30" ht="12.5" x14ac:dyDescent="0.25">
      <c r="A75" s="2"/>
      <c r="B75" s="2"/>
      <c r="C75" s="11"/>
      <c r="D75" s="93"/>
      <c r="E75" s="2"/>
      <c r="F75" s="2"/>
      <c r="G75" s="2"/>
      <c r="H75" s="2"/>
      <c r="I75" s="2"/>
      <c r="J75" s="3"/>
      <c r="K75" s="314"/>
      <c r="L75" s="142"/>
      <c r="M75" s="314"/>
      <c r="N75" s="142"/>
      <c r="O75" s="320"/>
      <c r="P75" s="236"/>
      <c r="Q75" s="318"/>
      <c r="R75" s="245"/>
      <c r="S75" s="245"/>
      <c r="T75" s="245"/>
      <c r="U75" s="245"/>
      <c r="V75" s="246"/>
      <c r="W75" s="30"/>
      <c r="X75" s="2"/>
      <c r="Y75" s="2"/>
      <c r="Z75" s="2"/>
      <c r="AA75" s="2"/>
      <c r="AB75" s="2"/>
      <c r="AC75" s="2"/>
      <c r="AD75" s="2"/>
    </row>
    <row r="76" spans="1:30" ht="12.5" x14ac:dyDescent="0.25">
      <c r="A76" s="2"/>
      <c r="B76" s="2"/>
      <c r="C76" s="11"/>
      <c r="D76" s="337"/>
      <c r="E76" s="277"/>
      <c r="F76" s="277"/>
      <c r="G76" s="277"/>
      <c r="H76" s="277"/>
      <c r="I76" s="338"/>
      <c r="J76" s="111"/>
      <c r="K76" s="316"/>
      <c r="L76" s="232"/>
      <c r="M76" s="316"/>
      <c r="N76" s="232"/>
      <c r="O76" s="317"/>
      <c r="P76" s="232"/>
      <c r="Q76" s="274"/>
      <c r="R76" s="245"/>
      <c r="S76" s="245"/>
      <c r="T76" s="245"/>
      <c r="U76" s="245"/>
      <c r="V76" s="246"/>
      <c r="W76" s="30"/>
      <c r="X76" s="2"/>
      <c r="Y76" s="2"/>
      <c r="Z76" s="2"/>
      <c r="AA76" s="2"/>
      <c r="AB76" s="2"/>
      <c r="AC76" s="2"/>
      <c r="AD76" s="2"/>
    </row>
    <row r="77" spans="1:30" ht="12.5" x14ac:dyDescent="0.25">
      <c r="A77" s="2"/>
      <c r="B77" s="2"/>
      <c r="C77" s="11"/>
      <c r="D77" s="93"/>
      <c r="E77" s="2"/>
      <c r="F77" s="2"/>
      <c r="G77" s="2"/>
      <c r="H77" s="2"/>
      <c r="I77" s="2"/>
      <c r="J77" s="3"/>
      <c r="K77" s="314"/>
      <c r="L77" s="142"/>
      <c r="M77" s="314"/>
      <c r="N77" s="142"/>
      <c r="O77" s="320"/>
      <c r="P77" s="236"/>
      <c r="Q77" s="318"/>
      <c r="R77" s="245"/>
      <c r="S77" s="245"/>
      <c r="T77" s="245"/>
      <c r="U77" s="245"/>
      <c r="V77" s="246"/>
      <c r="W77" s="30"/>
      <c r="X77" s="2"/>
      <c r="Y77" s="2"/>
      <c r="Z77" s="2"/>
      <c r="AA77" s="2"/>
      <c r="AB77" s="2"/>
      <c r="AC77" s="2"/>
      <c r="AD77" s="2"/>
    </row>
    <row r="78" spans="1:30" ht="12.5" x14ac:dyDescent="0.25">
      <c r="A78" s="2"/>
      <c r="B78" s="2"/>
      <c r="C78" s="11"/>
      <c r="D78" s="337"/>
      <c r="E78" s="277"/>
      <c r="F78" s="277"/>
      <c r="G78" s="277"/>
      <c r="H78" s="277"/>
      <c r="I78" s="338"/>
      <c r="J78" s="111"/>
      <c r="K78" s="316"/>
      <c r="L78" s="232"/>
      <c r="M78" s="316"/>
      <c r="N78" s="232"/>
      <c r="O78" s="317"/>
      <c r="P78" s="232"/>
      <c r="Q78" s="274"/>
      <c r="R78" s="245"/>
      <c r="S78" s="245"/>
      <c r="T78" s="245"/>
      <c r="U78" s="245"/>
      <c r="V78" s="246"/>
      <c r="W78" s="30"/>
      <c r="X78" s="2"/>
      <c r="Y78" s="2"/>
      <c r="Z78" s="2"/>
      <c r="AA78" s="2"/>
      <c r="AB78" s="2"/>
      <c r="AC78" s="2"/>
      <c r="AD78" s="2"/>
    </row>
    <row r="79" spans="1:30" ht="12.5" x14ac:dyDescent="0.25">
      <c r="A79" s="2"/>
      <c r="B79" s="2"/>
      <c r="C79" s="11"/>
      <c r="D79" s="93"/>
      <c r="E79" s="2"/>
      <c r="F79" s="2"/>
      <c r="G79" s="2"/>
      <c r="H79" s="2"/>
      <c r="I79" s="2"/>
      <c r="J79" s="3"/>
      <c r="K79" s="314"/>
      <c r="L79" s="142"/>
      <c r="M79" s="314"/>
      <c r="N79" s="142"/>
      <c r="O79" s="320"/>
      <c r="P79" s="236"/>
      <c r="Q79" s="318"/>
      <c r="R79" s="245"/>
      <c r="S79" s="245"/>
      <c r="T79" s="245"/>
      <c r="U79" s="245"/>
      <c r="V79" s="246"/>
      <c r="W79" s="30"/>
      <c r="X79" s="2"/>
      <c r="Y79" s="2"/>
      <c r="Z79" s="2"/>
      <c r="AA79" s="2"/>
      <c r="AB79" s="2"/>
      <c r="AC79" s="2"/>
      <c r="AD79" s="2"/>
    </row>
    <row r="80" spans="1:30" ht="12.5" x14ac:dyDescent="0.25">
      <c r="A80" s="2"/>
      <c r="B80" s="2"/>
      <c r="C80" s="11"/>
      <c r="D80" s="337"/>
      <c r="E80" s="277"/>
      <c r="F80" s="277"/>
      <c r="G80" s="277"/>
      <c r="H80" s="277"/>
      <c r="I80" s="338"/>
      <c r="J80" s="111"/>
      <c r="K80" s="316"/>
      <c r="L80" s="232"/>
      <c r="M80" s="316"/>
      <c r="N80" s="232"/>
      <c r="O80" s="317"/>
      <c r="P80" s="232"/>
      <c r="Q80" s="274"/>
      <c r="R80" s="245"/>
      <c r="S80" s="245"/>
      <c r="T80" s="245"/>
      <c r="U80" s="245"/>
      <c r="V80" s="246"/>
      <c r="W80" s="30"/>
      <c r="X80" s="2"/>
      <c r="Y80" s="2"/>
      <c r="Z80" s="2"/>
      <c r="AA80" s="2"/>
      <c r="AB80" s="2"/>
      <c r="AC80" s="2"/>
      <c r="AD80" s="2"/>
    </row>
    <row r="81" spans="1:30" ht="12.5" x14ac:dyDescent="0.25">
      <c r="A81" s="2"/>
      <c r="B81" s="2"/>
      <c r="C81" s="11"/>
      <c r="D81" s="93"/>
      <c r="E81" s="2"/>
      <c r="F81" s="2"/>
      <c r="G81" s="2"/>
      <c r="H81" s="2"/>
      <c r="I81" s="2"/>
      <c r="J81" s="3"/>
      <c r="K81" s="314"/>
      <c r="L81" s="142"/>
      <c r="M81" s="314"/>
      <c r="N81" s="142"/>
      <c r="O81" s="320"/>
      <c r="P81" s="236"/>
      <c r="Q81" s="318"/>
      <c r="R81" s="245"/>
      <c r="S81" s="245"/>
      <c r="T81" s="245"/>
      <c r="U81" s="245"/>
      <c r="V81" s="246"/>
      <c r="W81" s="30"/>
      <c r="X81" s="2"/>
      <c r="Y81" s="2"/>
      <c r="Z81" s="2"/>
      <c r="AA81" s="2"/>
      <c r="AB81" s="2"/>
      <c r="AC81" s="2"/>
      <c r="AD81" s="2"/>
    </row>
    <row r="82" spans="1:30" ht="12.5" x14ac:dyDescent="0.25">
      <c r="A82" s="2"/>
      <c r="B82" s="2"/>
      <c r="C82" s="11"/>
      <c r="D82" s="337"/>
      <c r="E82" s="277"/>
      <c r="F82" s="277"/>
      <c r="G82" s="277"/>
      <c r="H82" s="277"/>
      <c r="I82" s="338"/>
      <c r="J82" s="111"/>
      <c r="K82" s="316"/>
      <c r="L82" s="232"/>
      <c r="M82" s="316"/>
      <c r="N82" s="232"/>
      <c r="O82" s="317"/>
      <c r="P82" s="232"/>
      <c r="Q82" s="274"/>
      <c r="R82" s="245"/>
      <c r="S82" s="245"/>
      <c r="T82" s="245"/>
      <c r="U82" s="245"/>
      <c r="V82" s="246"/>
      <c r="W82" s="30"/>
      <c r="X82" s="2"/>
      <c r="Y82" s="2"/>
      <c r="Z82" s="2"/>
      <c r="AA82" s="2"/>
      <c r="AB82" s="2"/>
      <c r="AC82" s="2"/>
      <c r="AD82" s="2"/>
    </row>
    <row r="83" spans="1:30" ht="12.5" x14ac:dyDescent="0.25">
      <c r="A83" s="2"/>
      <c r="B83" s="2"/>
      <c r="C83" s="11"/>
      <c r="D83" s="93"/>
      <c r="E83" s="2"/>
      <c r="F83" s="2"/>
      <c r="G83" s="2"/>
      <c r="H83" s="2"/>
      <c r="I83" s="2"/>
      <c r="J83" s="3"/>
      <c r="K83" s="314"/>
      <c r="L83" s="142"/>
      <c r="M83" s="314"/>
      <c r="N83" s="142"/>
      <c r="O83" s="320"/>
      <c r="P83" s="236"/>
      <c r="Q83" s="318"/>
      <c r="R83" s="245"/>
      <c r="S83" s="245"/>
      <c r="T83" s="245"/>
      <c r="U83" s="245"/>
      <c r="V83" s="246"/>
      <c r="W83" s="30"/>
      <c r="X83" s="2"/>
      <c r="Y83" s="2"/>
      <c r="Z83" s="2"/>
      <c r="AA83" s="2"/>
      <c r="AB83" s="2"/>
      <c r="AC83" s="2"/>
      <c r="AD83" s="2"/>
    </row>
    <row r="84" spans="1:30" ht="12.5" x14ac:dyDescent="0.25">
      <c r="A84" s="2"/>
      <c r="B84" s="2"/>
      <c r="C84" s="11"/>
      <c r="D84" s="337"/>
      <c r="E84" s="277"/>
      <c r="F84" s="277"/>
      <c r="G84" s="277"/>
      <c r="H84" s="277"/>
      <c r="I84" s="338"/>
      <c r="J84" s="111"/>
      <c r="K84" s="316"/>
      <c r="L84" s="232"/>
      <c r="M84" s="316"/>
      <c r="N84" s="232"/>
      <c r="O84" s="317"/>
      <c r="P84" s="232"/>
      <c r="Q84" s="274"/>
      <c r="R84" s="245"/>
      <c r="S84" s="245"/>
      <c r="T84" s="245"/>
      <c r="U84" s="245"/>
      <c r="V84" s="246"/>
      <c r="W84" s="30"/>
      <c r="X84" s="2"/>
      <c r="Y84" s="2"/>
      <c r="Z84" s="2"/>
      <c r="AA84" s="2"/>
      <c r="AB84" s="2"/>
      <c r="AC84" s="2"/>
      <c r="AD84" s="2"/>
    </row>
    <row r="85" spans="1:30" ht="12.5" x14ac:dyDescent="0.25">
      <c r="A85" s="2"/>
      <c r="B85" s="2"/>
      <c r="C85" s="11"/>
      <c r="D85" s="93"/>
      <c r="E85" s="2"/>
      <c r="F85" s="2"/>
      <c r="G85" s="2"/>
      <c r="H85" s="2"/>
      <c r="I85" s="2"/>
      <c r="J85" s="3"/>
      <c r="K85" s="314"/>
      <c r="L85" s="142"/>
      <c r="M85" s="314"/>
      <c r="N85" s="142"/>
      <c r="O85" s="320"/>
      <c r="P85" s="236"/>
      <c r="Q85" s="318"/>
      <c r="R85" s="245"/>
      <c r="S85" s="245"/>
      <c r="T85" s="245"/>
      <c r="U85" s="245"/>
      <c r="V85" s="246"/>
      <c r="W85" s="30"/>
      <c r="X85" s="2"/>
      <c r="Y85" s="2"/>
      <c r="Z85" s="2"/>
      <c r="AA85" s="2"/>
      <c r="AB85" s="2"/>
      <c r="AC85" s="2"/>
      <c r="AD85" s="2"/>
    </row>
    <row r="86" spans="1:30" ht="12.5" x14ac:dyDescent="0.25">
      <c r="A86" s="2"/>
      <c r="B86" s="2"/>
      <c r="C86" s="11"/>
      <c r="D86" s="337"/>
      <c r="E86" s="277"/>
      <c r="F86" s="277"/>
      <c r="G86" s="277"/>
      <c r="H86" s="277"/>
      <c r="I86" s="338"/>
      <c r="J86" s="111"/>
      <c r="K86" s="316"/>
      <c r="L86" s="232"/>
      <c r="M86" s="316"/>
      <c r="N86" s="232"/>
      <c r="O86" s="317"/>
      <c r="P86" s="232"/>
      <c r="Q86" s="274"/>
      <c r="R86" s="245"/>
      <c r="S86" s="245"/>
      <c r="T86" s="245"/>
      <c r="U86" s="245"/>
      <c r="V86" s="246"/>
      <c r="W86" s="30"/>
      <c r="X86" s="2"/>
      <c r="Y86" s="2"/>
      <c r="Z86" s="2"/>
      <c r="AA86" s="2"/>
      <c r="AB86" s="2"/>
      <c r="AC86" s="2"/>
      <c r="AD86" s="2"/>
    </row>
    <row r="87" spans="1:30" ht="12.5" x14ac:dyDescent="0.25">
      <c r="A87" s="2"/>
      <c r="B87" s="2"/>
      <c r="C87" s="11"/>
      <c r="D87" s="93"/>
      <c r="E87" s="2"/>
      <c r="F87" s="2"/>
      <c r="G87" s="2"/>
      <c r="H87" s="2"/>
      <c r="I87" s="2"/>
      <c r="J87" s="3"/>
      <c r="K87" s="314"/>
      <c r="L87" s="142"/>
      <c r="M87" s="314"/>
      <c r="N87" s="142"/>
      <c r="O87" s="320"/>
      <c r="P87" s="236"/>
      <c r="Q87" s="318"/>
      <c r="R87" s="245"/>
      <c r="S87" s="245"/>
      <c r="T87" s="245"/>
      <c r="U87" s="245"/>
      <c r="V87" s="246"/>
      <c r="W87" s="30"/>
      <c r="X87" s="2"/>
      <c r="Y87" s="2"/>
      <c r="Z87" s="2"/>
      <c r="AA87" s="2"/>
      <c r="AB87" s="2"/>
      <c r="AC87" s="2"/>
      <c r="AD87" s="2"/>
    </row>
    <row r="88" spans="1:30" ht="12.5" x14ac:dyDescent="0.25">
      <c r="A88" s="2"/>
      <c r="B88" s="2"/>
      <c r="C88" s="11"/>
      <c r="D88" s="337"/>
      <c r="E88" s="277"/>
      <c r="F88" s="277"/>
      <c r="G88" s="277"/>
      <c r="H88" s="277"/>
      <c r="I88" s="338"/>
      <c r="J88" s="111"/>
      <c r="K88" s="316"/>
      <c r="L88" s="232"/>
      <c r="M88" s="316"/>
      <c r="N88" s="232"/>
      <c r="O88" s="317"/>
      <c r="P88" s="232"/>
      <c r="Q88" s="274"/>
      <c r="R88" s="245"/>
      <c r="S88" s="245"/>
      <c r="T88" s="245"/>
      <c r="U88" s="245"/>
      <c r="V88" s="246"/>
      <c r="W88" s="30"/>
      <c r="X88" s="2"/>
      <c r="Y88" s="2"/>
      <c r="Z88" s="2"/>
      <c r="AA88" s="2"/>
      <c r="AB88" s="2"/>
      <c r="AC88" s="2"/>
      <c r="AD88" s="2"/>
    </row>
    <row r="89" spans="1:30" ht="12.5" x14ac:dyDescent="0.25">
      <c r="A89" s="2"/>
      <c r="B89" s="2"/>
      <c r="C89" s="11"/>
      <c r="D89" s="93"/>
      <c r="E89" s="2"/>
      <c r="F89" s="2"/>
      <c r="G89" s="2"/>
      <c r="H89" s="2"/>
      <c r="I89" s="2"/>
      <c r="J89" s="3"/>
      <c r="K89" s="314"/>
      <c r="L89" s="142"/>
      <c r="M89" s="314"/>
      <c r="N89" s="142"/>
      <c r="O89" s="320"/>
      <c r="P89" s="236"/>
      <c r="Q89" s="318"/>
      <c r="R89" s="245"/>
      <c r="S89" s="245"/>
      <c r="T89" s="245"/>
      <c r="U89" s="245"/>
      <c r="V89" s="246"/>
      <c r="W89" s="30"/>
      <c r="X89" s="2"/>
      <c r="Y89" s="2"/>
      <c r="Z89" s="2"/>
      <c r="AA89" s="2"/>
      <c r="AB89" s="2"/>
      <c r="AC89" s="2"/>
      <c r="AD89" s="2"/>
    </row>
    <row r="90" spans="1:30" ht="12.5" x14ac:dyDescent="0.25">
      <c r="A90" s="2"/>
      <c r="B90" s="2"/>
      <c r="C90" s="11"/>
      <c r="D90" s="337"/>
      <c r="E90" s="277"/>
      <c r="F90" s="277"/>
      <c r="G90" s="277"/>
      <c r="H90" s="277"/>
      <c r="I90" s="338"/>
      <c r="J90" s="111"/>
      <c r="K90" s="316"/>
      <c r="L90" s="232"/>
      <c r="M90" s="316"/>
      <c r="N90" s="232"/>
      <c r="O90" s="317"/>
      <c r="P90" s="232"/>
      <c r="Q90" s="274"/>
      <c r="R90" s="245"/>
      <c r="S90" s="245"/>
      <c r="T90" s="245"/>
      <c r="U90" s="245"/>
      <c r="V90" s="246"/>
      <c r="W90" s="30"/>
      <c r="X90" s="2"/>
      <c r="Y90" s="2"/>
      <c r="Z90" s="2"/>
      <c r="AA90" s="2"/>
      <c r="AB90" s="2"/>
      <c r="AC90" s="2"/>
      <c r="AD90" s="2"/>
    </row>
    <row r="91" spans="1:30" ht="12.5" x14ac:dyDescent="0.25">
      <c r="A91" s="2"/>
      <c r="B91" s="2"/>
      <c r="C91" s="11"/>
      <c r="D91" s="93"/>
      <c r="E91" s="2"/>
      <c r="F91" s="2"/>
      <c r="G91" s="2"/>
      <c r="H91" s="2"/>
      <c r="I91" s="2"/>
      <c r="J91" s="3"/>
      <c r="K91" s="314"/>
      <c r="L91" s="142"/>
      <c r="M91" s="314"/>
      <c r="N91" s="142"/>
      <c r="O91" s="320"/>
      <c r="P91" s="236"/>
      <c r="Q91" s="318"/>
      <c r="R91" s="245"/>
      <c r="S91" s="245"/>
      <c r="T91" s="245"/>
      <c r="U91" s="245"/>
      <c r="V91" s="246"/>
      <c r="W91" s="30"/>
      <c r="X91" s="2"/>
      <c r="Y91" s="2"/>
      <c r="Z91" s="2"/>
      <c r="AA91" s="2"/>
      <c r="AB91" s="2"/>
      <c r="AC91" s="2"/>
      <c r="AD91" s="2"/>
    </row>
    <row r="92" spans="1:30" ht="12.5" x14ac:dyDescent="0.25">
      <c r="A92" s="2"/>
      <c r="B92" s="2"/>
      <c r="C92" s="11"/>
      <c r="D92" s="337"/>
      <c r="E92" s="277"/>
      <c r="F92" s="277"/>
      <c r="G92" s="277"/>
      <c r="H92" s="277"/>
      <c r="I92" s="338"/>
      <c r="J92" s="111"/>
      <c r="K92" s="316"/>
      <c r="L92" s="232"/>
      <c r="M92" s="316"/>
      <c r="N92" s="232"/>
      <c r="O92" s="317"/>
      <c r="P92" s="232"/>
      <c r="Q92" s="274"/>
      <c r="R92" s="245"/>
      <c r="S92" s="245"/>
      <c r="T92" s="245"/>
      <c r="U92" s="245"/>
      <c r="V92" s="246"/>
      <c r="W92" s="30"/>
      <c r="X92" s="2"/>
      <c r="Y92" s="2"/>
      <c r="Z92" s="2"/>
      <c r="AA92" s="2"/>
      <c r="AB92" s="2"/>
      <c r="AC92" s="2"/>
      <c r="AD92" s="2"/>
    </row>
    <row r="93" spans="1:30" ht="12.5" x14ac:dyDescent="0.25">
      <c r="A93" s="2"/>
      <c r="B93" s="2"/>
      <c r="C93" s="11"/>
      <c r="D93" s="93"/>
      <c r="E93" s="2"/>
      <c r="F93" s="2"/>
      <c r="G93" s="2"/>
      <c r="H93" s="2"/>
      <c r="I93" s="2"/>
      <c r="J93" s="3"/>
      <c r="K93" s="314"/>
      <c r="L93" s="142"/>
      <c r="M93" s="314"/>
      <c r="N93" s="142"/>
      <c r="O93" s="320"/>
      <c r="P93" s="236"/>
      <c r="Q93" s="318"/>
      <c r="R93" s="245"/>
      <c r="S93" s="245"/>
      <c r="T93" s="245"/>
      <c r="U93" s="245"/>
      <c r="V93" s="246"/>
      <c r="W93" s="30"/>
      <c r="X93" s="2"/>
      <c r="Y93" s="2"/>
      <c r="Z93" s="2"/>
      <c r="AA93" s="2"/>
      <c r="AB93" s="2"/>
      <c r="AC93" s="2"/>
      <c r="AD93" s="2"/>
    </row>
    <row r="94" spans="1:30" ht="12.5" x14ac:dyDescent="0.25">
      <c r="A94" s="2"/>
      <c r="B94" s="2"/>
      <c r="C94" s="11"/>
      <c r="D94" s="337"/>
      <c r="E94" s="277"/>
      <c r="F94" s="277"/>
      <c r="G94" s="277"/>
      <c r="H94" s="277"/>
      <c r="I94" s="338"/>
      <c r="J94" s="111"/>
      <c r="K94" s="316"/>
      <c r="L94" s="232"/>
      <c r="M94" s="316"/>
      <c r="N94" s="232"/>
      <c r="O94" s="317"/>
      <c r="P94" s="232"/>
      <c r="Q94" s="274"/>
      <c r="R94" s="245"/>
      <c r="S94" s="245"/>
      <c r="T94" s="245"/>
      <c r="U94" s="245"/>
      <c r="V94" s="246"/>
      <c r="W94" s="30"/>
      <c r="X94" s="2"/>
      <c r="Y94" s="2"/>
      <c r="Z94" s="2"/>
      <c r="AA94" s="2"/>
      <c r="AB94" s="2"/>
      <c r="AC94" s="2"/>
      <c r="AD94" s="2"/>
    </row>
    <row r="95" spans="1:30" ht="12.5" x14ac:dyDescent="0.25">
      <c r="A95" s="2"/>
      <c r="B95" s="2"/>
      <c r="C95" s="11"/>
      <c r="D95" s="93"/>
      <c r="E95" s="2"/>
      <c r="F95" s="2"/>
      <c r="G95" s="2"/>
      <c r="H95" s="2"/>
      <c r="I95" s="2"/>
      <c r="J95" s="3"/>
      <c r="K95" s="314"/>
      <c r="L95" s="142"/>
      <c r="M95" s="314"/>
      <c r="N95" s="142"/>
      <c r="O95" s="320"/>
      <c r="P95" s="236"/>
      <c r="Q95" s="318"/>
      <c r="R95" s="245"/>
      <c r="S95" s="245"/>
      <c r="T95" s="245"/>
      <c r="U95" s="245"/>
      <c r="V95" s="246"/>
      <c r="W95" s="30"/>
      <c r="X95" s="2"/>
      <c r="Y95" s="2"/>
      <c r="Z95" s="2"/>
      <c r="AA95" s="2"/>
      <c r="AB95" s="2"/>
      <c r="AC95" s="2"/>
      <c r="AD95" s="2"/>
    </row>
    <row r="96" spans="1:30" ht="12.5" x14ac:dyDescent="0.25">
      <c r="A96" s="2"/>
      <c r="B96" s="2"/>
      <c r="C96" s="11"/>
      <c r="D96" s="337"/>
      <c r="E96" s="277"/>
      <c r="F96" s="277"/>
      <c r="G96" s="277"/>
      <c r="H96" s="277"/>
      <c r="I96" s="338"/>
      <c r="J96" s="111"/>
      <c r="K96" s="316"/>
      <c r="L96" s="232"/>
      <c r="M96" s="316"/>
      <c r="N96" s="232"/>
      <c r="O96" s="317"/>
      <c r="P96" s="232"/>
      <c r="Q96" s="274"/>
      <c r="R96" s="245"/>
      <c r="S96" s="245"/>
      <c r="T96" s="245"/>
      <c r="U96" s="245"/>
      <c r="V96" s="246"/>
      <c r="W96" s="30"/>
      <c r="X96" s="2"/>
      <c r="Y96" s="2"/>
      <c r="Z96" s="2"/>
      <c r="AA96" s="2"/>
      <c r="AB96" s="2"/>
      <c r="AC96" s="2"/>
      <c r="AD96" s="2"/>
    </row>
    <row r="97" spans="1:30" ht="12.5" x14ac:dyDescent="0.25">
      <c r="A97" s="2"/>
      <c r="B97" s="2"/>
      <c r="C97" s="11"/>
      <c r="D97" s="93"/>
      <c r="E97" s="2"/>
      <c r="F97" s="2"/>
      <c r="G97" s="2"/>
      <c r="H97" s="2"/>
      <c r="I97" s="2"/>
      <c r="J97" s="3"/>
      <c r="K97" s="314"/>
      <c r="L97" s="142"/>
      <c r="M97" s="314"/>
      <c r="N97" s="142"/>
      <c r="O97" s="320"/>
      <c r="P97" s="236"/>
      <c r="Q97" s="318"/>
      <c r="R97" s="245"/>
      <c r="S97" s="245"/>
      <c r="T97" s="245"/>
      <c r="U97" s="245"/>
      <c r="V97" s="246"/>
      <c r="W97" s="30"/>
      <c r="X97" s="2"/>
      <c r="Y97" s="2"/>
      <c r="Z97" s="2"/>
      <c r="AA97" s="2"/>
      <c r="AB97" s="2"/>
      <c r="AC97" s="2"/>
      <c r="AD97" s="2"/>
    </row>
    <row r="98" spans="1:30" ht="12.5" x14ac:dyDescent="0.25">
      <c r="A98" s="2"/>
      <c r="B98" s="2"/>
      <c r="C98" s="11"/>
      <c r="D98" s="337"/>
      <c r="E98" s="277"/>
      <c r="F98" s="277"/>
      <c r="G98" s="277"/>
      <c r="H98" s="277"/>
      <c r="I98" s="338"/>
      <c r="J98" s="111"/>
      <c r="K98" s="316"/>
      <c r="L98" s="232"/>
      <c r="M98" s="316"/>
      <c r="N98" s="232"/>
      <c r="O98" s="317"/>
      <c r="P98" s="232"/>
      <c r="Q98" s="274"/>
      <c r="R98" s="245"/>
      <c r="S98" s="245"/>
      <c r="T98" s="245"/>
      <c r="U98" s="245"/>
      <c r="V98" s="246"/>
      <c r="W98" s="30"/>
      <c r="X98" s="2"/>
      <c r="Y98" s="2"/>
      <c r="Z98" s="2"/>
      <c r="AA98" s="2"/>
      <c r="AB98" s="2"/>
      <c r="AC98" s="2"/>
      <c r="AD98" s="2"/>
    </row>
    <row r="99" spans="1:30" ht="12.5" x14ac:dyDescent="0.25">
      <c r="A99" s="2"/>
      <c r="B99" s="2"/>
      <c r="C99" s="11"/>
      <c r="D99" s="93"/>
      <c r="E99" s="2"/>
      <c r="F99" s="2"/>
      <c r="G99" s="2"/>
      <c r="H99" s="2"/>
      <c r="I99" s="2"/>
      <c r="J99" s="3"/>
      <c r="K99" s="314"/>
      <c r="L99" s="142"/>
      <c r="M99" s="314"/>
      <c r="N99" s="142"/>
      <c r="O99" s="320"/>
      <c r="P99" s="236"/>
      <c r="Q99" s="318"/>
      <c r="R99" s="245"/>
      <c r="S99" s="245"/>
      <c r="T99" s="245"/>
      <c r="U99" s="245"/>
      <c r="V99" s="246"/>
      <c r="W99" s="30"/>
      <c r="X99" s="2"/>
      <c r="Y99" s="2"/>
      <c r="Z99" s="2"/>
      <c r="AA99" s="2"/>
      <c r="AB99" s="2"/>
      <c r="AC99" s="2"/>
      <c r="AD99" s="2"/>
    </row>
    <row r="100" spans="1:30" ht="12.5" x14ac:dyDescent="0.25">
      <c r="A100" s="2"/>
      <c r="B100" s="2"/>
      <c r="C100" s="11"/>
      <c r="D100" s="337"/>
      <c r="E100" s="277"/>
      <c r="F100" s="277"/>
      <c r="G100" s="277"/>
      <c r="H100" s="277"/>
      <c r="I100" s="338"/>
      <c r="J100" s="111"/>
      <c r="K100" s="316"/>
      <c r="L100" s="232"/>
      <c r="M100" s="316"/>
      <c r="N100" s="232"/>
      <c r="O100" s="317"/>
      <c r="P100" s="232"/>
      <c r="Q100" s="274"/>
      <c r="R100" s="245"/>
      <c r="S100" s="245"/>
      <c r="T100" s="245"/>
      <c r="U100" s="245"/>
      <c r="V100" s="246"/>
      <c r="W100" s="30"/>
      <c r="X100" s="2"/>
      <c r="Y100" s="2"/>
      <c r="Z100" s="2"/>
      <c r="AA100" s="2"/>
      <c r="AB100" s="2"/>
      <c r="AC100" s="2"/>
      <c r="AD100" s="2"/>
    </row>
    <row r="101" spans="1:30" ht="12.5" x14ac:dyDescent="0.25">
      <c r="A101" s="2"/>
      <c r="B101" s="2"/>
      <c r="C101" s="11"/>
      <c r="D101" s="93"/>
      <c r="E101" s="2"/>
      <c r="F101" s="2"/>
      <c r="G101" s="2"/>
      <c r="H101" s="2"/>
      <c r="I101" s="2"/>
      <c r="J101" s="3"/>
      <c r="K101" s="314"/>
      <c r="L101" s="142"/>
      <c r="M101" s="314"/>
      <c r="N101" s="142"/>
      <c r="O101" s="320"/>
      <c r="P101" s="236"/>
      <c r="Q101" s="318"/>
      <c r="R101" s="245"/>
      <c r="S101" s="245"/>
      <c r="T101" s="245"/>
      <c r="U101" s="245"/>
      <c r="V101" s="246"/>
      <c r="W101" s="30"/>
      <c r="X101" s="2"/>
      <c r="Y101" s="2"/>
      <c r="Z101" s="2"/>
      <c r="AA101" s="2"/>
      <c r="AB101" s="2"/>
      <c r="AC101" s="2"/>
      <c r="AD101" s="2"/>
    </row>
    <row r="102" spans="1:30" ht="12.5" x14ac:dyDescent="0.25">
      <c r="A102" s="2"/>
      <c r="B102" s="2"/>
      <c r="C102" s="11"/>
      <c r="D102" s="337"/>
      <c r="E102" s="277"/>
      <c r="F102" s="277"/>
      <c r="G102" s="277"/>
      <c r="H102" s="277"/>
      <c r="I102" s="338"/>
      <c r="J102" s="111"/>
      <c r="K102" s="316"/>
      <c r="L102" s="232"/>
      <c r="M102" s="316"/>
      <c r="N102" s="232"/>
      <c r="O102" s="317"/>
      <c r="P102" s="232"/>
      <c r="Q102" s="274"/>
      <c r="R102" s="245"/>
      <c r="S102" s="245"/>
      <c r="T102" s="245"/>
      <c r="U102" s="245"/>
      <c r="V102" s="246"/>
      <c r="W102" s="30"/>
      <c r="X102" s="2"/>
      <c r="Y102" s="2"/>
      <c r="Z102" s="2"/>
      <c r="AA102" s="2"/>
      <c r="AB102" s="2"/>
      <c r="AC102" s="2"/>
      <c r="AD102" s="2"/>
    </row>
    <row r="103" spans="1:30" ht="12.5" x14ac:dyDescent="0.25">
      <c r="A103" s="2"/>
      <c r="B103" s="2"/>
      <c r="C103" s="11"/>
      <c r="D103" s="93"/>
      <c r="E103" s="2"/>
      <c r="F103" s="2"/>
      <c r="G103" s="2"/>
      <c r="H103" s="2"/>
      <c r="I103" s="2"/>
      <c r="J103" s="3"/>
      <c r="K103" s="314"/>
      <c r="L103" s="142"/>
      <c r="M103" s="314"/>
      <c r="N103" s="142"/>
      <c r="O103" s="320"/>
      <c r="P103" s="236"/>
      <c r="Q103" s="318"/>
      <c r="R103" s="245"/>
      <c r="S103" s="245"/>
      <c r="T103" s="245"/>
      <c r="U103" s="245"/>
      <c r="V103" s="246"/>
      <c r="W103" s="30"/>
      <c r="X103" s="2"/>
      <c r="Y103" s="2"/>
      <c r="Z103" s="2"/>
      <c r="AA103" s="2"/>
      <c r="AB103" s="2"/>
      <c r="AC103" s="2"/>
      <c r="AD103" s="2"/>
    </row>
    <row r="104" spans="1:30" ht="12.5" x14ac:dyDescent="0.25">
      <c r="A104" s="2"/>
      <c r="B104" s="2"/>
      <c r="C104" s="11"/>
      <c r="D104" s="337"/>
      <c r="E104" s="277"/>
      <c r="F104" s="277"/>
      <c r="G104" s="277"/>
      <c r="H104" s="277"/>
      <c r="I104" s="338"/>
      <c r="J104" s="111"/>
      <c r="K104" s="316"/>
      <c r="L104" s="232"/>
      <c r="M104" s="316"/>
      <c r="N104" s="232"/>
      <c r="O104" s="317"/>
      <c r="P104" s="232"/>
      <c r="Q104" s="274"/>
      <c r="R104" s="245"/>
      <c r="S104" s="245"/>
      <c r="T104" s="245"/>
      <c r="U104" s="245"/>
      <c r="V104" s="246"/>
      <c r="W104" s="30"/>
      <c r="X104" s="2"/>
      <c r="Y104" s="2"/>
      <c r="Z104" s="2"/>
      <c r="AA104" s="2"/>
      <c r="AB104" s="2"/>
      <c r="AC104" s="2"/>
      <c r="AD104" s="2"/>
    </row>
    <row r="105" spans="1:30" ht="12.5" x14ac:dyDescent="0.25">
      <c r="A105" s="2"/>
      <c r="B105" s="2"/>
      <c r="C105" s="11"/>
      <c r="D105" s="93"/>
      <c r="E105" s="2"/>
      <c r="F105" s="2"/>
      <c r="G105" s="2"/>
      <c r="H105" s="2"/>
      <c r="I105" s="2"/>
      <c r="J105" s="3"/>
      <c r="K105" s="314"/>
      <c r="L105" s="142"/>
      <c r="M105" s="314"/>
      <c r="N105" s="142"/>
      <c r="O105" s="320"/>
      <c r="P105" s="236"/>
      <c r="Q105" s="318"/>
      <c r="R105" s="245"/>
      <c r="S105" s="245"/>
      <c r="T105" s="245"/>
      <c r="U105" s="245"/>
      <c r="V105" s="246"/>
      <c r="W105" s="30"/>
      <c r="X105" s="2"/>
      <c r="Y105" s="2"/>
      <c r="Z105" s="2"/>
      <c r="AA105" s="2"/>
      <c r="AB105" s="2"/>
      <c r="AC105" s="2"/>
      <c r="AD105" s="2"/>
    </row>
    <row r="106" spans="1:30" ht="12.5" x14ac:dyDescent="0.25">
      <c r="A106" s="2"/>
      <c r="B106" s="2"/>
      <c r="C106" s="11"/>
      <c r="D106" s="337"/>
      <c r="E106" s="277"/>
      <c r="F106" s="277"/>
      <c r="G106" s="277"/>
      <c r="H106" s="277"/>
      <c r="I106" s="338"/>
      <c r="J106" s="111"/>
      <c r="K106" s="316"/>
      <c r="L106" s="232"/>
      <c r="M106" s="316"/>
      <c r="N106" s="232"/>
      <c r="O106" s="317"/>
      <c r="P106" s="232"/>
      <c r="Q106" s="274"/>
      <c r="R106" s="245"/>
      <c r="S106" s="245"/>
      <c r="T106" s="245"/>
      <c r="U106" s="245"/>
      <c r="V106" s="246"/>
      <c r="W106" s="30"/>
      <c r="X106" s="2"/>
      <c r="Y106" s="2"/>
      <c r="Z106" s="2"/>
      <c r="AA106" s="2"/>
      <c r="AB106" s="2"/>
      <c r="AC106" s="2"/>
      <c r="AD106" s="2"/>
    </row>
    <row r="107" spans="1:30" ht="12.5" x14ac:dyDescent="0.25">
      <c r="A107" s="2"/>
      <c r="B107" s="2"/>
      <c r="C107" s="11"/>
      <c r="D107" s="93"/>
      <c r="E107" s="2"/>
      <c r="F107" s="2"/>
      <c r="G107" s="2"/>
      <c r="H107" s="2"/>
      <c r="I107" s="2"/>
      <c r="J107" s="3"/>
      <c r="K107" s="314"/>
      <c r="L107" s="142"/>
      <c r="M107" s="314"/>
      <c r="N107" s="142"/>
      <c r="O107" s="320"/>
      <c r="P107" s="236"/>
      <c r="Q107" s="318"/>
      <c r="R107" s="245"/>
      <c r="S107" s="245"/>
      <c r="T107" s="245"/>
      <c r="U107" s="245"/>
      <c r="V107" s="246"/>
      <c r="W107" s="30"/>
      <c r="X107" s="2"/>
      <c r="Y107" s="2"/>
      <c r="Z107" s="2"/>
      <c r="AA107" s="2"/>
      <c r="AB107" s="2"/>
      <c r="AC107" s="2"/>
      <c r="AD107" s="2"/>
    </row>
    <row r="108" spans="1:30" ht="12.5" x14ac:dyDescent="0.25">
      <c r="A108" s="2"/>
      <c r="B108" s="2"/>
      <c r="C108" s="11"/>
      <c r="D108" s="337"/>
      <c r="E108" s="277"/>
      <c r="F108" s="277"/>
      <c r="G108" s="277"/>
      <c r="H108" s="277"/>
      <c r="I108" s="338"/>
      <c r="J108" s="111"/>
      <c r="K108" s="316"/>
      <c r="L108" s="232"/>
      <c r="M108" s="316"/>
      <c r="N108" s="232"/>
      <c r="O108" s="317"/>
      <c r="P108" s="232"/>
      <c r="Q108" s="274"/>
      <c r="R108" s="245"/>
      <c r="S108" s="245"/>
      <c r="T108" s="245"/>
      <c r="U108" s="245"/>
      <c r="V108" s="246"/>
      <c r="W108" s="30"/>
      <c r="X108" s="2"/>
      <c r="Y108" s="2"/>
      <c r="Z108" s="2"/>
      <c r="AA108" s="2"/>
      <c r="AB108" s="2"/>
      <c r="AC108" s="2"/>
      <c r="AD108" s="2"/>
    </row>
    <row r="109" spans="1:30" ht="12.5" x14ac:dyDescent="0.25">
      <c r="A109" s="2"/>
      <c r="B109" s="2"/>
      <c r="C109" s="11"/>
      <c r="D109" s="93"/>
      <c r="E109" s="2"/>
      <c r="F109" s="2"/>
      <c r="G109" s="2"/>
      <c r="H109" s="2"/>
      <c r="I109" s="2"/>
      <c r="J109" s="3"/>
      <c r="K109" s="314"/>
      <c r="L109" s="142"/>
      <c r="M109" s="314"/>
      <c r="N109" s="142"/>
      <c r="O109" s="320"/>
      <c r="P109" s="236"/>
      <c r="Q109" s="318"/>
      <c r="R109" s="245"/>
      <c r="S109" s="245"/>
      <c r="T109" s="245"/>
      <c r="U109" s="245"/>
      <c r="V109" s="246"/>
      <c r="W109" s="30"/>
      <c r="X109" s="2"/>
      <c r="Y109" s="2"/>
      <c r="Z109" s="2"/>
      <c r="AA109" s="2"/>
      <c r="AB109" s="2"/>
      <c r="AC109" s="2"/>
      <c r="AD109" s="2"/>
    </row>
    <row r="110" spans="1:30" ht="12.5" x14ac:dyDescent="0.25">
      <c r="A110" s="2"/>
      <c r="B110" s="2"/>
      <c r="C110" s="11"/>
      <c r="D110" s="337"/>
      <c r="E110" s="277"/>
      <c r="F110" s="277"/>
      <c r="G110" s="277"/>
      <c r="H110" s="277"/>
      <c r="I110" s="338"/>
      <c r="J110" s="111"/>
      <c r="K110" s="316"/>
      <c r="L110" s="232"/>
      <c r="M110" s="316"/>
      <c r="N110" s="232"/>
      <c r="O110" s="317"/>
      <c r="P110" s="232"/>
      <c r="Q110" s="274"/>
      <c r="R110" s="245"/>
      <c r="S110" s="245"/>
      <c r="T110" s="245"/>
      <c r="U110" s="245"/>
      <c r="V110" s="246"/>
      <c r="W110" s="30"/>
      <c r="X110" s="2"/>
      <c r="Y110" s="2"/>
      <c r="Z110" s="2"/>
      <c r="AA110" s="2"/>
      <c r="AB110" s="2"/>
      <c r="AC110" s="2"/>
      <c r="AD110" s="2"/>
    </row>
    <row r="111" spans="1:30" ht="12.5" x14ac:dyDescent="0.25">
      <c r="A111" s="2"/>
      <c r="B111" s="2"/>
      <c r="C111" s="11"/>
      <c r="D111" s="93"/>
      <c r="E111" s="2"/>
      <c r="F111" s="2"/>
      <c r="G111" s="2"/>
      <c r="H111" s="2"/>
      <c r="I111" s="2"/>
      <c r="J111" s="3"/>
      <c r="K111" s="314"/>
      <c r="L111" s="142"/>
      <c r="M111" s="314"/>
      <c r="N111" s="142"/>
      <c r="O111" s="320"/>
      <c r="P111" s="236"/>
      <c r="Q111" s="318"/>
      <c r="R111" s="245"/>
      <c r="S111" s="245"/>
      <c r="T111" s="245"/>
      <c r="U111" s="245"/>
      <c r="V111" s="246"/>
      <c r="W111" s="30"/>
      <c r="X111" s="2"/>
      <c r="Y111" s="2"/>
      <c r="Z111" s="2"/>
      <c r="AA111" s="2"/>
      <c r="AB111" s="2"/>
      <c r="AC111" s="2"/>
      <c r="AD111" s="2"/>
    </row>
    <row r="112" spans="1:30" ht="12.5" x14ac:dyDescent="0.25">
      <c r="A112" s="2"/>
      <c r="B112" s="2"/>
      <c r="C112" s="11"/>
      <c r="D112" s="337"/>
      <c r="E112" s="277"/>
      <c r="F112" s="277"/>
      <c r="G112" s="277"/>
      <c r="H112" s="277"/>
      <c r="I112" s="338"/>
      <c r="J112" s="111"/>
      <c r="K112" s="316"/>
      <c r="L112" s="232"/>
      <c r="M112" s="316"/>
      <c r="N112" s="232"/>
      <c r="O112" s="317"/>
      <c r="P112" s="232"/>
      <c r="Q112" s="274"/>
      <c r="R112" s="245"/>
      <c r="S112" s="245"/>
      <c r="T112" s="245"/>
      <c r="U112" s="245"/>
      <c r="V112" s="246"/>
      <c r="W112" s="30"/>
      <c r="X112" s="2"/>
      <c r="Y112" s="2"/>
      <c r="Z112" s="2"/>
      <c r="AA112" s="2"/>
      <c r="AB112" s="2"/>
      <c r="AC112" s="2"/>
      <c r="AD112" s="2"/>
    </row>
    <row r="113" spans="1:30" ht="12.5" x14ac:dyDescent="0.25">
      <c r="A113" s="2"/>
      <c r="B113" s="2"/>
      <c r="C113" s="11"/>
      <c r="D113" s="93"/>
      <c r="E113" s="2"/>
      <c r="F113" s="2"/>
      <c r="G113" s="2"/>
      <c r="H113" s="2"/>
      <c r="I113" s="2"/>
      <c r="J113" s="3"/>
      <c r="K113" s="314"/>
      <c r="L113" s="142"/>
      <c r="M113" s="314"/>
      <c r="N113" s="142"/>
      <c r="O113" s="320"/>
      <c r="P113" s="236"/>
      <c r="Q113" s="318"/>
      <c r="R113" s="245"/>
      <c r="S113" s="245"/>
      <c r="T113" s="245"/>
      <c r="U113" s="245"/>
      <c r="V113" s="246"/>
      <c r="W113" s="30"/>
      <c r="X113" s="2"/>
      <c r="Y113" s="2"/>
      <c r="Z113" s="2"/>
      <c r="AA113" s="2"/>
      <c r="AB113" s="2"/>
      <c r="AC113" s="2"/>
      <c r="AD113" s="2"/>
    </row>
    <row r="114" spans="1:30" ht="12.5" x14ac:dyDescent="0.25">
      <c r="A114" s="2"/>
      <c r="B114" s="2"/>
      <c r="C114" s="11"/>
      <c r="D114" s="337"/>
      <c r="E114" s="277"/>
      <c r="F114" s="277"/>
      <c r="G114" s="277"/>
      <c r="H114" s="277"/>
      <c r="I114" s="338"/>
      <c r="J114" s="111"/>
      <c r="K114" s="316"/>
      <c r="L114" s="232"/>
      <c r="M114" s="316"/>
      <c r="N114" s="232"/>
      <c r="O114" s="317"/>
      <c r="P114" s="232"/>
      <c r="Q114" s="274"/>
      <c r="R114" s="245"/>
      <c r="S114" s="245"/>
      <c r="T114" s="245"/>
      <c r="U114" s="245"/>
      <c r="V114" s="246"/>
      <c r="W114" s="30"/>
      <c r="X114" s="2"/>
      <c r="Y114" s="2"/>
      <c r="Z114" s="2"/>
      <c r="AA114" s="2"/>
      <c r="AB114" s="2"/>
      <c r="AC114" s="2"/>
      <c r="AD114" s="2"/>
    </row>
    <row r="115" spans="1:30" ht="12.5" x14ac:dyDescent="0.25">
      <c r="A115" s="2"/>
      <c r="B115" s="2"/>
      <c r="C115" s="11"/>
      <c r="D115" s="93"/>
      <c r="E115" s="2"/>
      <c r="F115" s="2"/>
      <c r="G115" s="2"/>
      <c r="H115" s="2"/>
      <c r="I115" s="2"/>
      <c r="J115" s="3"/>
      <c r="K115" s="314"/>
      <c r="L115" s="142"/>
      <c r="M115" s="314"/>
      <c r="N115" s="142"/>
      <c r="O115" s="320"/>
      <c r="P115" s="236"/>
      <c r="Q115" s="318"/>
      <c r="R115" s="245"/>
      <c r="S115" s="245"/>
      <c r="T115" s="245"/>
      <c r="U115" s="245"/>
      <c r="V115" s="246"/>
      <c r="W115" s="30"/>
      <c r="X115" s="2"/>
      <c r="Y115" s="2"/>
      <c r="Z115" s="2"/>
      <c r="AA115" s="2"/>
      <c r="AB115" s="2"/>
      <c r="AC115" s="2"/>
      <c r="AD115" s="2"/>
    </row>
    <row r="116" spans="1:30" ht="12.5" x14ac:dyDescent="0.25">
      <c r="A116" s="2"/>
      <c r="B116" s="2"/>
      <c r="C116" s="11"/>
      <c r="D116" s="337"/>
      <c r="E116" s="277"/>
      <c r="F116" s="277"/>
      <c r="G116" s="277"/>
      <c r="H116" s="277"/>
      <c r="I116" s="338"/>
      <c r="J116" s="111"/>
      <c r="K116" s="316"/>
      <c r="L116" s="232"/>
      <c r="M116" s="316"/>
      <c r="N116" s="232"/>
      <c r="O116" s="317"/>
      <c r="P116" s="232"/>
      <c r="Q116" s="274"/>
      <c r="R116" s="245"/>
      <c r="S116" s="245"/>
      <c r="T116" s="245"/>
      <c r="U116" s="245"/>
      <c r="V116" s="246"/>
      <c r="W116" s="30"/>
      <c r="X116" s="2"/>
      <c r="Y116" s="2"/>
      <c r="Z116" s="2"/>
      <c r="AA116" s="2"/>
      <c r="AB116" s="2"/>
      <c r="AC116" s="2"/>
      <c r="AD116" s="2"/>
    </row>
    <row r="117" spans="1:30" ht="12.5" x14ac:dyDescent="0.25">
      <c r="A117" s="2"/>
      <c r="B117" s="2"/>
      <c r="C117" s="11"/>
      <c r="D117" s="93"/>
      <c r="E117" s="2"/>
      <c r="F117" s="2"/>
      <c r="G117" s="2"/>
      <c r="H117" s="2"/>
      <c r="I117" s="2"/>
      <c r="J117" s="3"/>
      <c r="K117" s="314"/>
      <c r="L117" s="142"/>
      <c r="M117" s="314"/>
      <c r="N117" s="142"/>
      <c r="O117" s="320"/>
      <c r="P117" s="236"/>
      <c r="Q117" s="318"/>
      <c r="R117" s="245"/>
      <c r="S117" s="245"/>
      <c r="T117" s="245"/>
      <c r="U117" s="245"/>
      <c r="V117" s="246"/>
      <c r="W117" s="30"/>
      <c r="X117" s="2"/>
      <c r="Y117" s="2"/>
      <c r="Z117" s="2"/>
      <c r="AA117" s="2"/>
      <c r="AB117" s="2"/>
      <c r="AC117" s="2"/>
      <c r="AD117" s="2"/>
    </row>
    <row r="118" spans="1:30" ht="12.5" x14ac:dyDescent="0.25">
      <c r="A118" s="2"/>
      <c r="B118" s="2"/>
      <c r="C118" s="11"/>
      <c r="D118" s="337"/>
      <c r="E118" s="277"/>
      <c r="F118" s="277"/>
      <c r="G118" s="277"/>
      <c r="H118" s="277"/>
      <c r="I118" s="338"/>
      <c r="J118" s="111"/>
      <c r="K118" s="316"/>
      <c r="L118" s="232"/>
      <c r="M118" s="316"/>
      <c r="N118" s="232"/>
      <c r="O118" s="317"/>
      <c r="P118" s="232"/>
      <c r="Q118" s="274"/>
      <c r="R118" s="245"/>
      <c r="S118" s="245"/>
      <c r="T118" s="245"/>
      <c r="U118" s="245"/>
      <c r="V118" s="246"/>
      <c r="W118" s="30"/>
      <c r="X118" s="2"/>
      <c r="Y118" s="2"/>
      <c r="Z118" s="2"/>
      <c r="AA118" s="2"/>
      <c r="AB118" s="2"/>
      <c r="AC118" s="2"/>
      <c r="AD118" s="2"/>
    </row>
    <row r="119" spans="1:30" ht="12.5" x14ac:dyDescent="0.25">
      <c r="A119" s="2"/>
      <c r="B119" s="2"/>
      <c r="C119" s="11"/>
      <c r="D119" s="112"/>
      <c r="E119" s="28"/>
      <c r="F119" s="28"/>
      <c r="G119" s="28"/>
      <c r="H119" s="28"/>
      <c r="I119" s="28"/>
      <c r="J119" s="5"/>
      <c r="K119" s="339"/>
      <c r="L119" s="198"/>
      <c r="M119" s="339"/>
      <c r="N119" s="198"/>
      <c r="O119" s="320"/>
      <c r="P119" s="236"/>
      <c r="Q119" s="322"/>
      <c r="R119" s="194"/>
      <c r="S119" s="194"/>
      <c r="T119" s="194"/>
      <c r="U119" s="194"/>
      <c r="V119" s="323"/>
      <c r="W119" s="30"/>
      <c r="X119" s="2"/>
      <c r="Y119" s="2"/>
      <c r="Z119" s="2"/>
      <c r="AA119" s="2"/>
      <c r="AB119" s="2"/>
      <c r="AC119" s="2"/>
      <c r="AD119" s="2"/>
    </row>
    <row r="120" spans="1:30" ht="13" x14ac:dyDescent="0.3">
      <c r="A120" s="2"/>
      <c r="B120" s="2"/>
      <c r="C120" s="11"/>
      <c r="D120" s="335" t="s">
        <v>14</v>
      </c>
      <c r="E120" s="224"/>
      <c r="F120" s="224"/>
      <c r="G120" s="224"/>
      <c r="H120" s="224"/>
      <c r="I120" s="224"/>
      <c r="J120" s="224"/>
      <c r="K120" s="224"/>
      <c r="L120" s="224"/>
      <c r="M120" s="224"/>
      <c r="N120" s="273"/>
      <c r="O120" s="340">
        <f>SUM(O59:P119)</f>
        <v>0</v>
      </c>
      <c r="P120" s="273"/>
      <c r="Q120" s="113"/>
      <c r="R120" s="113"/>
      <c r="S120" s="113"/>
      <c r="T120" s="113"/>
      <c r="U120" s="113"/>
      <c r="V120" s="114"/>
      <c r="W120" s="30"/>
      <c r="X120" s="2"/>
      <c r="Y120" s="2"/>
      <c r="Z120" s="2"/>
      <c r="AA120" s="2"/>
      <c r="AB120" s="2"/>
      <c r="AC120" s="2"/>
      <c r="AD120" s="2"/>
    </row>
    <row r="121" spans="1:30" ht="12.5" x14ac:dyDescent="0.25">
      <c r="A121" s="2"/>
      <c r="B121" s="2"/>
      <c r="C121" s="2"/>
      <c r="D121" s="35"/>
      <c r="E121" s="35"/>
      <c r="F121" s="35"/>
      <c r="G121" s="35"/>
      <c r="H121" s="35"/>
      <c r="I121" s="35"/>
      <c r="J121" s="4"/>
      <c r="K121" s="4"/>
      <c r="L121" s="4"/>
      <c r="M121" s="4"/>
      <c r="N121" s="4"/>
      <c r="O121" s="4"/>
      <c r="P121" s="4"/>
      <c r="Q121" s="35"/>
      <c r="R121" s="35"/>
      <c r="S121" s="35"/>
      <c r="T121" s="35"/>
      <c r="U121" s="35"/>
      <c r="V121" s="35"/>
      <c r="W121" s="2"/>
      <c r="X121" s="2"/>
      <c r="Y121" s="2"/>
      <c r="Z121" s="2"/>
      <c r="AA121" s="2"/>
      <c r="AB121" s="2"/>
      <c r="AC121" s="2"/>
      <c r="AD121" s="2"/>
    </row>
    <row r="122" spans="1:30" ht="12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3"/>
      <c r="K122" s="3"/>
      <c r="L122" s="3"/>
      <c r="M122" s="3"/>
      <c r="N122" s="3"/>
      <c r="O122" s="3"/>
      <c r="P122" s="3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2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3"/>
      <c r="K123" s="3"/>
      <c r="L123" s="3"/>
      <c r="M123" s="3"/>
      <c r="N123" s="3"/>
      <c r="O123" s="3"/>
      <c r="P123" s="3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2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3"/>
      <c r="K124" s="3"/>
      <c r="L124" s="3"/>
      <c r="M124" s="3"/>
      <c r="N124" s="3"/>
      <c r="O124" s="3"/>
      <c r="P124" s="3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2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3"/>
      <c r="K125" s="3"/>
      <c r="L125" s="3"/>
      <c r="M125" s="3"/>
      <c r="N125" s="3"/>
      <c r="O125" s="3"/>
      <c r="P125" s="3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2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3"/>
      <c r="K126" s="3"/>
      <c r="L126" s="3"/>
      <c r="M126" s="3"/>
      <c r="N126" s="3"/>
      <c r="O126" s="3"/>
      <c r="P126" s="3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2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3"/>
      <c r="K127" s="3"/>
      <c r="L127" s="3"/>
      <c r="M127" s="3"/>
      <c r="N127" s="3"/>
      <c r="O127" s="3"/>
      <c r="P127" s="3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2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3"/>
      <c r="K128" s="3"/>
      <c r="L128" s="3"/>
      <c r="M128" s="3"/>
      <c r="N128" s="3"/>
      <c r="O128" s="3"/>
      <c r="P128" s="3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2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3"/>
      <c r="K129" s="3"/>
      <c r="L129" s="3"/>
      <c r="M129" s="3"/>
      <c r="N129" s="3"/>
      <c r="O129" s="3"/>
      <c r="P129" s="3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2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3"/>
      <c r="K130" s="3"/>
      <c r="L130" s="3"/>
      <c r="M130" s="3"/>
      <c r="N130" s="3"/>
      <c r="O130" s="3"/>
      <c r="P130" s="3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2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3"/>
      <c r="K131" s="3"/>
      <c r="L131" s="3"/>
      <c r="M131" s="3"/>
      <c r="N131" s="3"/>
      <c r="O131" s="3"/>
      <c r="P131" s="3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2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3"/>
      <c r="K132" s="3"/>
      <c r="L132" s="3"/>
      <c r="M132" s="3"/>
      <c r="N132" s="3"/>
      <c r="O132" s="3"/>
      <c r="P132" s="3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2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3"/>
      <c r="K133" s="3"/>
      <c r="L133" s="3"/>
      <c r="M133" s="3"/>
      <c r="N133" s="3"/>
      <c r="O133" s="3"/>
      <c r="P133" s="3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2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3"/>
      <c r="K134" s="3"/>
      <c r="L134" s="3"/>
      <c r="M134" s="3"/>
      <c r="N134" s="3"/>
      <c r="O134" s="3"/>
      <c r="P134" s="3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2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3"/>
      <c r="K135" s="3"/>
      <c r="L135" s="3"/>
      <c r="M135" s="3"/>
      <c r="N135" s="3"/>
      <c r="O135" s="3"/>
      <c r="P135" s="3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2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3"/>
      <c r="K136" s="3"/>
      <c r="L136" s="3"/>
      <c r="M136" s="3"/>
      <c r="N136" s="3"/>
      <c r="O136" s="3"/>
      <c r="P136" s="3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2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3"/>
      <c r="K137" s="3"/>
      <c r="L137" s="3"/>
      <c r="M137" s="3"/>
      <c r="N137" s="3"/>
      <c r="O137" s="3"/>
      <c r="P137" s="3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2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3"/>
      <c r="K138" s="3"/>
      <c r="L138" s="3"/>
      <c r="M138" s="3"/>
      <c r="N138" s="3"/>
      <c r="O138" s="3"/>
      <c r="P138" s="3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2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3"/>
      <c r="K139" s="3"/>
      <c r="L139" s="3"/>
      <c r="M139" s="3"/>
      <c r="N139" s="3"/>
      <c r="O139" s="3"/>
      <c r="P139" s="3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2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3"/>
      <c r="K140" s="3"/>
      <c r="L140" s="3"/>
      <c r="M140" s="3"/>
      <c r="N140" s="3"/>
      <c r="O140" s="3"/>
      <c r="P140" s="3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2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3"/>
      <c r="K141" s="3"/>
      <c r="L141" s="3"/>
      <c r="M141" s="3"/>
      <c r="N141" s="3"/>
      <c r="O141" s="3"/>
      <c r="P141" s="3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2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3"/>
      <c r="K142" s="3"/>
      <c r="L142" s="3"/>
      <c r="M142" s="3"/>
      <c r="N142" s="3"/>
      <c r="O142" s="3"/>
      <c r="P142" s="3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2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3"/>
      <c r="K143" s="3"/>
      <c r="L143" s="3"/>
      <c r="M143" s="3"/>
      <c r="N143" s="3"/>
      <c r="O143" s="3"/>
      <c r="P143" s="3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2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3"/>
      <c r="K144" s="3"/>
      <c r="L144" s="3"/>
      <c r="M144" s="3"/>
      <c r="N144" s="3"/>
      <c r="O144" s="3"/>
      <c r="P144" s="3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2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3"/>
      <c r="K145" s="3"/>
      <c r="L145" s="3"/>
      <c r="M145" s="3"/>
      <c r="N145" s="3"/>
      <c r="O145" s="3"/>
      <c r="P145" s="3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2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3"/>
      <c r="K146" s="3"/>
      <c r="L146" s="3"/>
      <c r="M146" s="3"/>
      <c r="N146" s="3"/>
      <c r="O146" s="3"/>
      <c r="P146" s="3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2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3"/>
      <c r="K147" s="3"/>
      <c r="L147" s="3"/>
      <c r="M147" s="3"/>
      <c r="N147" s="3"/>
      <c r="O147" s="3"/>
      <c r="P147" s="3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2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3"/>
      <c r="K148" s="3"/>
      <c r="L148" s="3"/>
      <c r="M148" s="3"/>
      <c r="N148" s="3"/>
      <c r="O148" s="3"/>
      <c r="P148" s="3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2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3"/>
      <c r="K149" s="3"/>
      <c r="L149" s="3"/>
      <c r="M149" s="3"/>
      <c r="N149" s="3"/>
      <c r="O149" s="3"/>
      <c r="P149" s="3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2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3"/>
      <c r="K150" s="3"/>
      <c r="L150" s="3"/>
      <c r="M150" s="3"/>
      <c r="N150" s="3"/>
      <c r="O150" s="3"/>
      <c r="P150" s="3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2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3"/>
      <c r="K151" s="3"/>
      <c r="L151" s="3"/>
      <c r="M151" s="3"/>
      <c r="N151" s="3"/>
      <c r="O151" s="3"/>
      <c r="P151" s="3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2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3"/>
      <c r="K152" s="3"/>
      <c r="L152" s="3"/>
      <c r="M152" s="3"/>
      <c r="N152" s="3"/>
      <c r="O152" s="3"/>
      <c r="P152" s="3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2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3"/>
      <c r="K153" s="3"/>
      <c r="L153" s="3"/>
      <c r="M153" s="3"/>
      <c r="N153" s="3"/>
      <c r="O153" s="3"/>
      <c r="P153" s="3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2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3"/>
      <c r="K154" s="3"/>
      <c r="L154" s="3"/>
      <c r="M154" s="3"/>
      <c r="N154" s="3"/>
      <c r="O154" s="3"/>
      <c r="P154" s="3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2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3"/>
      <c r="K155" s="3"/>
      <c r="L155" s="3"/>
      <c r="M155" s="3"/>
      <c r="N155" s="3"/>
      <c r="O155" s="3"/>
      <c r="P155" s="3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2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3"/>
      <c r="K156" s="3"/>
      <c r="L156" s="3"/>
      <c r="M156" s="3"/>
      <c r="N156" s="3"/>
      <c r="O156" s="3"/>
      <c r="P156" s="3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2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3"/>
      <c r="K157" s="3"/>
      <c r="L157" s="3"/>
      <c r="M157" s="3"/>
      <c r="N157" s="3"/>
      <c r="O157" s="3"/>
      <c r="P157" s="3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2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3"/>
      <c r="K158" s="3"/>
      <c r="L158" s="3"/>
      <c r="M158" s="3"/>
      <c r="N158" s="3"/>
      <c r="O158" s="3"/>
      <c r="P158" s="3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2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3"/>
      <c r="K159" s="3"/>
      <c r="L159" s="3"/>
      <c r="M159" s="3"/>
      <c r="N159" s="3"/>
      <c r="O159" s="3"/>
      <c r="P159" s="3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2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3"/>
      <c r="K160" s="3"/>
      <c r="L160" s="3"/>
      <c r="M160" s="3"/>
      <c r="N160" s="3"/>
      <c r="O160" s="3"/>
      <c r="P160" s="3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2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3"/>
      <c r="K161" s="3"/>
      <c r="L161" s="3"/>
      <c r="M161" s="3"/>
      <c r="N161" s="3"/>
      <c r="O161" s="3"/>
      <c r="P161" s="3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2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3"/>
      <c r="K162" s="3"/>
      <c r="L162" s="3"/>
      <c r="M162" s="3"/>
      <c r="N162" s="3"/>
      <c r="O162" s="3"/>
      <c r="P162" s="3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2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3"/>
      <c r="K163" s="3"/>
      <c r="L163" s="3"/>
      <c r="M163" s="3"/>
      <c r="N163" s="3"/>
      <c r="O163" s="3"/>
      <c r="P163" s="3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2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3"/>
      <c r="K164" s="3"/>
      <c r="L164" s="3"/>
      <c r="M164" s="3"/>
      <c r="N164" s="3"/>
      <c r="O164" s="3"/>
      <c r="P164" s="3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2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3"/>
      <c r="K165" s="3"/>
      <c r="L165" s="3"/>
      <c r="M165" s="3"/>
      <c r="N165" s="3"/>
      <c r="O165" s="3"/>
      <c r="P165" s="3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2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3"/>
      <c r="K166" s="3"/>
      <c r="L166" s="3"/>
      <c r="M166" s="3"/>
      <c r="N166" s="3"/>
      <c r="O166" s="3"/>
      <c r="P166" s="3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2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3"/>
      <c r="K167" s="3"/>
      <c r="L167" s="3"/>
      <c r="M167" s="3"/>
      <c r="N167" s="3"/>
      <c r="O167" s="3"/>
      <c r="P167" s="3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2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3"/>
      <c r="K168" s="3"/>
      <c r="L168" s="3"/>
      <c r="M168" s="3"/>
      <c r="N168" s="3"/>
      <c r="O168" s="3"/>
      <c r="P168" s="3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2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3"/>
      <c r="K169" s="3"/>
      <c r="L169" s="3"/>
      <c r="M169" s="3"/>
      <c r="N169" s="3"/>
      <c r="O169" s="3"/>
      <c r="P169" s="3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2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3"/>
      <c r="K170" s="3"/>
      <c r="L170" s="3"/>
      <c r="M170" s="3"/>
      <c r="N170" s="3"/>
      <c r="O170" s="3"/>
      <c r="P170" s="3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2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3"/>
      <c r="K171" s="3"/>
      <c r="L171" s="3"/>
      <c r="M171" s="3"/>
      <c r="N171" s="3"/>
      <c r="O171" s="3"/>
      <c r="P171" s="3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2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3"/>
      <c r="K172" s="3"/>
      <c r="L172" s="3"/>
      <c r="M172" s="3"/>
      <c r="N172" s="3"/>
      <c r="O172" s="3"/>
      <c r="P172" s="3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2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3"/>
      <c r="K173" s="3"/>
      <c r="L173" s="3"/>
      <c r="M173" s="3"/>
      <c r="N173" s="3"/>
      <c r="O173" s="3"/>
      <c r="P173" s="3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2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3"/>
      <c r="K174" s="3"/>
      <c r="L174" s="3"/>
      <c r="M174" s="3"/>
      <c r="N174" s="3"/>
      <c r="O174" s="3"/>
      <c r="P174" s="3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2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3"/>
      <c r="K175" s="3"/>
      <c r="L175" s="3"/>
      <c r="M175" s="3"/>
      <c r="N175" s="3"/>
      <c r="O175" s="3"/>
      <c r="P175" s="3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2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3"/>
      <c r="K176" s="3"/>
      <c r="L176" s="3"/>
      <c r="M176" s="3"/>
      <c r="N176" s="3"/>
      <c r="O176" s="3"/>
      <c r="P176" s="3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2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3"/>
      <c r="K177" s="3"/>
      <c r="L177" s="3"/>
      <c r="M177" s="3"/>
      <c r="N177" s="3"/>
      <c r="O177" s="3"/>
      <c r="P177" s="3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2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3"/>
      <c r="K178" s="3"/>
      <c r="L178" s="3"/>
      <c r="M178" s="3"/>
      <c r="N178" s="3"/>
      <c r="O178" s="3"/>
      <c r="P178" s="3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2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3"/>
      <c r="K179" s="3"/>
      <c r="L179" s="3"/>
      <c r="M179" s="3"/>
      <c r="N179" s="3"/>
      <c r="O179" s="3"/>
      <c r="P179" s="3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2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3"/>
      <c r="K180" s="3"/>
      <c r="L180" s="3"/>
      <c r="M180" s="3"/>
      <c r="N180" s="3"/>
      <c r="O180" s="3"/>
      <c r="P180" s="3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2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3"/>
      <c r="K181" s="3"/>
      <c r="L181" s="3"/>
      <c r="M181" s="3"/>
      <c r="N181" s="3"/>
      <c r="O181" s="3"/>
      <c r="P181" s="3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2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3"/>
      <c r="K182" s="3"/>
      <c r="L182" s="3"/>
      <c r="M182" s="3"/>
      <c r="N182" s="3"/>
      <c r="O182" s="3"/>
      <c r="P182" s="3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2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3"/>
      <c r="K183" s="3"/>
      <c r="L183" s="3"/>
      <c r="M183" s="3"/>
      <c r="N183" s="3"/>
      <c r="O183" s="3"/>
      <c r="P183" s="3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2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3"/>
      <c r="K184" s="3"/>
      <c r="L184" s="3"/>
      <c r="M184" s="3"/>
      <c r="N184" s="3"/>
      <c r="O184" s="3"/>
      <c r="P184" s="3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2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3"/>
      <c r="K185" s="3"/>
      <c r="L185" s="3"/>
      <c r="M185" s="3"/>
      <c r="N185" s="3"/>
      <c r="O185" s="3"/>
      <c r="P185" s="3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2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3"/>
      <c r="K186" s="3"/>
      <c r="L186" s="3"/>
      <c r="M186" s="3"/>
      <c r="N186" s="3"/>
      <c r="O186" s="3"/>
      <c r="P186" s="3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2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3"/>
      <c r="K187" s="3"/>
      <c r="L187" s="3"/>
      <c r="M187" s="3"/>
      <c r="N187" s="3"/>
      <c r="O187" s="3"/>
      <c r="P187" s="3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2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3"/>
      <c r="K188" s="3"/>
      <c r="L188" s="3"/>
      <c r="M188" s="3"/>
      <c r="N188" s="3"/>
      <c r="O188" s="3"/>
      <c r="P188" s="3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2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3"/>
      <c r="K189" s="3"/>
      <c r="L189" s="3"/>
      <c r="M189" s="3"/>
      <c r="N189" s="3"/>
      <c r="O189" s="3"/>
      <c r="P189" s="3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2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3"/>
      <c r="K190" s="3"/>
      <c r="L190" s="3"/>
      <c r="M190" s="3"/>
      <c r="N190" s="3"/>
      <c r="O190" s="3"/>
      <c r="P190" s="3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2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3"/>
      <c r="K191" s="3"/>
      <c r="L191" s="3"/>
      <c r="M191" s="3"/>
      <c r="N191" s="3"/>
      <c r="O191" s="3"/>
      <c r="P191" s="3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3"/>
      <c r="K192" s="3"/>
      <c r="L192" s="3"/>
      <c r="M192" s="3"/>
      <c r="N192" s="3"/>
      <c r="O192" s="3"/>
      <c r="P192" s="3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3"/>
      <c r="K193" s="3"/>
      <c r="L193" s="3"/>
      <c r="M193" s="3"/>
      <c r="N193" s="3"/>
      <c r="O193" s="3"/>
      <c r="P193" s="3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3"/>
      <c r="K194" s="3"/>
      <c r="L194" s="3"/>
      <c r="M194" s="3"/>
      <c r="N194" s="3"/>
      <c r="O194" s="3"/>
      <c r="P194" s="3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3"/>
      <c r="K195" s="3"/>
      <c r="L195" s="3"/>
      <c r="M195" s="3"/>
      <c r="N195" s="3"/>
      <c r="O195" s="3"/>
      <c r="P195" s="3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3"/>
      <c r="K196" s="3"/>
      <c r="L196" s="3"/>
      <c r="M196" s="3"/>
      <c r="N196" s="3"/>
      <c r="O196" s="3"/>
      <c r="P196" s="3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3"/>
      <c r="K197" s="3"/>
      <c r="L197" s="3"/>
      <c r="M197" s="3"/>
      <c r="N197" s="3"/>
      <c r="O197" s="3"/>
      <c r="P197" s="3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3"/>
      <c r="K198" s="3"/>
      <c r="L198" s="3"/>
      <c r="M198" s="3"/>
      <c r="N198" s="3"/>
      <c r="O198" s="3"/>
      <c r="P198" s="3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3"/>
      <c r="K199" s="3"/>
      <c r="L199" s="3"/>
      <c r="M199" s="3"/>
      <c r="N199" s="3"/>
      <c r="O199" s="3"/>
      <c r="P199" s="3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3"/>
      <c r="K200" s="3"/>
      <c r="L200" s="3"/>
      <c r="M200" s="3"/>
      <c r="N200" s="3"/>
      <c r="O200" s="3"/>
      <c r="P200" s="3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3"/>
      <c r="K201" s="3"/>
      <c r="L201" s="3"/>
      <c r="M201" s="3"/>
      <c r="N201" s="3"/>
      <c r="O201" s="3"/>
      <c r="P201" s="3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3"/>
      <c r="K202" s="3"/>
      <c r="L202" s="3"/>
      <c r="M202" s="3"/>
      <c r="N202" s="3"/>
      <c r="O202" s="3"/>
      <c r="P202" s="3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3"/>
      <c r="K203" s="3"/>
      <c r="L203" s="3"/>
      <c r="M203" s="3"/>
      <c r="N203" s="3"/>
      <c r="O203" s="3"/>
      <c r="P203" s="3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3"/>
      <c r="K204" s="3"/>
      <c r="L204" s="3"/>
      <c r="M204" s="3"/>
      <c r="N204" s="3"/>
      <c r="O204" s="3"/>
      <c r="P204" s="3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3"/>
      <c r="K205" s="3"/>
      <c r="L205" s="3"/>
      <c r="M205" s="3"/>
      <c r="N205" s="3"/>
      <c r="O205" s="3"/>
      <c r="P205" s="3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3"/>
      <c r="K206" s="3"/>
      <c r="L206" s="3"/>
      <c r="M206" s="3"/>
      <c r="N206" s="3"/>
      <c r="O206" s="3"/>
      <c r="P206" s="3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3"/>
      <c r="K207" s="3"/>
      <c r="L207" s="3"/>
      <c r="M207" s="3"/>
      <c r="N207" s="3"/>
      <c r="O207" s="3"/>
      <c r="P207" s="3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3"/>
      <c r="K208" s="3"/>
      <c r="L208" s="3"/>
      <c r="M208" s="3"/>
      <c r="N208" s="3"/>
      <c r="O208" s="3"/>
      <c r="P208" s="3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3"/>
      <c r="K209" s="3"/>
      <c r="L209" s="3"/>
      <c r="M209" s="3"/>
      <c r="N209" s="3"/>
      <c r="O209" s="3"/>
      <c r="P209" s="3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3"/>
      <c r="K210" s="3"/>
      <c r="L210" s="3"/>
      <c r="M210" s="3"/>
      <c r="N210" s="3"/>
      <c r="O210" s="3"/>
      <c r="P210" s="3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3"/>
      <c r="K211" s="3"/>
      <c r="L211" s="3"/>
      <c r="M211" s="3"/>
      <c r="N211" s="3"/>
      <c r="O211" s="3"/>
      <c r="P211" s="3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3"/>
      <c r="K212" s="3"/>
      <c r="L212" s="3"/>
      <c r="M212" s="3"/>
      <c r="N212" s="3"/>
      <c r="O212" s="3"/>
      <c r="P212" s="3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3"/>
      <c r="K213" s="3"/>
      <c r="L213" s="3"/>
      <c r="M213" s="3"/>
      <c r="N213" s="3"/>
      <c r="O213" s="3"/>
      <c r="P213" s="3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3"/>
      <c r="K214" s="3"/>
      <c r="L214" s="3"/>
      <c r="M214" s="3"/>
      <c r="N214" s="3"/>
      <c r="O214" s="3"/>
      <c r="P214" s="3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3"/>
      <c r="K215" s="3"/>
      <c r="L215" s="3"/>
      <c r="M215" s="3"/>
      <c r="N215" s="3"/>
      <c r="O215" s="3"/>
      <c r="P215" s="3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3"/>
      <c r="K216" s="3"/>
      <c r="L216" s="3"/>
      <c r="M216" s="3"/>
      <c r="N216" s="3"/>
      <c r="O216" s="3"/>
      <c r="P216" s="3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3"/>
      <c r="K217" s="3"/>
      <c r="L217" s="3"/>
      <c r="M217" s="3"/>
      <c r="N217" s="3"/>
      <c r="O217" s="3"/>
      <c r="P217" s="3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3"/>
      <c r="K218" s="3"/>
      <c r="L218" s="3"/>
      <c r="M218" s="3"/>
      <c r="N218" s="3"/>
      <c r="O218" s="3"/>
      <c r="P218" s="3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3"/>
      <c r="K219" s="3"/>
      <c r="L219" s="3"/>
      <c r="M219" s="3"/>
      <c r="N219" s="3"/>
      <c r="O219" s="3"/>
      <c r="P219" s="3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3"/>
      <c r="K220" s="3"/>
      <c r="L220" s="3"/>
      <c r="M220" s="3"/>
      <c r="N220" s="3"/>
      <c r="O220" s="3"/>
      <c r="P220" s="3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3"/>
      <c r="K221" s="3"/>
      <c r="L221" s="3"/>
      <c r="M221" s="3"/>
      <c r="N221" s="3"/>
      <c r="O221" s="3"/>
      <c r="P221" s="3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3"/>
      <c r="K222" s="3"/>
      <c r="L222" s="3"/>
      <c r="M222" s="3"/>
      <c r="N222" s="3"/>
      <c r="O222" s="3"/>
      <c r="P222" s="3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3"/>
      <c r="K223" s="3"/>
      <c r="L223" s="3"/>
      <c r="M223" s="3"/>
      <c r="N223" s="3"/>
      <c r="O223" s="3"/>
      <c r="P223" s="3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3"/>
      <c r="K224" s="3"/>
      <c r="L224" s="3"/>
      <c r="M224" s="3"/>
      <c r="N224" s="3"/>
      <c r="O224" s="3"/>
      <c r="P224" s="3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3"/>
      <c r="K225" s="3"/>
      <c r="L225" s="3"/>
      <c r="M225" s="3"/>
      <c r="N225" s="3"/>
      <c r="O225" s="3"/>
      <c r="P225" s="3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3"/>
      <c r="K226" s="3"/>
      <c r="L226" s="3"/>
      <c r="M226" s="3"/>
      <c r="N226" s="3"/>
      <c r="O226" s="3"/>
      <c r="P226" s="3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3"/>
      <c r="K227" s="3"/>
      <c r="L227" s="3"/>
      <c r="M227" s="3"/>
      <c r="N227" s="3"/>
      <c r="O227" s="3"/>
      <c r="P227" s="3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3"/>
      <c r="K228" s="3"/>
      <c r="L228" s="3"/>
      <c r="M228" s="3"/>
      <c r="N228" s="3"/>
      <c r="O228" s="3"/>
      <c r="P228" s="3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3"/>
      <c r="K229" s="3"/>
      <c r="L229" s="3"/>
      <c r="M229" s="3"/>
      <c r="N229" s="3"/>
      <c r="O229" s="3"/>
      <c r="P229" s="3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3"/>
      <c r="K230" s="3"/>
      <c r="L230" s="3"/>
      <c r="M230" s="3"/>
      <c r="N230" s="3"/>
      <c r="O230" s="3"/>
      <c r="P230" s="3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3"/>
      <c r="K231" s="3"/>
      <c r="L231" s="3"/>
      <c r="M231" s="3"/>
      <c r="N231" s="3"/>
      <c r="O231" s="3"/>
      <c r="P231" s="3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3"/>
      <c r="K232" s="3"/>
      <c r="L232" s="3"/>
      <c r="M232" s="3"/>
      <c r="N232" s="3"/>
      <c r="O232" s="3"/>
      <c r="P232" s="3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3"/>
      <c r="K233" s="3"/>
      <c r="L233" s="3"/>
      <c r="M233" s="3"/>
      <c r="N233" s="3"/>
      <c r="O233" s="3"/>
      <c r="P233" s="3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3"/>
      <c r="K234" s="3"/>
      <c r="L234" s="3"/>
      <c r="M234" s="3"/>
      <c r="N234" s="3"/>
      <c r="O234" s="3"/>
      <c r="P234" s="3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3"/>
      <c r="K235" s="3"/>
      <c r="L235" s="3"/>
      <c r="M235" s="3"/>
      <c r="N235" s="3"/>
      <c r="O235" s="3"/>
      <c r="P235" s="3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3"/>
      <c r="K236" s="3"/>
      <c r="L236" s="3"/>
      <c r="M236" s="3"/>
      <c r="N236" s="3"/>
      <c r="O236" s="3"/>
      <c r="P236" s="3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3"/>
      <c r="K237" s="3"/>
      <c r="L237" s="3"/>
      <c r="M237" s="3"/>
      <c r="N237" s="3"/>
      <c r="O237" s="3"/>
      <c r="P237" s="3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3"/>
      <c r="K238" s="3"/>
      <c r="L238" s="3"/>
      <c r="M238" s="3"/>
      <c r="N238" s="3"/>
      <c r="O238" s="3"/>
      <c r="P238" s="3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3"/>
      <c r="K239" s="3"/>
      <c r="L239" s="3"/>
      <c r="M239" s="3"/>
      <c r="N239" s="3"/>
      <c r="O239" s="3"/>
      <c r="P239" s="3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3"/>
      <c r="K240" s="3"/>
      <c r="L240" s="3"/>
      <c r="M240" s="3"/>
      <c r="N240" s="3"/>
      <c r="O240" s="3"/>
      <c r="P240" s="3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3"/>
      <c r="K241" s="3"/>
      <c r="L241" s="3"/>
      <c r="M241" s="3"/>
      <c r="N241" s="3"/>
      <c r="O241" s="3"/>
      <c r="P241" s="3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3"/>
      <c r="K242" s="3"/>
      <c r="L242" s="3"/>
      <c r="M242" s="3"/>
      <c r="N242" s="3"/>
      <c r="O242" s="3"/>
      <c r="P242" s="3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3"/>
      <c r="K243" s="3"/>
      <c r="L243" s="3"/>
      <c r="M243" s="3"/>
      <c r="N243" s="3"/>
      <c r="O243" s="3"/>
      <c r="P243" s="3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3"/>
      <c r="K244" s="3"/>
      <c r="L244" s="3"/>
      <c r="M244" s="3"/>
      <c r="N244" s="3"/>
      <c r="O244" s="3"/>
      <c r="P244" s="3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3"/>
      <c r="K245" s="3"/>
      <c r="L245" s="3"/>
      <c r="M245" s="3"/>
      <c r="N245" s="3"/>
      <c r="O245" s="3"/>
      <c r="P245" s="3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3"/>
      <c r="K246" s="3"/>
      <c r="L246" s="3"/>
      <c r="M246" s="3"/>
      <c r="N246" s="3"/>
      <c r="O246" s="3"/>
      <c r="P246" s="3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3"/>
      <c r="K247" s="3"/>
      <c r="L247" s="3"/>
      <c r="M247" s="3"/>
      <c r="N247" s="3"/>
      <c r="O247" s="3"/>
      <c r="P247" s="3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3"/>
      <c r="K248" s="3"/>
      <c r="L248" s="3"/>
      <c r="M248" s="3"/>
      <c r="N248" s="3"/>
      <c r="O248" s="3"/>
      <c r="P248" s="3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3"/>
      <c r="K249" s="3"/>
      <c r="L249" s="3"/>
      <c r="M249" s="3"/>
      <c r="N249" s="3"/>
      <c r="O249" s="3"/>
      <c r="P249" s="3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3"/>
      <c r="K250" s="3"/>
      <c r="L250" s="3"/>
      <c r="M250" s="3"/>
      <c r="N250" s="3"/>
      <c r="O250" s="3"/>
      <c r="P250" s="3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3"/>
      <c r="K251" s="3"/>
      <c r="L251" s="3"/>
      <c r="M251" s="3"/>
      <c r="N251" s="3"/>
      <c r="O251" s="3"/>
      <c r="P251" s="3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3"/>
      <c r="K252" s="3"/>
      <c r="L252" s="3"/>
      <c r="M252" s="3"/>
      <c r="N252" s="3"/>
      <c r="O252" s="3"/>
      <c r="P252" s="3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3"/>
      <c r="K253" s="3"/>
      <c r="L253" s="3"/>
      <c r="M253" s="3"/>
      <c r="N253" s="3"/>
      <c r="O253" s="3"/>
      <c r="P253" s="3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3"/>
      <c r="K254" s="3"/>
      <c r="L254" s="3"/>
      <c r="M254" s="3"/>
      <c r="N254" s="3"/>
      <c r="O254" s="3"/>
      <c r="P254" s="3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3"/>
      <c r="K255" s="3"/>
      <c r="L255" s="3"/>
      <c r="M255" s="3"/>
      <c r="N255" s="3"/>
      <c r="O255" s="3"/>
      <c r="P255" s="3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3"/>
      <c r="K256" s="3"/>
      <c r="L256" s="3"/>
      <c r="M256" s="3"/>
      <c r="N256" s="3"/>
      <c r="O256" s="3"/>
      <c r="P256" s="3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3"/>
      <c r="K257" s="3"/>
      <c r="L257" s="3"/>
      <c r="M257" s="3"/>
      <c r="N257" s="3"/>
      <c r="O257" s="3"/>
      <c r="P257" s="3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3"/>
      <c r="K258" s="3"/>
      <c r="L258" s="3"/>
      <c r="M258" s="3"/>
      <c r="N258" s="3"/>
      <c r="O258" s="3"/>
      <c r="P258" s="3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3"/>
      <c r="K259" s="3"/>
      <c r="L259" s="3"/>
      <c r="M259" s="3"/>
      <c r="N259" s="3"/>
      <c r="O259" s="3"/>
      <c r="P259" s="3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3"/>
      <c r="K260" s="3"/>
      <c r="L260" s="3"/>
      <c r="M260" s="3"/>
      <c r="N260" s="3"/>
      <c r="O260" s="3"/>
      <c r="P260" s="3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3"/>
      <c r="K261" s="3"/>
      <c r="L261" s="3"/>
      <c r="M261" s="3"/>
      <c r="N261" s="3"/>
      <c r="O261" s="3"/>
      <c r="P261" s="3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3"/>
      <c r="K262" s="3"/>
      <c r="L262" s="3"/>
      <c r="M262" s="3"/>
      <c r="N262" s="3"/>
      <c r="O262" s="3"/>
      <c r="P262" s="3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3"/>
      <c r="K263" s="3"/>
      <c r="L263" s="3"/>
      <c r="M263" s="3"/>
      <c r="N263" s="3"/>
      <c r="O263" s="3"/>
      <c r="P263" s="3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3"/>
      <c r="K264" s="3"/>
      <c r="L264" s="3"/>
      <c r="M264" s="3"/>
      <c r="N264" s="3"/>
      <c r="O264" s="3"/>
      <c r="P264" s="3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3"/>
      <c r="K265" s="3"/>
      <c r="L265" s="3"/>
      <c r="M265" s="3"/>
      <c r="N265" s="3"/>
      <c r="O265" s="3"/>
      <c r="P265" s="3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3"/>
      <c r="K266" s="3"/>
      <c r="L266" s="3"/>
      <c r="M266" s="3"/>
      <c r="N266" s="3"/>
      <c r="O266" s="3"/>
      <c r="P266" s="3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3"/>
      <c r="K267" s="3"/>
      <c r="L267" s="3"/>
      <c r="M267" s="3"/>
      <c r="N267" s="3"/>
      <c r="O267" s="3"/>
      <c r="P267" s="3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3"/>
      <c r="K268" s="3"/>
      <c r="L268" s="3"/>
      <c r="M268" s="3"/>
      <c r="N268" s="3"/>
      <c r="O268" s="3"/>
      <c r="P268" s="3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3"/>
      <c r="K269" s="3"/>
      <c r="L269" s="3"/>
      <c r="M269" s="3"/>
      <c r="N269" s="3"/>
      <c r="O269" s="3"/>
      <c r="P269" s="3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3"/>
      <c r="K270" s="3"/>
      <c r="L270" s="3"/>
      <c r="M270" s="3"/>
      <c r="N270" s="3"/>
      <c r="O270" s="3"/>
      <c r="P270" s="3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3"/>
      <c r="K271" s="3"/>
      <c r="L271" s="3"/>
      <c r="M271" s="3"/>
      <c r="N271" s="3"/>
      <c r="O271" s="3"/>
      <c r="P271" s="3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3"/>
      <c r="K272" s="3"/>
      <c r="L272" s="3"/>
      <c r="M272" s="3"/>
      <c r="N272" s="3"/>
      <c r="O272" s="3"/>
      <c r="P272" s="3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3"/>
      <c r="K273" s="3"/>
      <c r="L273" s="3"/>
      <c r="M273" s="3"/>
      <c r="N273" s="3"/>
      <c r="O273" s="3"/>
      <c r="P273" s="3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3"/>
      <c r="K274" s="3"/>
      <c r="L274" s="3"/>
      <c r="M274" s="3"/>
      <c r="N274" s="3"/>
      <c r="O274" s="3"/>
      <c r="P274" s="3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3"/>
      <c r="K275" s="3"/>
      <c r="L275" s="3"/>
      <c r="M275" s="3"/>
      <c r="N275" s="3"/>
      <c r="O275" s="3"/>
      <c r="P275" s="3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3"/>
      <c r="K276" s="3"/>
      <c r="L276" s="3"/>
      <c r="M276" s="3"/>
      <c r="N276" s="3"/>
      <c r="O276" s="3"/>
      <c r="P276" s="3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3"/>
      <c r="K277" s="3"/>
      <c r="L277" s="3"/>
      <c r="M277" s="3"/>
      <c r="N277" s="3"/>
      <c r="O277" s="3"/>
      <c r="P277" s="3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3"/>
      <c r="K278" s="3"/>
      <c r="L278" s="3"/>
      <c r="M278" s="3"/>
      <c r="N278" s="3"/>
      <c r="O278" s="3"/>
      <c r="P278" s="3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3"/>
      <c r="K279" s="3"/>
      <c r="L279" s="3"/>
      <c r="M279" s="3"/>
      <c r="N279" s="3"/>
      <c r="O279" s="3"/>
      <c r="P279" s="3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3"/>
      <c r="K280" s="3"/>
      <c r="L280" s="3"/>
      <c r="M280" s="3"/>
      <c r="N280" s="3"/>
      <c r="O280" s="3"/>
      <c r="P280" s="3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3"/>
      <c r="K281" s="3"/>
      <c r="L281" s="3"/>
      <c r="M281" s="3"/>
      <c r="N281" s="3"/>
      <c r="O281" s="3"/>
      <c r="P281" s="3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3"/>
      <c r="K282" s="3"/>
      <c r="L282" s="3"/>
      <c r="M282" s="3"/>
      <c r="N282" s="3"/>
      <c r="O282" s="3"/>
      <c r="P282" s="3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3"/>
      <c r="K283" s="3"/>
      <c r="L283" s="3"/>
      <c r="M283" s="3"/>
      <c r="N283" s="3"/>
      <c r="O283" s="3"/>
      <c r="P283" s="3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3"/>
      <c r="K284" s="3"/>
      <c r="L284" s="3"/>
      <c r="M284" s="3"/>
      <c r="N284" s="3"/>
      <c r="O284" s="3"/>
      <c r="P284" s="3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3"/>
      <c r="K285" s="3"/>
      <c r="L285" s="3"/>
      <c r="M285" s="3"/>
      <c r="N285" s="3"/>
      <c r="O285" s="3"/>
      <c r="P285" s="3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3"/>
      <c r="K286" s="3"/>
      <c r="L286" s="3"/>
      <c r="M286" s="3"/>
      <c r="N286" s="3"/>
      <c r="O286" s="3"/>
      <c r="P286" s="3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3"/>
      <c r="K287" s="3"/>
      <c r="L287" s="3"/>
      <c r="M287" s="3"/>
      <c r="N287" s="3"/>
      <c r="O287" s="3"/>
      <c r="P287" s="3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3"/>
      <c r="K288" s="3"/>
      <c r="L288" s="3"/>
      <c r="M288" s="3"/>
      <c r="N288" s="3"/>
      <c r="O288" s="3"/>
      <c r="P288" s="3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3"/>
      <c r="K289" s="3"/>
      <c r="L289" s="3"/>
      <c r="M289" s="3"/>
      <c r="N289" s="3"/>
      <c r="O289" s="3"/>
      <c r="P289" s="3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3"/>
      <c r="K290" s="3"/>
      <c r="L290" s="3"/>
      <c r="M290" s="3"/>
      <c r="N290" s="3"/>
      <c r="O290" s="3"/>
      <c r="P290" s="3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3"/>
      <c r="K291" s="3"/>
      <c r="L291" s="3"/>
      <c r="M291" s="3"/>
      <c r="N291" s="3"/>
      <c r="O291" s="3"/>
      <c r="P291" s="3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3"/>
      <c r="K292" s="3"/>
      <c r="L292" s="3"/>
      <c r="M292" s="3"/>
      <c r="N292" s="3"/>
      <c r="O292" s="3"/>
      <c r="P292" s="3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3"/>
      <c r="K293" s="3"/>
      <c r="L293" s="3"/>
      <c r="M293" s="3"/>
      <c r="N293" s="3"/>
      <c r="O293" s="3"/>
      <c r="P293" s="3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3"/>
      <c r="K294" s="3"/>
      <c r="L294" s="3"/>
      <c r="M294" s="3"/>
      <c r="N294" s="3"/>
      <c r="O294" s="3"/>
      <c r="P294" s="3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3"/>
      <c r="K295" s="3"/>
      <c r="L295" s="3"/>
      <c r="M295" s="3"/>
      <c r="N295" s="3"/>
      <c r="O295" s="3"/>
      <c r="P295" s="3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3"/>
      <c r="K296" s="3"/>
      <c r="L296" s="3"/>
      <c r="M296" s="3"/>
      <c r="N296" s="3"/>
      <c r="O296" s="3"/>
      <c r="P296" s="3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3"/>
      <c r="K297" s="3"/>
      <c r="L297" s="3"/>
      <c r="M297" s="3"/>
      <c r="N297" s="3"/>
      <c r="O297" s="3"/>
      <c r="P297" s="3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3"/>
      <c r="K298" s="3"/>
      <c r="L298" s="3"/>
      <c r="M298" s="3"/>
      <c r="N298" s="3"/>
      <c r="O298" s="3"/>
      <c r="P298" s="3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3"/>
      <c r="K299" s="3"/>
      <c r="L299" s="3"/>
      <c r="M299" s="3"/>
      <c r="N299" s="3"/>
      <c r="O299" s="3"/>
      <c r="P299" s="3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3"/>
      <c r="K300" s="3"/>
      <c r="L300" s="3"/>
      <c r="M300" s="3"/>
      <c r="N300" s="3"/>
      <c r="O300" s="3"/>
      <c r="P300" s="3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3"/>
      <c r="K301" s="3"/>
      <c r="L301" s="3"/>
      <c r="M301" s="3"/>
      <c r="N301" s="3"/>
      <c r="O301" s="3"/>
      <c r="P301" s="3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3"/>
      <c r="K302" s="3"/>
      <c r="L302" s="3"/>
      <c r="M302" s="3"/>
      <c r="N302" s="3"/>
      <c r="O302" s="3"/>
      <c r="P302" s="3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3"/>
      <c r="K303" s="3"/>
      <c r="L303" s="3"/>
      <c r="M303" s="3"/>
      <c r="N303" s="3"/>
      <c r="O303" s="3"/>
      <c r="P303" s="3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3"/>
      <c r="K304" s="3"/>
      <c r="L304" s="3"/>
      <c r="M304" s="3"/>
      <c r="N304" s="3"/>
      <c r="O304" s="3"/>
      <c r="P304" s="3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3"/>
      <c r="K305" s="3"/>
      <c r="L305" s="3"/>
      <c r="M305" s="3"/>
      <c r="N305" s="3"/>
      <c r="O305" s="3"/>
      <c r="P305" s="3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3"/>
      <c r="K306" s="3"/>
      <c r="L306" s="3"/>
      <c r="M306" s="3"/>
      <c r="N306" s="3"/>
      <c r="O306" s="3"/>
      <c r="P306" s="3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3"/>
      <c r="K307" s="3"/>
      <c r="L307" s="3"/>
      <c r="M307" s="3"/>
      <c r="N307" s="3"/>
      <c r="O307" s="3"/>
      <c r="P307" s="3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3"/>
      <c r="K308" s="3"/>
      <c r="L308" s="3"/>
      <c r="M308" s="3"/>
      <c r="N308" s="3"/>
      <c r="O308" s="3"/>
      <c r="P308" s="3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3"/>
      <c r="K309" s="3"/>
      <c r="L309" s="3"/>
      <c r="M309" s="3"/>
      <c r="N309" s="3"/>
      <c r="O309" s="3"/>
      <c r="P309" s="3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3"/>
      <c r="K310" s="3"/>
      <c r="L310" s="3"/>
      <c r="M310" s="3"/>
      <c r="N310" s="3"/>
      <c r="O310" s="3"/>
      <c r="P310" s="3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3"/>
      <c r="K311" s="3"/>
      <c r="L311" s="3"/>
      <c r="M311" s="3"/>
      <c r="N311" s="3"/>
      <c r="O311" s="3"/>
      <c r="P311" s="3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3"/>
      <c r="K312" s="3"/>
      <c r="L312" s="3"/>
      <c r="M312" s="3"/>
      <c r="N312" s="3"/>
      <c r="O312" s="3"/>
      <c r="P312" s="3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3"/>
      <c r="K313" s="3"/>
      <c r="L313" s="3"/>
      <c r="M313" s="3"/>
      <c r="N313" s="3"/>
      <c r="O313" s="3"/>
      <c r="P313" s="3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3"/>
      <c r="K314" s="3"/>
      <c r="L314" s="3"/>
      <c r="M314" s="3"/>
      <c r="N314" s="3"/>
      <c r="O314" s="3"/>
      <c r="P314" s="3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3"/>
      <c r="K315" s="3"/>
      <c r="L315" s="3"/>
      <c r="M315" s="3"/>
      <c r="N315" s="3"/>
      <c r="O315" s="3"/>
      <c r="P315" s="3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3"/>
      <c r="K316" s="3"/>
      <c r="L316" s="3"/>
      <c r="M316" s="3"/>
      <c r="N316" s="3"/>
      <c r="O316" s="3"/>
      <c r="P316" s="3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3"/>
      <c r="K317" s="3"/>
      <c r="L317" s="3"/>
      <c r="M317" s="3"/>
      <c r="N317" s="3"/>
      <c r="O317" s="3"/>
      <c r="P317" s="3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3"/>
      <c r="K318" s="3"/>
      <c r="L318" s="3"/>
      <c r="M318" s="3"/>
      <c r="N318" s="3"/>
      <c r="O318" s="3"/>
      <c r="P318" s="3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3"/>
      <c r="K319" s="3"/>
      <c r="L319" s="3"/>
      <c r="M319" s="3"/>
      <c r="N319" s="3"/>
      <c r="O319" s="3"/>
      <c r="P319" s="3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3"/>
      <c r="K320" s="3"/>
      <c r="L320" s="3"/>
      <c r="M320" s="3"/>
      <c r="N320" s="3"/>
      <c r="O320" s="3"/>
      <c r="P320" s="3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3"/>
      <c r="K321" s="3"/>
      <c r="L321" s="3"/>
      <c r="M321" s="3"/>
      <c r="N321" s="3"/>
      <c r="O321" s="3"/>
      <c r="P321" s="3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3"/>
      <c r="K322" s="3"/>
      <c r="L322" s="3"/>
      <c r="M322" s="3"/>
      <c r="N322" s="3"/>
      <c r="O322" s="3"/>
      <c r="P322" s="3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3"/>
      <c r="K323" s="3"/>
      <c r="L323" s="3"/>
      <c r="M323" s="3"/>
      <c r="N323" s="3"/>
      <c r="O323" s="3"/>
      <c r="P323" s="3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3"/>
      <c r="K324" s="3"/>
      <c r="L324" s="3"/>
      <c r="M324" s="3"/>
      <c r="N324" s="3"/>
      <c r="O324" s="3"/>
      <c r="P324" s="3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3"/>
      <c r="K325" s="3"/>
      <c r="L325" s="3"/>
      <c r="M325" s="3"/>
      <c r="N325" s="3"/>
      <c r="O325" s="3"/>
      <c r="P325" s="3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2.5" x14ac:dyDescent="0.25">
      <c r="J326" s="115"/>
      <c r="K326" s="115"/>
      <c r="L326" s="115"/>
      <c r="M326" s="115"/>
      <c r="N326" s="115"/>
      <c r="O326" s="115"/>
      <c r="P326" s="115"/>
    </row>
    <row r="327" spans="1:30" ht="12.5" x14ac:dyDescent="0.25">
      <c r="J327" s="115"/>
      <c r="K327" s="115"/>
      <c r="L327" s="115"/>
      <c r="M327" s="115"/>
      <c r="N327" s="115"/>
      <c r="O327" s="115"/>
      <c r="P327" s="115"/>
    </row>
    <row r="328" spans="1:30" ht="12.5" x14ac:dyDescent="0.25">
      <c r="J328" s="115"/>
      <c r="K328" s="115"/>
      <c r="L328" s="115"/>
      <c r="M328" s="115"/>
      <c r="N328" s="115"/>
      <c r="O328" s="115"/>
      <c r="P328" s="115"/>
    </row>
    <row r="329" spans="1:30" ht="12.5" x14ac:dyDescent="0.25">
      <c r="J329" s="115"/>
      <c r="K329" s="115"/>
      <c r="L329" s="115"/>
      <c r="M329" s="115"/>
      <c r="N329" s="115"/>
      <c r="O329" s="115"/>
      <c r="P329" s="115"/>
    </row>
    <row r="330" spans="1:30" ht="12.5" x14ac:dyDescent="0.25">
      <c r="J330" s="115"/>
      <c r="K330" s="115"/>
      <c r="L330" s="115"/>
      <c r="M330" s="115"/>
      <c r="N330" s="115"/>
      <c r="O330" s="115"/>
      <c r="P330" s="115"/>
    </row>
    <row r="331" spans="1:30" ht="12.5" x14ac:dyDescent="0.25">
      <c r="J331" s="115"/>
      <c r="K331" s="115"/>
      <c r="L331" s="115"/>
      <c r="M331" s="115"/>
      <c r="N331" s="115"/>
      <c r="O331" s="115"/>
      <c r="P331" s="115"/>
    </row>
    <row r="332" spans="1:30" ht="12.5" x14ac:dyDescent="0.25">
      <c r="J332" s="115"/>
      <c r="K332" s="115"/>
      <c r="L332" s="115"/>
      <c r="M332" s="115"/>
      <c r="N332" s="115"/>
      <c r="O332" s="115"/>
      <c r="P332" s="115"/>
    </row>
    <row r="333" spans="1:30" ht="12.5" x14ac:dyDescent="0.25">
      <c r="J333" s="115"/>
      <c r="K333" s="115"/>
      <c r="L333" s="115"/>
      <c r="M333" s="115"/>
      <c r="N333" s="115"/>
      <c r="O333" s="115"/>
      <c r="P333" s="115"/>
    </row>
    <row r="334" spans="1:30" ht="12.5" x14ac:dyDescent="0.25">
      <c r="J334" s="115"/>
      <c r="K334" s="115"/>
      <c r="L334" s="115"/>
      <c r="M334" s="115"/>
      <c r="N334" s="115"/>
      <c r="O334" s="115"/>
      <c r="P334" s="115"/>
    </row>
    <row r="335" spans="1:30" ht="12.5" x14ac:dyDescent="0.25">
      <c r="J335" s="115"/>
      <c r="K335" s="115"/>
      <c r="L335" s="115"/>
      <c r="M335" s="115"/>
      <c r="N335" s="115"/>
      <c r="O335" s="115"/>
      <c r="P335" s="115"/>
    </row>
    <row r="336" spans="1:30" ht="12.5" x14ac:dyDescent="0.25">
      <c r="J336" s="115"/>
      <c r="K336" s="115"/>
      <c r="L336" s="115"/>
      <c r="M336" s="115"/>
      <c r="N336" s="115"/>
      <c r="O336" s="115"/>
      <c r="P336" s="115"/>
    </row>
    <row r="337" spans="10:16" ht="12.5" x14ac:dyDescent="0.25">
      <c r="J337" s="115"/>
      <c r="K337" s="115"/>
      <c r="L337" s="115"/>
      <c r="M337" s="115"/>
      <c r="N337" s="115"/>
      <c r="O337" s="115"/>
      <c r="P337" s="115"/>
    </row>
    <row r="338" spans="10:16" ht="12.5" x14ac:dyDescent="0.25">
      <c r="J338" s="115"/>
      <c r="K338" s="115"/>
      <c r="L338" s="115"/>
      <c r="M338" s="115"/>
      <c r="N338" s="115"/>
      <c r="O338" s="115"/>
      <c r="P338" s="115"/>
    </row>
    <row r="339" spans="10:16" ht="12.5" x14ac:dyDescent="0.25">
      <c r="J339" s="115"/>
      <c r="K339" s="115"/>
      <c r="L339" s="115"/>
      <c r="M339" s="115"/>
      <c r="N339" s="115"/>
      <c r="O339" s="115"/>
      <c r="P339" s="115"/>
    </row>
    <row r="340" spans="10:16" ht="12.5" x14ac:dyDescent="0.25">
      <c r="J340" s="115"/>
      <c r="K340" s="115"/>
      <c r="L340" s="115"/>
      <c r="M340" s="115"/>
      <c r="N340" s="115"/>
      <c r="O340" s="115"/>
      <c r="P340" s="115"/>
    </row>
    <row r="341" spans="10:16" ht="12.5" x14ac:dyDescent="0.25">
      <c r="J341" s="115"/>
      <c r="K341" s="115"/>
      <c r="L341" s="115"/>
      <c r="M341" s="115"/>
      <c r="N341" s="115"/>
      <c r="O341" s="115"/>
      <c r="P341" s="115"/>
    </row>
    <row r="342" spans="10:16" ht="12.5" x14ac:dyDescent="0.25">
      <c r="J342" s="115"/>
      <c r="K342" s="115"/>
      <c r="L342" s="115"/>
      <c r="M342" s="115"/>
      <c r="N342" s="115"/>
      <c r="O342" s="115"/>
      <c r="P342" s="115"/>
    </row>
    <row r="343" spans="10:16" ht="12.5" x14ac:dyDescent="0.25">
      <c r="J343" s="115"/>
      <c r="K343" s="115"/>
      <c r="L343" s="115"/>
      <c r="M343" s="115"/>
      <c r="N343" s="115"/>
      <c r="O343" s="115"/>
      <c r="P343" s="115"/>
    </row>
    <row r="344" spans="10:16" ht="12.5" x14ac:dyDescent="0.25">
      <c r="J344" s="115"/>
      <c r="K344" s="115"/>
      <c r="L344" s="115"/>
      <c r="M344" s="115"/>
      <c r="N344" s="115"/>
      <c r="O344" s="115"/>
      <c r="P344" s="115"/>
    </row>
    <row r="345" spans="10:16" ht="12.5" x14ac:dyDescent="0.25">
      <c r="J345" s="115"/>
      <c r="K345" s="115"/>
      <c r="L345" s="115"/>
      <c r="M345" s="115"/>
      <c r="N345" s="115"/>
      <c r="O345" s="115"/>
      <c r="P345" s="115"/>
    </row>
    <row r="346" spans="10:16" ht="12.5" x14ac:dyDescent="0.25">
      <c r="J346" s="115"/>
      <c r="K346" s="115"/>
      <c r="L346" s="115"/>
      <c r="M346" s="115"/>
      <c r="N346" s="115"/>
      <c r="O346" s="115"/>
      <c r="P346" s="115"/>
    </row>
    <row r="347" spans="10:16" ht="12.5" x14ac:dyDescent="0.25">
      <c r="J347" s="115"/>
      <c r="K347" s="115"/>
      <c r="L347" s="115"/>
      <c r="M347" s="115"/>
      <c r="N347" s="115"/>
      <c r="O347" s="115"/>
      <c r="P347" s="115"/>
    </row>
    <row r="348" spans="10:16" ht="12.5" x14ac:dyDescent="0.25">
      <c r="J348" s="115"/>
      <c r="K348" s="115"/>
      <c r="L348" s="115"/>
      <c r="M348" s="115"/>
      <c r="N348" s="115"/>
      <c r="O348" s="115"/>
      <c r="P348" s="115"/>
    </row>
    <row r="349" spans="10:16" ht="12.5" x14ac:dyDescent="0.25">
      <c r="J349" s="115"/>
      <c r="K349" s="115"/>
      <c r="L349" s="115"/>
      <c r="M349" s="115"/>
      <c r="N349" s="115"/>
      <c r="O349" s="115"/>
      <c r="P349" s="115"/>
    </row>
    <row r="350" spans="10:16" ht="12.5" x14ac:dyDescent="0.25">
      <c r="J350" s="115"/>
      <c r="K350" s="115"/>
      <c r="L350" s="115"/>
      <c r="M350" s="115"/>
      <c r="N350" s="115"/>
      <c r="O350" s="115"/>
      <c r="P350" s="115"/>
    </row>
    <row r="351" spans="10:16" ht="12.5" x14ac:dyDescent="0.25">
      <c r="J351" s="115"/>
      <c r="K351" s="115"/>
      <c r="L351" s="115"/>
      <c r="M351" s="115"/>
      <c r="N351" s="115"/>
      <c r="O351" s="115"/>
      <c r="P351" s="115"/>
    </row>
    <row r="352" spans="10:16" ht="12.5" x14ac:dyDescent="0.25">
      <c r="J352" s="115"/>
      <c r="K352" s="115"/>
      <c r="L352" s="115"/>
      <c r="M352" s="115"/>
      <c r="N352" s="115"/>
      <c r="O352" s="115"/>
      <c r="P352" s="115"/>
    </row>
    <row r="353" spans="10:16" ht="12.5" x14ac:dyDescent="0.25">
      <c r="J353" s="115"/>
      <c r="K353" s="115"/>
      <c r="L353" s="115"/>
      <c r="M353" s="115"/>
      <c r="N353" s="115"/>
      <c r="O353" s="115"/>
      <c r="P353" s="115"/>
    </row>
    <row r="354" spans="10:16" ht="12.5" x14ac:dyDescent="0.25">
      <c r="J354" s="115"/>
      <c r="K354" s="115"/>
      <c r="L354" s="115"/>
      <c r="M354" s="115"/>
      <c r="N354" s="115"/>
      <c r="O354" s="115"/>
      <c r="P354" s="115"/>
    </row>
    <row r="355" spans="10:16" ht="12.5" x14ac:dyDescent="0.25">
      <c r="J355" s="115"/>
      <c r="K355" s="115"/>
      <c r="L355" s="115"/>
      <c r="M355" s="115"/>
      <c r="N355" s="115"/>
      <c r="O355" s="115"/>
      <c r="P355" s="115"/>
    </row>
    <row r="356" spans="10:16" ht="12.5" x14ac:dyDescent="0.25">
      <c r="J356" s="115"/>
      <c r="K356" s="115"/>
      <c r="L356" s="115"/>
      <c r="M356" s="115"/>
      <c r="N356" s="115"/>
      <c r="O356" s="115"/>
      <c r="P356" s="115"/>
    </row>
    <row r="357" spans="10:16" ht="12.5" x14ac:dyDescent="0.25">
      <c r="J357" s="115"/>
      <c r="K357" s="115"/>
      <c r="L357" s="115"/>
      <c r="M357" s="115"/>
      <c r="N357" s="115"/>
      <c r="O357" s="115"/>
      <c r="P357" s="115"/>
    </row>
    <row r="358" spans="10:16" ht="12.5" x14ac:dyDescent="0.25">
      <c r="J358" s="115"/>
      <c r="K358" s="115"/>
      <c r="L358" s="115"/>
      <c r="M358" s="115"/>
      <c r="N358" s="115"/>
      <c r="O358" s="115"/>
      <c r="P358" s="115"/>
    </row>
    <row r="359" spans="10:16" ht="12.5" x14ac:dyDescent="0.25">
      <c r="J359" s="115"/>
      <c r="K359" s="115"/>
      <c r="L359" s="115"/>
      <c r="M359" s="115"/>
      <c r="N359" s="115"/>
      <c r="O359" s="115"/>
      <c r="P359" s="115"/>
    </row>
    <row r="360" spans="10:16" ht="12.5" x14ac:dyDescent="0.25">
      <c r="J360" s="115"/>
      <c r="K360" s="115"/>
      <c r="L360" s="115"/>
      <c r="M360" s="115"/>
      <c r="N360" s="115"/>
      <c r="O360" s="115"/>
      <c r="P360" s="115"/>
    </row>
    <row r="361" spans="10:16" ht="12.5" x14ac:dyDescent="0.25">
      <c r="J361" s="115"/>
      <c r="K361" s="115"/>
      <c r="L361" s="115"/>
      <c r="M361" s="115"/>
      <c r="N361" s="115"/>
      <c r="O361" s="115"/>
      <c r="P361" s="115"/>
    </row>
    <row r="362" spans="10:16" ht="12.5" x14ac:dyDescent="0.25">
      <c r="J362" s="115"/>
      <c r="K362" s="115"/>
      <c r="L362" s="115"/>
      <c r="M362" s="115"/>
      <c r="N362" s="115"/>
      <c r="O362" s="115"/>
      <c r="P362" s="115"/>
    </row>
    <row r="363" spans="10:16" ht="12.5" x14ac:dyDescent="0.25">
      <c r="J363" s="115"/>
      <c r="K363" s="115"/>
      <c r="L363" s="115"/>
      <c r="M363" s="115"/>
      <c r="N363" s="115"/>
      <c r="O363" s="115"/>
      <c r="P363" s="115"/>
    </row>
    <row r="364" spans="10:16" ht="12.5" x14ac:dyDescent="0.25">
      <c r="J364" s="115"/>
      <c r="K364" s="115"/>
      <c r="L364" s="115"/>
      <c r="M364" s="115"/>
      <c r="N364" s="115"/>
      <c r="O364" s="115"/>
      <c r="P364" s="115"/>
    </row>
    <row r="365" spans="10:16" ht="12.5" x14ac:dyDescent="0.25">
      <c r="J365" s="115"/>
      <c r="K365" s="115"/>
      <c r="L365" s="115"/>
      <c r="M365" s="115"/>
      <c r="N365" s="115"/>
      <c r="O365" s="115"/>
      <c r="P365" s="115"/>
    </row>
    <row r="366" spans="10:16" ht="12.5" x14ac:dyDescent="0.25">
      <c r="J366" s="115"/>
      <c r="K366" s="115"/>
      <c r="L366" s="115"/>
      <c r="M366" s="115"/>
      <c r="N366" s="115"/>
      <c r="O366" s="115"/>
      <c r="P366" s="115"/>
    </row>
    <row r="367" spans="10:16" ht="12.5" x14ac:dyDescent="0.25">
      <c r="J367" s="115"/>
      <c r="K367" s="115"/>
      <c r="L367" s="115"/>
      <c r="M367" s="115"/>
      <c r="N367" s="115"/>
      <c r="O367" s="115"/>
      <c r="P367" s="115"/>
    </row>
    <row r="368" spans="10:16" ht="12.5" x14ac:dyDescent="0.25">
      <c r="J368" s="115"/>
      <c r="K368" s="115"/>
      <c r="L368" s="115"/>
      <c r="M368" s="115"/>
      <c r="N368" s="115"/>
      <c r="O368" s="115"/>
      <c r="P368" s="115"/>
    </row>
    <row r="369" spans="10:16" ht="12.5" x14ac:dyDescent="0.25">
      <c r="J369" s="115"/>
      <c r="K369" s="115"/>
      <c r="L369" s="115"/>
      <c r="M369" s="115"/>
      <c r="N369" s="115"/>
      <c r="O369" s="115"/>
      <c r="P369" s="115"/>
    </row>
    <row r="370" spans="10:16" ht="12.5" x14ac:dyDescent="0.25">
      <c r="J370" s="115"/>
      <c r="K370" s="115"/>
      <c r="L370" s="115"/>
      <c r="M370" s="115"/>
      <c r="N370" s="115"/>
      <c r="O370" s="115"/>
      <c r="P370" s="115"/>
    </row>
    <row r="371" spans="10:16" ht="12.5" x14ac:dyDescent="0.25">
      <c r="J371" s="115"/>
      <c r="K371" s="115"/>
      <c r="L371" s="115"/>
      <c r="M371" s="115"/>
      <c r="N371" s="115"/>
      <c r="O371" s="115"/>
      <c r="P371" s="115"/>
    </row>
    <row r="372" spans="10:16" ht="12.5" x14ac:dyDescent="0.25">
      <c r="J372" s="115"/>
      <c r="K372" s="115"/>
      <c r="L372" s="115"/>
      <c r="M372" s="115"/>
      <c r="N372" s="115"/>
      <c r="O372" s="115"/>
      <c r="P372" s="115"/>
    </row>
    <row r="373" spans="10:16" ht="12.5" x14ac:dyDescent="0.25">
      <c r="J373" s="115"/>
      <c r="K373" s="115"/>
      <c r="L373" s="115"/>
      <c r="M373" s="115"/>
      <c r="N373" s="115"/>
      <c r="O373" s="115"/>
      <c r="P373" s="115"/>
    </row>
    <row r="374" spans="10:16" ht="12.5" x14ac:dyDescent="0.25">
      <c r="J374" s="115"/>
      <c r="K374" s="115"/>
      <c r="L374" s="115"/>
      <c r="M374" s="115"/>
      <c r="N374" s="115"/>
      <c r="O374" s="115"/>
      <c r="P374" s="115"/>
    </row>
    <row r="375" spans="10:16" ht="12.5" x14ac:dyDescent="0.25">
      <c r="J375" s="115"/>
      <c r="K375" s="115"/>
      <c r="L375" s="115"/>
      <c r="M375" s="115"/>
      <c r="N375" s="115"/>
      <c r="O375" s="115"/>
      <c r="P375" s="115"/>
    </row>
    <row r="376" spans="10:16" ht="12.5" x14ac:dyDescent="0.25">
      <c r="J376" s="115"/>
      <c r="K376" s="115"/>
      <c r="L376" s="115"/>
      <c r="M376" s="115"/>
      <c r="N376" s="115"/>
      <c r="O376" s="115"/>
      <c r="P376" s="115"/>
    </row>
    <row r="377" spans="10:16" ht="12.5" x14ac:dyDescent="0.25">
      <c r="J377" s="115"/>
      <c r="K377" s="115"/>
      <c r="L377" s="115"/>
      <c r="M377" s="115"/>
      <c r="N377" s="115"/>
      <c r="O377" s="115"/>
      <c r="P377" s="115"/>
    </row>
    <row r="378" spans="10:16" ht="12.5" x14ac:dyDescent="0.25">
      <c r="J378" s="115"/>
      <c r="K378" s="115"/>
      <c r="L378" s="115"/>
      <c r="M378" s="115"/>
      <c r="N378" s="115"/>
      <c r="O378" s="115"/>
      <c r="P378" s="115"/>
    </row>
    <row r="379" spans="10:16" ht="12.5" x14ac:dyDescent="0.25">
      <c r="J379" s="115"/>
      <c r="K379" s="115"/>
      <c r="L379" s="115"/>
      <c r="M379" s="115"/>
      <c r="N379" s="115"/>
      <c r="O379" s="115"/>
      <c r="P379" s="115"/>
    </row>
    <row r="380" spans="10:16" ht="12.5" x14ac:dyDescent="0.25">
      <c r="J380" s="115"/>
      <c r="K380" s="115"/>
      <c r="L380" s="115"/>
      <c r="M380" s="115"/>
      <c r="N380" s="115"/>
      <c r="O380" s="115"/>
      <c r="P380" s="115"/>
    </row>
    <row r="381" spans="10:16" ht="12.5" x14ac:dyDescent="0.25">
      <c r="J381" s="115"/>
      <c r="K381" s="115"/>
      <c r="L381" s="115"/>
      <c r="M381" s="115"/>
      <c r="N381" s="115"/>
      <c r="O381" s="115"/>
      <c r="P381" s="115"/>
    </row>
    <row r="382" spans="10:16" ht="12.5" x14ac:dyDescent="0.25">
      <c r="J382" s="115"/>
      <c r="K382" s="115"/>
      <c r="L382" s="115"/>
      <c r="M382" s="115"/>
      <c r="N382" s="115"/>
      <c r="O382" s="115"/>
      <c r="P382" s="115"/>
    </row>
    <row r="383" spans="10:16" ht="12.5" x14ac:dyDescent="0.25">
      <c r="J383" s="115"/>
      <c r="K383" s="115"/>
      <c r="L383" s="115"/>
      <c r="M383" s="115"/>
      <c r="N383" s="115"/>
      <c r="O383" s="115"/>
      <c r="P383" s="115"/>
    </row>
    <row r="384" spans="10:16" ht="12.5" x14ac:dyDescent="0.25">
      <c r="J384" s="115"/>
      <c r="K384" s="115"/>
      <c r="L384" s="115"/>
      <c r="M384" s="115"/>
      <c r="N384" s="115"/>
      <c r="O384" s="115"/>
      <c r="P384" s="115"/>
    </row>
    <row r="385" spans="10:16" ht="12.5" x14ac:dyDescent="0.25">
      <c r="J385" s="115"/>
      <c r="K385" s="115"/>
      <c r="L385" s="115"/>
      <c r="M385" s="115"/>
      <c r="N385" s="115"/>
      <c r="O385" s="115"/>
      <c r="P385" s="115"/>
    </row>
    <row r="386" spans="10:16" ht="12.5" x14ac:dyDescent="0.25">
      <c r="J386" s="115"/>
      <c r="K386" s="115"/>
      <c r="L386" s="115"/>
      <c r="M386" s="115"/>
      <c r="N386" s="115"/>
      <c r="O386" s="115"/>
      <c r="P386" s="115"/>
    </row>
    <row r="387" spans="10:16" ht="12.5" x14ac:dyDescent="0.25">
      <c r="J387" s="115"/>
      <c r="K387" s="115"/>
      <c r="L387" s="115"/>
      <c r="M387" s="115"/>
      <c r="N387" s="115"/>
      <c r="O387" s="115"/>
      <c r="P387" s="115"/>
    </row>
    <row r="388" spans="10:16" ht="12.5" x14ac:dyDescent="0.25">
      <c r="J388" s="115"/>
      <c r="K388" s="115"/>
      <c r="L388" s="115"/>
      <c r="M388" s="115"/>
      <c r="N388" s="115"/>
      <c r="O388" s="115"/>
      <c r="P388" s="115"/>
    </row>
    <row r="389" spans="10:16" ht="12.5" x14ac:dyDescent="0.25">
      <c r="J389" s="115"/>
      <c r="K389" s="115"/>
      <c r="L389" s="115"/>
      <c r="M389" s="115"/>
      <c r="N389" s="115"/>
      <c r="O389" s="115"/>
      <c r="P389" s="115"/>
    </row>
    <row r="390" spans="10:16" ht="12.5" x14ac:dyDescent="0.25">
      <c r="J390" s="115"/>
      <c r="K390" s="115"/>
      <c r="L390" s="115"/>
      <c r="M390" s="115"/>
      <c r="N390" s="115"/>
      <c r="O390" s="115"/>
      <c r="P390" s="115"/>
    </row>
    <row r="391" spans="10:16" ht="12.5" x14ac:dyDescent="0.25">
      <c r="J391" s="115"/>
      <c r="K391" s="115"/>
      <c r="L391" s="115"/>
      <c r="M391" s="115"/>
      <c r="N391" s="115"/>
      <c r="O391" s="115"/>
      <c r="P391" s="115"/>
    </row>
    <row r="392" spans="10:16" ht="12.5" x14ac:dyDescent="0.25">
      <c r="J392" s="115"/>
      <c r="K392" s="115"/>
      <c r="L392" s="115"/>
      <c r="M392" s="115"/>
      <c r="N392" s="115"/>
      <c r="O392" s="115"/>
      <c r="P392" s="115"/>
    </row>
    <row r="393" spans="10:16" ht="12.5" x14ac:dyDescent="0.25">
      <c r="J393" s="115"/>
      <c r="K393" s="115"/>
      <c r="L393" s="115"/>
      <c r="M393" s="115"/>
      <c r="N393" s="115"/>
      <c r="O393" s="115"/>
      <c r="P393" s="115"/>
    </row>
    <row r="394" spans="10:16" ht="12.5" x14ac:dyDescent="0.25">
      <c r="J394" s="115"/>
      <c r="K394" s="115"/>
      <c r="L394" s="115"/>
      <c r="M394" s="115"/>
      <c r="N394" s="115"/>
      <c r="O394" s="115"/>
      <c r="P394" s="115"/>
    </row>
    <row r="395" spans="10:16" ht="12.5" x14ac:dyDescent="0.25">
      <c r="J395" s="115"/>
      <c r="K395" s="115"/>
      <c r="L395" s="115"/>
      <c r="M395" s="115"/>
      <c r="N395" s="115"/>
      <c r="O395" s="115"/>
      <c r="P395" s="115"/>
    </row>
    <row r="396" spans="10:16" ht="12.5" x14ac:dyDescent="0.25">
      <c r="J396" s="115"/>
      <c r="K396" s="115"/>
      <c r="L396" s="115"/>
      <c r="M396" s="115"/>
      <c r="N396" s="115"/>
      <c r="O396" s="115"/>
      <c r="P396" s="115"/>
    </row>
    <row r="397" spans="10:16" ht="12.5" x14ac:dyDescent="0.25">
      <c r="J397" s="115"/>
      <c r="K397" s="115"/>
      <c r="L397" s="115"/>
      <c r="M397" s="115"/>
      <c r="N397" s="115"/>
      <c r="O397" s="115"/>
      <c r="P397" s="115"/>
    </row>
    <row r="398" spans="10:16" ht="12.5" x14ac:dyDescent="0.25">
      <c r="J398" s="115"/>
      <c r="K398" s="115"/>
      <c r="L398" s="115"/>
      <c r="M398" s="115"/>
      <c r="N398" s="115"/>
      <c r="O398" s="115"/>
      <c r="P398" s="115"/>
    </row>
    <row r="399" spans="10:16" ht="12.5" x14ac:dyDescent="0.25">
      <c r="J399" s="115"/>
      <c r="K399" s="115"/>
      <c r="L399" s="115"/>
      <c r="M399" s="115"/>
      <c r="N399" s="115"/>
      <c r="O399" s="115"/>
      <c r="P399" s="115"/>
    </row>
    <row r="400" spans="10:16" ht="12.5" x14ac:dyDescent="0.25">
      <c r="J400" s="115"/>
      <c r="K400" s="115"/>
      <c r="L400" s="115"/>
      <c r="M400" s="115"/>
      <c r="N400" s="115"/>
      <c r="O400" s="115"/>
      <c r="P400" s="115"/>
    </row>
    <row r="401" spans="10:16" ht="12.5" x14ac:dyDescent="0.25">
      <c r="J401" s="115"/>
      <c r="K401" s="115"/>
      <c r="L401" s="115"/>
      <c r="M401" s="115"/>
      <c r="N401" s="115"/>
      <c r="O401" s="115"/>
      <c r="P401" s="115"/>
    </row>
    <row r="402" spans="10:16" ht="12.5" x14ac:dyDescent="0.25">
      <c r="J402" s="115"/>
      <c r="K402" s="115"/>
      <c r="L402" s="115"/>
      <c r="M402" s="115"/>
      <c r="N402" s="115"/>
      <c r="O402" s="115"/>
      <c r="P402" s="115"/>
    </row>
    <row r="403" spans="10:16" ht="12.5" x14ac:dyDescent="0.25">
      <c r="J403" s="115"/>
      <c r="K403" s="115"/>
      <c r="L403" s="115"/>
      <c r="M403" s="115"/>
      <c r="N403" s="115"/>
      <c r="O403" s="115"/>
      <c r="P403" s="115"/>
    </row>
    <row r="404" spans="10:16" ht="12.5" x14ac:dyDescent="0.25">
      <c r="J404" s="115"/>
      <c r="K404" s="115"/>
      <c r="L404" s="115"/>
      <c r="M404" s="115"/>
      <c r="N404" s="115"/>
      <c r="O404" s="115"/>
      <c r="P404" s="115"/>
    </row>
    <row r="405" spans="10:16" ht="12.5" x14ac:dyDescent="0.25">
      <c r="J405" s="115"/>
      <c r="K405" s="115"/>
      <c r="L405" s="115"/>
      <c r="M405" s="115"/>
      <c r="N405" s="115"/>
      <c r="O405" s="115"/>
      <c r="P405" s="115"/>
    </row>
    <row r="406" spans="10:16" ht="12.5" x14ac:dyDescent="0.25">
      <c r="J406" s="115"/>
      <c r="K406" s="115"/>
      <c r="L406" s="115"/>
      <c r="M406" s="115"/>
      <c r="N406" s="115"/>
      <c r="O406" s="115"/>
      <c r="P406" s="115"/>
    </row>
    <row r="407" spans="10:16" ht="12.5" x14ac:dyDescent="0.25">
      <c r="J407" s="115"/>
      <c r="K407" s="115"/>
      <c r="L407" s="115"/>
      <c r="M407" s="115"/>
      <c r="N407" s="115"/>
      <c r="O407" s="115"/>
      <c r="P407" s="115"/>
    </row>
    <row r="408" spans="10:16" ht="12.5" x14ac:dyDescent="0.25">
      <c r="J408" s="115"/>
      <c r="K408" s="115"/>
      <c r="L408" s="115"/>
      <c r="M408" s="115"/>
      <c r="N408" s="115"/>
      <c r="O408" s="115"/>
      <c r="P408" s="115"/>
    </row>
    <row r="409" spans="10:16" ht="12.5" x14ac:dyDescent="0.25">
      <c r="J409" s="115"/>
      <c r="K409" s="115"/>
      <c r="L409" s="115"/>
      <c r="M409" s="115"/>
      <c r="N409" s="115"/>
      <c r="O409" s="115"/>
      <c r="P409" s="115"/>
    </row>
    <row r="410" spans="10:16" ht="12.5" x14ac:dyDescent="0.25">
      <c r="J410" s="115"/>
      <c r="K410" s="115"/>
      <c r="L410" s="115"/>
      <c r="M410" s="115"/>
      <c r="N410" s="115"/>
      <c r="O410" s="115"/>
      <c r="P410" s="115"/>
    </row>
    <row r="411" spans="10:16" ht="12.5" x14ac:dyDescent="0.25">
      <c r="J411" s="115"/>
      <c r="K411" s="115"/>
      <c r="L411" s="115"/>
      <c r="M411" s="115"/>
      <c r="N411" s="115"/>
      <c r="O411" s="115"/>
      <c r="P411" s="115"/>
    </row>
    <row r="412" spans="10:16" ht="12.5" x14ac:dyDescent="0.25">
      <c r="J412" s="115"/>
      <c r="K412" s="115"/>
      <c r="L412" s="115"/>
      <c r="M412" s="115"/>
      <c r="N412" s="115"/>
      <c r="O412" s="115"/>
      <c r="P412" s="115"/>
    </row>
    <row r="413" spans="10:16" ht="12.5" x14ac:dyDescent="0.25">
      <c r="J413" s="115"/>
      <c r="K413" s="115"/>
      <c r="L413" s="115"/>
      <c r="M413" s="115"/>
      <c r="N413" s="115"/>
      <c r="O413" s="115"/>
      <c r="P413" s="115"/>
    </row>
    <row r="414" spans="10:16" ht="12.5" x14ac:dyDescent="0.25">
      <c r="J414" s="115"/>
      <c r="K414" s="115"/>
      <c r="L414" s="115"/>
      <c r="M414" s="115"/>
      <c r="N414" s="115"/>
      <c r="O414" s="115"/>
      <c r="P414" s="115"/>
    </row>
    <row r="415" spans="10:16" ht="12.5" x14ac:dyDescent="0.25">
      <c r="J415" s="115"/>
      <c r="K415" s="115"/>
      <c r="L415" s="115"/>
      <c r="M415" s="115"/>
      <c r="N415" s="115"/>
      <c r="O415" s="115"/>
      <c r="P415" s="115"/>
    </row>
    <row r="416" spans="10:16" ht="12.5" x14ac:dyDescent="0.25">
      <c r="J416" s="115"/>
      <c r="K416" s="115"/>
      <c r="L416" s="115"/>
      <c r="M416" s="115"/>
      <c r="N416" s="115"/>
      <c r="O416" s="115"/>
      <c r="P416" s="115"/>
    </row>
    <row r="417" spans="10:16" ht="12.5" x14ac:dyDescent="0.25">
      <c r="J417" s="115"/>
      <c r="K417" s="115"/>
      <c r="L417" s="115"/>
      <c r="M417" s="115"/>
      <c r="N417" s="115"/>
      <c r="O417" s="115"/>
      <c r="P417" s="115"/>
    </row>
    <row r="418" spans="10:16" ht="12.5" x14ac:dyDescent="0.25">
      <c r="J418" s="115"/>
      <c r="K418" s="115"/>
      <c r="L418" s="115"/>
      <c r="M418" s="115"/>
      <c r="N418" s="115"/>
      <c r="O418" s="115"/>
      <c r="P418" s="115"/>
    </row>
    <row r="419" spans="10:16" ht="12.5" x14ac:dyDescent="0.25">
      <c r="J419" s="115"/>
      <c r="K419" s="115"/>
      <c r="L419" s="115"/>
      <c r="M419" s="115"/>
      <c r="N419" s="115"/>
      <c r="O419" s="115"/>
      <c r="P419" s="115"/>
    </row>
    <row r="420" spans="10:16" ht="12.5" x14ac:dyDescent="0.25">
      <c r="J420" s="115"/>
      <c r="K420" s="115"/>
      <c r="L420" s="115"/>
      <c r="M420" s="115"/>
      <c r="N420" s="115"/>
      <c r="O420" s="115"/>
      <c r="P420" s="115"/>
    </row>
    <row r="421" spans="10:16" ht="12.5" x14ac:dyDescent="0.25">
      <c r="J421" s="115"/>
      <c r="K421" s="115"/>
      <c r="L421" s="115"/>
      <c r="M421" s="115"/>
      <c r="N421" s="115"/>
      <c r="O421" s="115"/>
      <c r="P421" s="115"/>
    </row>
    <row r="422" spans="10:16" ht="12.5" x14ac:dyDescent="0.25">
      <c r="J422" s="115"/>
      <c r="K422" s="115"/>
      <c r="L422" s="115"/>
      <c r="M422" s="115"/>
      <c r="N422" s="115"/>
      <c r="O422" s="115"/>
      <c r="P422" s="115"/>
    </row>
    <row r="423" spans="10:16" ht="12.5" x14ac:dyDescent="0.25">
      <c r="J423" s="115"/>
      <c r="K423" s="115"/>
      <c r="L423" s="115"/>
      <c r="M423" s="115"/>
      <c r="N423" s="115"/>
      <c r="O423" s="115"/>
      <c r="P423" s="115"/>
    </row>
    <row r="424" spans="10:16" ht="12.5" x14ac:dyDescent="0.25">
      <c r="J424" s="115"/>
      <c r="K424" s="115"/>
      <c r="L424" s="115"/>
      <c r="M424" s="115"/>
      <c r="N424" s="115"/>
      <c r="O424" s="115"/>
      <c r="P424" s="115"/>
    </row>
    <row r="425" spans="10:16" ht="12.5" x14ac:dyDescent="0.25">
      <c r="J425" s="115"/>
      <c r="K425" s="115"/>
      <c r="L425" s="115"/>
      <c r="M425" s="115"/>
      <c r="N425" s="115"/>
      <c r="O425" s="115"/>
      <c r="P425" s="115"/>
    </row>
    <row r="426" spans="10:16" ht="12.5" x14ac:dyDescent="0.25">
      <c r="J426" s="115"/>
      <c r="K426" s="115"/>
      <c r="L426" s="115"/>
      <c r="M426" s="115"/>
      <c r="N426" s="115"/>
      <c r="O426" s="115"/>
      <c r="P426" s="115"/>
    </row>
    <row r="427" spans="10:16" ht="12.5" x14ac:dyDescent="0.25">
      <c r="J427" s="115"/>
      <c r="K427" s="115"/>
      <c r="L427" s="115"/>
      <c r="M427" s="115"/>
      <c r="N427" s="115"/>
      <c r="O427" s="115"/>
      <c r="P427" s="115"/>
    </row>
    <row r="428" spans="10:16" ht="12.5" x14ac:dyDescent="0.25">
      <c r="J428" s="115"/>
      <c r="K428" s="115"/>
      <c r="L428" s="115"/>
      <c r="M428" s="115"/>
      <c r="N428" s="115"/>
      <c r="O428" s="115"/>
      <c r="P428" s="115"/>
    </row>
    <row r="429" spans="10:16" ht="12.5" x14ac:dyDescent="0.25">
      <c r="J429" s="115"/>
      <c r="K429" s="115"/>
      <c r="L429" s="115"/>
      <c r="M429" s="115"/>
      <c r="N429" s="115"/>
      <c r="O429" s="115"/>
      <c r="P429" s="115"/>
    </row>
    <row r="430" spans="10:16" ht="12.5" x14ac:dyDescent="0.25">
      <c r="J430" s="115"/>
      <c r="K430" s="115"/>
      <c r="L430" s="115"/>
      <c r="M430" s="115"/>
      <c r="N430" s="115"/>
      <c r="O430" s="115"/>
      <c r="P430" s="115"/>
    </row>
    <row r="431" spans="10:16" ht="12.5" x14ac:dyDescent="0.25">
      <c r="J431" s="115"/>
      <c r="K431" s="115"/>
      <c r="L431" s="115"/>
      <c r="M431" s="115"/>
      <c r="N431" s="115"/>
      <c r="O431" s="115"/>
      <c r="P431" s="115"/>
    </row>
    <row r="432" spans="10:16" ht="12.5" x14ac:dyDescent="0.25">
      <c r="J432" s="115"/>
      <c r="K432" s="115"/>
      <c r="L432" s="115"/>
      <c r="M432" s="115"/>
      <c r="N432" s="115"/>
      <c r="O432" s="115"/>
      <c r="P432" s="115"/>
    </row>
    <row r="433" spans="10:16" ht="12.5" x14ac:dyDescent="0.25">
      <c r="J433" s="115"/>
      <c r="K433" s="115"/>
      <c r="L433" s="115"/>
      <c r="M433" s="115"/>
      <c r="N433" s="115"/>
      <c r="O433" s="115"/>
      <c r="P433" s="115"/>
    </row>
    <row r="434" spans="10:16" ht="12.5" x14ac:dyDescent="0.25">
      <c r="J434" s="115"/>
      <c r="K434" s="115"/>
      <c r="L434" s="115"/>
      <c r="M434" s="115"/>
      <c r="N434" s="115"/>
      <c r="O434" s="115"/>
      <c r="P434" s="115"/>
    </row>
    <row r="435" spans="10:16" ht="12.5" x14ac:dyDescent="0.25">
      <c r="J435" s="115"/>
      <c r="K435" s="115"/>
      <c r="L435" s="115"/>
      <c r="M435" s="115"/>
      <c r="N435" s="115"/>
      <c r="O435" s="115"/>
      <c r="P435" s="115"/>
    </row>
    <row r="436" spans="10:16" ht="12.5" x14ac:dyDescent="0.25">
      <c r="J436" s="115"/>
      <c r="K436" s="115"/>
      <c r="L436" s="115"/>
      <c r="M436" s="115"/>
      <c r="N436" s="115"/>
      <c r="O436" s="115"/>
      <c r="P436" s="115"/>
    </row>
    <row r="437" spans="10:16" ht="12.5" x14ac:dyDescent="0.25">
      <c r="J437" s="115"/>
      <c r="K437" s="115"/>
      <c r="L437" s="115"/>
      <c r="M437" s="115"/>
      <c r="N437" s="115"/>
      <c r="O437" s="115"/>
      <c r="P437" s="115"/>
    </row>
    <row r="438" spans="10:16" ht="12.5" x14ac:dyDescent="0.25">
      <c r="J438" s="115"/>
      <c r="K438" s="115"/>
      <c r="L438" s="115"/>
      <c r="M438" s="115"/>
      <c r="N438" s="115"/>
      <c r="O438" s="115"/>
      <c r="P438" s="115"/>
    </row>
    <row r="439" spans="10:16" ht="12.5" x14ac:dyDescent="0.25">
      <c r="J439" s="115"/>
      <c r="K439" s="115"/>
      <c r="L439" s="115"/>
      <c r="M439" s="115"/>
      <c r="N439" s="115"/>
      <c r="O439" s="115"/>
      <c r="P439" s="115"/>
    </row>
    <row r="440" spans="10:16" ht="12.5" x14ac:dyDescent="0.25">
      <c r="J440" s="115"/>
      <c r="K440" s="115"/>
      <c r="L440" s="115"/>
      <c r="M440" s="115"/>
      <c r="N440" s="115"/>
      <c r="O440" s="115"/>
      <c r="P440" s="115"/>
    </row>
    <row r="441" spans="10:16" ht="12.5" x14ac:dyDescent="0.25">
      <c r="J441" s="115"/>
      <c r="K441" s="115"/>
      <c r="L441" s="115"/>
      <c r="M441" s="115"/>
      <c r="N441" s="115"/>
      <c r="O441" s="115"/>
      <c r="P441" s="115"/>
    </row>
    <row r="442" spans="10:16" ht="12.5" x14ac:dyDescent="0.25">
      <c r="J442" s="115"/>
      <c r="K442" s="115"/>
      <c r="L442" s="115"/>
      <c r="M442" s="115"/>
      <c r="N442" s="115"/>
      <c r="O442" s="115"/>
      <c r="P442" s="115"/>
    </row>
    <row r="443" spans="10:16" ht="12.5" x14ac:dyDescent="0.25">
      <c r="J443" s="115"/>
      <c r="K443" s="115"/>
      <c r="L443" s="115"/>
      <c r="M443" s="115"/>
      <c r="N443" s="115"/>
      <c r="O443" s="115"/>
      <c r="P443" s="115"/>
    </row>
    <row r="444" spans="10:16" ht="12.5" x14ac:dyDescent="0.25">
      <c r="J444" s="115"/>
      <c r="K444" s="115"/>
      <c r="L444" s="115"/>
      <c r="M444" s="115"/>
      <c r="N444" s="115"/>
      <c r="O444" s="115"/>
      <c r="P444" s="115"/>
    </row>
    <row r="445" spans="10:16" ht="12.5" x14ac:dyDescent="0.25">
      <c r="J445" s="115"/>
      <c r="K445" s="115"/>
      <c r="L445" s="115"/>
      <c r="M445" s="115"/>
      <c r="N445" s="115"/>
      <c r="O445" s="115"/>
      <c r="P445" s="115"/>
    </row>
    <row r="446" spans="10:16" ht="12.5" x14ac:dyDescent="0.25">
      <c r="J446" s="115"/>
      <c r="K446" s="115"/>
      <c r="L446" s="115"/>
      <c r="M446" s="115"/>
      <c r="N446" s="115"/>
      <c r="O446" s="115"/>
      <c r="P446" s="115"/>
    </row>
    <row r="447" spans="10:16" ht="12.5" x14ac:dyDescent="0.25">
      <c r="J447" s="115"/>
      <c r="K447" s="115"/>
      <c r="L447" s="115"/>
      <c r="M447" s="115"/>
      <c r="N447" s="115"/>
      <c r="O447" s="115"/>
      <c r="P447" s="115"/>
    </row>
    <row r="448" spans="10:16" ht="12.5" x14ac:dyDescent="0.25">
      <c r="J448" s="115"/>
      <c r="K448" s="115"/>
      <c r="L448" s="115"/>
      <c r="M448" s="115"/>
      <c r="N448" s="115"/>
      <c r="O448" s="115"/>
      <c r="P448" s="115"/>
    </row>
    <row r="449" spans="10:16" ht="12.5" x14ac:dyDescent="0.25">
      <c r="J449" s="115"/>
      <c r="K449" s="115"/>
      <c r="L449" s="115"/>
      <c r="M449" s="115"/>
      <c r="N449" s="115"/>
      <c r="O449" s="115"/>
      <c r="P449" s="115"/>
    </row>
    <row r="450" spans="10:16" ht="12.5" x14ac:dyDescent="0.25">
      <c r="J450" s="115"/>
      <c r="K450" s="115"/>
      <c r="L450" s="115"/>
      <c r="M450" s="115"/>
      <c r="N450" s="115"/>
      <c r="O450" s="115"/>
      <c r="P450" s="115"/>
    </row>
    <row r="451" spans="10:16" ht="12.5" x14ac:dyDescent="0.25">
      <c r="J451" s="115"/>
      <c r="K451" s="115"/>
      <c r="L451" s="115"/>
      <c r="M451" s="115"/>
      <c r="N451" s="115"/>
      <c r="O451" s="115"/>
      <c r="P451" s="115"/>
    </row>
    <row r="452" spans="10:16" ht="12.5" x14ac:dyDescent="0.25">
      <c r="J452" s="115"/>
      <c r="K452" s="115"/>
      <c r="L452" s="115"/>
      <c r="M452" s="115"/>
      <c r="N452" s="115"/>
      <c r="O452" s="115"/>
      <c r="P452" s="115"/>
    </row>
    <row r="453" spans="10:16" ht="12.5" x14ac:dyDescent="0.25">
      <c r="J453" s="115"/>
      <c r="K453" s="115"/>
      <c r="L453" s="115"/>
      <c r="M453" s="115"/>
      <c r="N453" s="115"/>
      <c r="O453" s="115"/>
      <c r="P453" s="115"/>
    </row>
    <row r="454" spans="10:16" ht="12.5" x14ac:dyDescent="0.25">
      <c r="J454" s="115"/>
      <c r="K454" s="115"/>
      <c r="L454" s="115"/>
      <c r="M454" s="115"/>
      <c r="N454" s="115"/>
      <c r="O454" s="115"/>
      <c r="P454" s="115"/>
    </row>
    <row r="455" spans="10:16" ht="12.5" x14ac:dyDescent="0.25">
      <c r="J455" s="115"/>
      <c r="K455" s="115"/>
      <c r="L455" s="115"/>
      <c r="M455" s="115"/>
      <c r="N455" s="115"/>
      <c r="O455" s="115"/>
      <c r="P455" s="115"/>
    </row>
    <row r="456" spans="10:16" ht="12.5" x14ac:dyDescent="0.25">
      <c r="J456" s="115"/>
      <c r="K456" s="115"/>
      <c r="L456" s="115"/>
      <c r="M456" s="115"/>
      <c r="N456" s="115"/>
      <c r="O456" s="115"/>
      <c r="P456" s="115"/>
    </row>
    <row r="457" spans="10:16" ht="12.5" x14ac:dyDescent="0.25">
      <c r="J457" s="115"/>
      <c r="K457" s="115"/>
      <c r="L457" s="115"/>
      <c r="M457" s="115"/>
      <c r="N457" s="115"/>
      <c r="O457" s="115"/>
      <c r="P457" s="115"/>
    </row>
    <row r="458" spans="10:16" ht="12.5" x14ac:dyDescent="0.25">
      <c r="J458" s="115"/>
      <c r="K458" s="115"/>
      <c r="L458" s="115"/>
      <c r="M458" s="115"/>
      <c r="N458" s="115"/>
      <c r="O458" s="115"/>
      <c r="P458" s="115"/>
    </row>
    <row r="459" spans="10:16" ht="12.5" x14ac:dyDescent="0.25">
      <c r="J459" s="115"/>
      <c r="K459" s="115"/>
      <c r="L459" s="115"/>
      <c r="M459" s="115"/>
      <c r="N459" s="115"/>
      <c r="O459" s="115"/>
      <c r="P459" s="115"/>
    </row>
    <row r="460" spans="10:16" ht="12.5" x14ac:dyDescent="0.25">
      <c r="J460" s="115"/>
      <c r="K460" s="115"/>
      <c r="L460" s="115"/>
      <c r="M460" s="115"/>
      <c r="N460" s="115"/>
      <c r="O460" s="115"/>
      <c r="P460" s="115"/>
    </row>
    <row r="461" spans="10:16" ht="12.5" x14ac:dyDescent="0.25">
      <c r="J461" s="115"/>
      <c r="K461" s="115"/>
      <c r="L461" s="115"/>
      <c r="M461" s="115"/>
      <c r="N461" s="115"/>
      <c r="O461" s="115"/>
      <c r="P461" s="115"/>
    </row>
    <row r="462" spans="10:16" ht="12.5" x14ac:dyDescent="0.25">
      <c r="J462" s="115"/>
      <c r="K462" s="115"/>
      <c r="L462" s="115"/>
      <c r="M462" s="115"/>
      <c r="N462" s="115"/>
      <c r="O462" s="115"/>
      <c r="P462" s="115"/>
    </row>
    <row r="463" spans="10:16" ht="12.5" x14ac:dyDescent="0.25">
      <c r="J463" s="115"/>
      <c r="K463" s="115"/>
      <c r="L463" s="115"/>
      <c r="M463" s="115"/>
      <c r="N463" s="115"/>
      <c r="O463" s="115"/>
      <c r="P463" s="115"/>
    </row>
    <row r="464" spans="10:16" ht="12.5" x14ac:dyDescent="0.25">
      <c r="J464" s="115"/>
      <c r="K464" s="115"/>
      <c r="L464" s="115"/>
      <c r="M464" s="115"/>
      <c r="N464" s="115"/>
      <c r="O464" s="115"/>
      <c r="P464" s="115"/>
    </row>
    <row r="465" spans="10:16" ht="12.5" x14ac:dyDescent="0.25">
      <c r="J465" s="115"/>
      <c r="K465" s="115"/>
      <c r="L465" s="115"/>
      <c r="M465" s="115"/>
      <c r="N465" s="115"/>
      <c r="O465" s="115"/>
      <c r="P465" s="115"/>
    </row>
    <row r="466" spans="10:16" ht="12.5" x14ac:dyDescent="0.25">
      <c r="J466" s="115"/>
      <c r="K466" s="115"/>
      <c r="L466" s="115"/>
      <c r="M466" s="115"/>
      <c r="N466" s="115"/>
      <c r="O466" s="115"/>
      <c r="P466" s="115"/>
    </row>
    <row r="467" spans="10:16" ht="12.5" x14ac:dyDescent="0.25">
      <c r="J467" s="115"/>
      <c r="K467" s="115"/>
      <c r="L467" s="115"/>
      <c r="M467" s="115"/>
      <c r="N467" s="115"/>
      <c r="O467" s="115"/>
      <c r="P467" s="115"/>
    </row>
    <row r="468" spans="10:16" ht="12.5" x14ac:dyDescent="0.25">
      <c r="J468" s="115"/>
      <c r="K468" s="115"/>
      <c r="L468" s="115"/>
      <c r="M468" s="115"/>
      <c r="N468" s="115"/>
      <c r="O468" s="115"/>
      <c r="P468" s="115"/>
    </row>
    <row r="469" spans="10:16" ht="12.5" x14ac:dyDescent="0.25">
      <c r="J469" s="115"/>
      <c r="K469" s="115"/>
      <c r="L469" s="115"/>
      <c r="M469" s="115"/>
      <c r="N469" s="115"/>
      <c r="O469" s="115"/>
      <c r="P469" s="115"/>
    </row>
    <row r="470" spans="10:16" ht="12.5" x14ac:dyDescent="0.25">
      <c r="J470" s="115"/>
      <c r="K470" s="115"/>
      <c r="L470" s="115"/>
      <c r="M470" s="115"/>
      <c r="N470" s="115"/>
      <c r="O470" s="115"/>
      <c r="P470" s="115"/>
    </row>
    <row r="471" spans="10:16" ht="12.5" x14ac:dyDescent="0.25">
      <c r="J471" s="115"/>
      <c r="K471" s="115"/>
      <c r="L471" s="115"/>
      <c r="M471" s="115"/>
      <c r="N471" s="115"/>
      <c r="O471" s="115"/>
      <c r="P471" s="115"/>
    </row>
    <row r="472" spans="10:16" ht="12.5" x14ac:dyDescent="0.25">
      <c r="J472" s="115"/>
      <c r="K472" s="115"/>
      <c r="L472" s="115"/>
      <c r="M472" s="115"/>
      <c r="N472" s="115"/>
      <c r="O472" s="115"/>
      <c r="P472" s="115"/>
    </row>
    <row r="473" spans="10:16" ht="12.5" x14ac:dyDescent="0.25">
      <c r="J473" s="115"/>
      <c r="K473" s="115"/>
      <c r="L473" s="115"/>
      <c r="M473" s="115"/>
      <c r="N473" s="115"/>
      <c r="O473" s="115"/>
      <c r="P473" s="115"/>
    </row>
    <row r="474" spans="10:16" ht="12.5" x14ac:dyDescent="0.25">
      <c r="J474" s="115"/>
      <c r="K474" s="115"/>
      <c r="L474" s="115"/>
      <c r="M474" s="115"/>
      <c r="N474" s="115"/>
      <c r="O474" s="115"/>
      <c r="P474" s="115"/>
    </row>
    <row r="475" spans="10:16" ht="12.5" x14ac:dyDescent="0.25">
      <c r="J475" s="115"/>
      <c r="K475" s="115"/>
      <c r="L475" s="115"/>
      <c r="M475" s="115"/>
      <c r="N475" s="115"/>
      <c r="O475" s="115"/>
      <c r="P475" s="115"/>
    </row>
    <row r="476" spans="10:16" ht="12.5" x14ac:dyDescent="0.25">
      <c r="J476" s="115"/>
      <c r="K476" s="115"/>
      <c r="L476" s="115"/>
      <c r="M476" s="115"/>
      <c r="N476" s="115"/>
      <c r="O476" s="115"/>
      <c r="P476" s="115"/>
    </row>
    <row r="477" spans="10:16" ht="12.5" x14ac:dyDescent="0.25">
      <c r="J477" s="115"/>
      <c r="K477" s="115"/>
      <c r="L477" s="115"/>
      <c r="M477" s="115"/>
      <c r="N477" s="115"/>
      <c r="O477" s="115"/>
      <c r="P477" s="115"/>
    </row>
    <row r="478" spans="10:16" ht="12.5" x14ac:dyDescent="0.25">
      <c r="J478" s="115"/>
      <c r="K478" s="115"/>
      <c r="L478" s="115"/>
      <c r="M478" s="115"/>
      <c r="N478" s="115"/>
      <c r="O478" s="115"/>
      <c r="P478" s="115"/>
    </row>
    <row r="479" spans="10:16" ht="12.5" x14ac:dyDescent="0.25">
      <c r="J479" s="115"/>
      <c r="K479" s="115"/>
      <c r="L479" s="115"/>
      <c r="M479" s="115"/>
      <c r="N479" s="115"/>
      <c r="O479" s="115"/>
      <c r="P479" s="115"/>
    </row>
    <row r="480" spans="10:16" ht="12.5" x14ac:dyDescent="0.25">
      <c r="J480" s="115"/>
      <c r="K480" s="115"/>
      <c r="L480" s="115"/>
      <c r="M480" s="115"/>
      <c r="N480" s="115"/>
      <c r="O480" s="115"/>
      <c r="P480" s="115"/>
    </row>
    <row r="481" spans="10:16" ht="12.5" x14ac:dyDescent="0.25">
      <c r="J481" s="115"/>
      <c r="K481" s="115"/>
      <c r="L481" s="115"/>
      <c r="M481" s="115"/>
      <c r="N481" s="115"/>
      <c r="O481" s="115"/>
      <c r="P481" s="115"/>
    </row>
    <row r="482" spans="10:16" ht="12.5" x14ac:dyDescent="0.25">
      <c r="J482" s="115"/>
      <c r="K482" s="115"/>
      <c r="L482" s="115"/>
      <c r="M482" s="115"/>
      <c r="N482" s="115"/>
      <c r="O482" s="115"/>
      <c r="P482" s="115"/>
    </row>
    <row r="483" spans="10:16" ht="12.5" x14ac:dyDescent="0.25">
      <c r="J483" s="115"/>
      <c r="K483" s="115"/>
      <c r="L483" s="115"/>
      <c r="M483" s="115"/>
      <c r="N483" s="115"/>
      <c r="O483" s="115"/>
      <c r="P483" s="115"/>
    </row>
    <row r="484" spans="10:16" ht="12.5" x14ac:dyDescent="0.25">
      <c r="J484" s="115"/>
      <c r="K484" s="115"/>
      <c r="L484" s="115"/>
      <c r="M484" s="115"/>
      <c r="N484" s="115"/>
      <c r="O484" s="115"/>
      <c r="P484" s="115"/>
    </row>
    <row r="485" spans="10:16" ht="12.5" x14ac:dyDescent="0.25">
      <c r="J485" s="115"/>
      <c r="K485" s="115"/>
      <c r="L485" s="115"/>
      <c r="M485" s="115"/>
      <c r="N485" s="115"/>
      <c r="O485" s="115"/>
      <c r="P485" s="115"/>
    </row>
    <row r="486" spans="10:16" ht="12.5" x14ac:dyDescent="0.25">
      <c r="J486" s="115"/>
      <c r="K486" s="115"/>
      <c r="L486" s="115"/>
      <c r="M486" s="115"/>
      <c r="N486" s="115"/>
      <c r="O486" s="115"/>
      <c r="P486" s="115"/>
    </row>
    <row r="487" spans="10:16" ht="12.5" x14ac:dyDescent="0.25">
      <c r="J487" s="115"/>
      <c r="K487" s="115"/>
      <c r="L487" s="115"/>
      <c r="M487" s="115"/>
      <c r="N487" s="115"/>
      <c r="O487" s="115"/>
      <c r="P487" s="115"/>
    </row>
    <row r="488" spans="10:16" ht="12.5" x14ac:dyDescent="0.25">
      <c r="J488" s="115"/>
      <c r="K488" s="115"/>
      <c r="L488" s="115"/>
      <c r="M488" s="115"/>
      <c r="N488" s="115"/>
      <c r="O488" s="115"/>
      <c r="P488" s="115"/>
    </row>
    <row r="489" spans="10:16" ht="12.5" x14ac:dyDescent="0.25">
      <c r="J489" s="115"/>
      <c r="K489" s="115"/>
      <c r="L489" s="115"/>
      <c r="M489" s="115"/>
      <c r="N489" s="115"/>
      <c r="O489" s="115"/>
      <c r="P489" s="115"/>
    </row>
    <row r="490" spans="10:16" ht="12.5" x14ac:dyDescent="0.25">
      <c r="J490" s="115"/>
      <c r="K490" s="115"/>
      <c r="L490" s="115"/>
      <c r="M490" s="115"/>
      <c r="N490" s="115"/>
      <c r="O490" s="115"/>
      <c r="P490" s="115"/>
    </row>
    <row r="491" spans="10:16" ht="12.5" x14ac:dyDescent="0.25">
      <c r="J491" s="115"/>
      <c r="K491" s="115"/>
      <c r="L491" s="115"/>
      <c r="M491" s="115"/>
      <c r="N491" s="115"/>
      <c r="O491" s="115"/>
      <c r="P491" s="115"/>
    </row>
    <row r="492" spans="10:16" ht="12.5" x14ac:dyDescent="0.25">
      <c r="J492" s="115"/>
      <c r="K492" s="115"/>
      <c r="L492" s="115"/>
      <c r="M492" s="115"/>
      <c r="N492" s="115"/>
      <c r="O492" s="115"/>
      <c r="P492" s="115"/>
    </row>
    <row r="493" spans="10:16" ht="12.5" x14ac:dyDescent="0.25">
      <c r="J493" s="115"/>
      <c r="K493" s="115"/>
      <c r="L493" s="115"/>
      <c r="M493" s="115"/>
      <c r="N493" s="115"/>
      <c r="O493" s="115"/>
      <c r="P493" s="115"/>
    </row>
    <row r="494" spans="10:16" ht="12.5" x14ac:dyDescent="0.25">
      <c r="J494" s="115"/>
      <c r="K494" s="115"/>
      <c r="L494" s="115"/>
      <c r="M494" s="115"/>
      <c r="N494" s="115"/>
      <c r="O494" s="115"/>
      <c r="P494" s="115"/>
    </row>
    <row r="495" spans="10:16" ht="12.5" x14ac:dyDescent="0.25">
      <c r="J495" s="115"/>
      <c r="K495" s="115"/>
      <c r="L495" s="115"/>
      <c r="M495" s="115"/>
      <c r="N495" s="115"/>
      <c r="O495" s="115"/>
      <c r="P495" s="115"/>
    </row>
    <row r="496" spans="10:16" ht="12.5" x14ac:dyDescent="0.25">
      <c r="J496" s="115"/>
      <c r="K496" s="115"/>
      <c r="L496" s="115"/>
      <c r="M496" s="115"/>
      <c r="N496" s="115"/>
      <c r="O496" s="115"/>
      <c r="P496" s="115"/>
    </row>
    <row r="497" spans="10:16" ht="12.5" x14ac:dyDescent="0.25">
      <c r="J497" s="115"/>
      <c r="K497" s="115"/>
      <c r="L497" s="115"/>
      <c r="M497" s="115"/>
      <c r="N497" s="115"/>
      <c r="O497" s="115"/>
      <c r="P497" s="115"/>
    </row>
    <row r="498" spans="10:16" ht="12.5" x14ac:dyDescent="0.25">
      <c r="J498" s="115"/>
      <c r="K498" s="115"/>
      <c r="L498" s="115"/>
      <c r="M498" s="115"/>
      <c r="N498" s="115"/>
      <c r="O498" s="115"/>
      <c r="P498" s="115"/>
    </row>
    <row r="499" spans="10:16" ht="12.5" x14ac:dyDescent="0.25">
      <c r="J499" s="115"/>
      <c r="K499" s="115"/>
      <c r="L499" s="115"/>
      <c r="M499" s="115"/>
      <c r="N499" s="115"/>
      <c r="O499" s="115"/>
      <c r="P499" s="115"/>
    </row>
    <row r="500" spans="10:16" ht="12.5" x14ac:dyDescent="0.25">
      <c r="J500" s="115"/>
      <c r="K500" s="115"/>
      <c r="L500" s="115"/>
      <c r="M500" s="115"/>
      <c r="N500" s="115"/>
      <c r="O500" s="115"/>
      <c r="P500" s="115"/>
    </row>
    <row r="501" spans="10:16" ht="12.5" x14ac:dyDescent="0.25">
      <c r="J501" s="115"/>
      <c r="K501" s="115"/>
      <c r="L501" s="115"/>
      <c r="M501" s="115"/>
      <c r="N501" s="115"/>
      <c r="O501" s="115"/>
      <c r="P501" s="115"/>
    </row>
    <row r="502" spans="10:16" ht="12.5" x14ac:dyDescent="0.25">
      <c r="J502" s="115"/>
      <c r="K502" s="115"/>
      <c r="L502" s="115"/>
      <c r="M502" s="115"/>
      <c r="N502" s="115"/>
      <c r="O502" s="115"/>
      <c r="P502" s="115"/>
    </row>
    <row r="503" spans="10:16" ht="12.5" x14ac:dyDescent="0.25">
      <c r="J503" s="115"/>
      <c r="K503" s="115"/>
      <c r="L503" s="115"/>
      <c r="M503" s="115"/>
      <c r="N503" s="115"/>
      <c r="O503" s="115"/>
      <c r="P503" s="115"/>
    </row>
    <row r="504" spans="10:16" ht="12.5" x14ac:dyDescent="0.25">
      <c r="J504" s="115"/>
      <c r="K504" s="115"/>
      <c r="L504" s="115"/>
      <c r="M504" s="115"/>
      <c r="N504" s="115"/>
      <c r="O504" s="115"/>
      <c r="P504" s="115"/>
    </row>
    <row r="505" spans="10:16" ht="12.5" x14ac:dyDescent="0.25">
      <c r="J505" s="115"/>
      <c r="K505" s="115"/>
      <c r="L505" s="115"/>
      <c r="M505" s="115"/>
      <c r="N505" s="115"/>
      <c r="O505" s="115"/>
      <c r="P505" s="115"/>
    </row>
    <row r="506" spans="10:16" ht="12.5" x14ac:dyDescent="0.25">
      <c r="J506" s="115"/>
      <c r="K506" s="115"/>
      <c r="L506" s="115"/>
      <c r="M506" s="115"/>
      <c r="N506" s="115"/>
      <c r="O506" s="115"/>
      <c r="P506" s="115"/>
    </row>
    <row r="507" spans="10:16" ht="12.5" x14ac:dyDescent="0.25">
      <c r="J507" s="115"/>
      <c r="K507" s="115"/>
      <c r="L507" s="115"/>
      <c r="M507" s="115"/>
      <c r="N507" s="115"/>
      <c r="O507" s="115"/>
      <c r="P507" s="115"/>
    </row>
    <row r="508" spans="10:16" ht="12.5" x14ac:dyDescent="0.25">
      <c r="J508" s="115"/>
      <c r="K508" s="115"/>
      <c r="L508" s="115"/>
      <c r="M508" s="115"/>
      <c r="N508" s="115"/>
      <c r="O508" s="115"/>
      <c r="P508" s="115"/>
    </row>
    <row r="509" spans="10:16" ht="12.5" x14ac:dyDescent="0.25">
      <c r="J509" s="115"/>
      <c r="K509" s="115"/>
      <c r="L509" s="115"/>
      <c r="M509" s="115"/>
      <c r="N509" s="115"/>
      <c r="O509" s="115"/>
      <c r="P509" s="115"/>
    </row>
    <row r="510" spans="10:16" ht="12.5" x14ac:dyDescent="0.25">
      <c r="J510" s="115"/>
      <c r="K510" s="115"/>
      <c r="L510" s="115"/>
      <c r="M510" s="115"/>
      <c r="N510" s="115"/>
      <c r="O510" s="115"/>
      <c r="P510" s="115"/>
    </row>
    <row r="511" spans="10:16" ht="12.5" x14ac:dyDescent="0.25">
      <c r="J511" s="115"/>
      <c r="K511" s="115"/>
      <c r="L511" s="115"/>
      <c r="M511" s="115"/>
      <c r="N511" s="115"/>
      <c r="O511" s="115"/>
      <c r="P511" s="115"/>
    </row>
    <row r="512" spans="10:16" ht="12.5" x14ac:dyDescent="0.25">
      <c r="J512" s="115"/>
      <c r="K512" s="115"/>
      <c r="L512" s="115"/>
      <c r="M512" s="115"/>
      <c r="N512" s="115"/>
      <c r="O512" s="115"/>
      <c r="P512" s="115"/>
    </row>
    <row r="513" spans="10:16" ht="12.5" x14ac:dyDescent="0.25">
      <c r="J513" s="115"/>
      <c r="K513" s="115"/>
      <c r="L513" s="115"/>
      <c r="M513" s="115"/>
      <c r="N513" s="115"/>
      <c r="O513" s="115"/>
      <c r="P513" s="115"/>
    </row>
    <row r="514" spans="10:16" ht="12.5" x14ac:dyDescent="0.25">
      <c r="J514" s="115"/>
      <c r="K514" s="115"/>
      <c r="L514" s="115"/>
      <c r="M514" s="115"/>
      <c r="N514" s="115"/>
      <c r="O514" s="115"/>
      <c r="P514" s="115"/>
    </row>
    <row r="515" spans="10:16" ht="12.5" x14ac:dyDescent="0.25">
      <c r="J515" s="115"/>
      <c r="K515" s="115"/>
      <c r="L515" s="115"/>
      <c r="M515" s="115"/>
      <c r="N515" s="115"/>
      <c r="O515" s="115"/>
      <c r="P515" s="115"/>
    </row>
    <row r="516" spans="10:16" ht="12.5" x14ac:dyDescent="0.25">
      <c r="J516" s="115"/>
      <c r="K516" s="115"/>
      <c r="L516" s="115"/>
      <c r="M516" s="115"/>
      <c r="N516" s="115"/>
      <c r="O516" s="115"/>
      <c r="P516" s="115"/>
    </row>
    <row r="517" spans="10:16" ht="12.5" x14ac:dyDescent="0.25">
      <c r="J517" s="115"/>
      <c r="K517" s="115"/>
      <c r="L517" s="115"/>
      <c r="M517" s="115"/>
      <c r="N517" s="115"/>
      <c r="O517" s="115"/>
      <c r="P517" s="115"/>
    </row>
    <row r="518" spans="10:16" ht="12.5" x14ac:dyDescent="0.25">
      <c r="J518" s="115"/>
      <c r="K518" s="115"/>
      <c r="L518" s="115"/>
      <c r="M518" s="115"/>
      <c r="N518" s="115"/>
      <c r="O518" s="115"/>
      <c r="P518" s="115"/>
    </row>
    <row r="519" spans="10:16" ht="12.5" x14ac:dyDescent="0.25">
      <c r="J519" s="115"/>
      <c r="K519" s="115"/>
      <c r="L519" s="115"/>
      <c r="M519" s="115"/>
      <c r="N519" s="115"/>
      <c r="O519" s="115"/>
      <c r="P519" s="115"/>
    </row>
    <row r="520" spans="10:16" ht="12.5" x14ac:dyDescent="0.25">
      <c r="J520" s="115"/>
      <c r="K520" s="115"/>
      <c r="L520" s="115"/>
      <c r="M520" s="115"/>
      <c r="N520" s="115"/>
      <c r="O520" s="115"/>
      <c r="P520" s="115"/>
    </row>
    <row r="521" spans="10:16" ht="12.5" x14ac:dyDescent="0.25">
      <c r="J521" s="115"/>
      <c r="K521" s="115"/>
      <c r="L521" s="115"/>
      <c r="M521" s="115"/>
      <c r="N521" s="115"/>
      <c r="O521" s="115"/>
      <c r="P521" s="115"/>
    </row>
    <row r="522" spans="10:16" ht="12.5" x14ac:dyDescent="0.25">
      <c r="J522" s="115"/>
      <c r="K522" s="115"/>
      <c r="L522" s="115"/>
      <c r="M522" s="115"/>
      <c r="N522" s="115"/>
      <c r="O522" s="115"/>
      <c r="P522" s="115"/>
    </row>
    <row r="523" spans="10:16" ht="12.5" x14ac:dyDescent="0.25">
      <c r="J523" s="115"/>
      <c r="K523" s="115"/>
      <c r="L523" s="115"/>
      <c r="M523" s="115"/>
      <c r="N523" s="115"/>
      <c r="O523" s="115"/>
      <c r="P523" s="115"/>
    </row>
    <row r="524" spans="10:16" ht="12.5" x14ac:dyDescent="0.25">
      <c r="J524" s="115"/>
      <c r="K524" s="115"/>
      <c r="L524" s="115"/>
      <c r="M524" s="115"/>
      <c r="N524" s="115"/>
      <c r="O524" s="115"/>
      <c r="P524" s="115"/>
    </row>
    <row r="525" spans="10:16" ht="12.5" x14ac:dyDescent="0.25">
      <c r="J525" s="115"/>
      <c r="K525" s="115"/>
      <c r="L525" s="115"/>
      <c r="M525" s="115"/>
      <c r="N525" s="115"/>
      <c r="O525" s="115"/>
      <c r="P525" s="115"/>
    </row>
    <row r="526" spans="10:16" ht="12.5" x14ac:dyDescent="0.25">
      <c r="J526" s="115"/>
      <c r="K526" s="115"/>
      <c r="L526" s="115"/>
      <c r="M526" s="115"/>
      <c r="N526" s="115"/>
      <c r="O526" s="115"/>
      <c r="P526" s="115"/>
    </row>
    <row r="527" spans="10:16" ht="12.5" x14ac:dyDescent="0.25">
      <c r="J527" s="115"/>
      <c r="K527" s="115"/>
      <c r="L527" s="115"/>
      <c r="M527" s="115"/>
      <c r="N527" s="115"/>
      <c r="O527" s="115"/>
      <c r="P527" s="115"/>
    </row>
    <row r="528" spans="10:16" ht="12.5" x14ac:dyDescent="0.25">
      <c r="J528" s="115"/>
      <c r="K528" s="115"/>
      <c r="L528" s="115"/>
      <c r="M528" s="115"/>
      <c r="N528" s="115"/>
      <c r="O528" s="115"/>
      <c r="P528" s="115"/>
    </row>
    <row r="529" spans="10:16" ht="12.5" x14ac:dyDescent="0.25">
      <c r="J529" s="115"/>
      <c r="K529" s="115"/>
      <c r="L529" s="115"/>
      <c r="M529" s="115"/>
      <c r="N529" s="115"/>
      <c r="O529" s="115"/>
      <c r="P529" s="115"/>
    </row>
    <row r="530" spans="10:16" ht="12.5" x14ac:dyDescent="0.25">
      <c r="J530" s="115"/>
      <c r="K530" s="115"/>
      <c r="L530" s="115"/>
      <c r="M530" s="115"/>
      <c r="N530" s="115"/>
      <c r="O530" s="115"/>
      <c r="P530" s="115"/>
    </row>
    <row r="531" spans="10:16" ht="12.5" x14ac:dyDescent="0.25">
      <c r="J531" s="115"/>
      <c r="K531" s="115"/>
      <c r="L531" s="115"/>
      <c r="M531" s="115"/>
      <c r="N531" s="115"/>
      <c r="O531" s="115"/>
      <c r="P531" s="115"/>
    </row>
    <row r="532" spans="10:16" ht="12.5" x14ac:dyDescent="0.25">
      <c r="J532" s="115"/>
      <c r="K532" s="115"/>
      <c r="L532" s="115"/>
      <c r="M532" s="115"/>
      <c r="N532" s="115"/>
      <c r="O532" s="115"/>
      <c r="P532" s="115"/>
    </row>
    <row r="533" spans="10:16" ht="12.5" x14ac:dyDescent="0.25">
      <c r="J533" s="115"/>
      <c r="K533" s="115"/>
      <c r="L533" s="115"/>
      <c r="M533" s="115"/>
      <c r="N533" s="115"/>
      <c r="O533" s="115"/>
      <c r="P533" s="115"/>
    </row>
    <row r="534" spans="10:16" ht="12.5" x14ac:dyDescent="0.25">
      <c r="J534" s="115"/>
      <c r="K534" s="115"/>
      <c r="L534" s="115"/>
      <c r="M534" s="115"/>
      <c r="N534" s="115"/>
      <c r="O534" s="115"/>
      <c r="P534" s="115"/>
    </row>
    <row r="535" spans="10:16" ht="12.5" x14ac:dyDescent="0.25">
      <c r="J535" s="115"/>
      <c r="K535" s="115"/>
      <c r="L535" s="115"/>
      <c r="M535" s="115"/>
      <c r="N535" s="115"/>
      <c r="O535" s="115"/>
      <c r="P535" s="115"/>
    </row>
    <row r="536" spans="10:16" ht="12.5" x14ac:dyDescent="0.25">
      <c r="J536" s="115"/>
      <c r="K536" s="115"/>
      <c r="L536" s="115"/>
      <c r="M536" s="115"/>
      <c r="N536" s="115"/>
      <c r="O536" s="115"/>
      <c r="P536" s="115"/>
    </row>
    <row r="537" spans="10:16" ht="12.5" x14ac:dyDescent="0.25">
      <c r="J537" s="115"/>
      <c r="K537" s="115"/>
      <c r="L537" s="115"/>
      <c r="M537" s="115"/>
      <c r="N537" s="115"/>
      <c r="O537" s="115"/>
      <c r="P537" s="115"/>
    </row>
    <row r="538" spans="10:16" ht="12.5" x14ac:dyDescent="0.25">
      <c r="J538" s="115"/>
      <c r="K538" s="115"/>
      <c r="L538" s="115"/>
      <c r="M538" s="115"/>
      <c r="N538" s="115"/>
      <c r="O538" s="115"/>
      <c r="P538" s="115"/>
    </row>
    <row r="539" spans="10:16" ht="12.5" x14ac:dyDescent="0.25">
      <c r="J539" s="115"/>
      <c r="K539" s="115"/>
      <c r="L539" s="115"/>
      <c r="M539" s="115"/>
      <c r="N539" s="115"/>
      <c r="O539" s="115"/>
      <c r="P539" s="115"/>
    </row>
    <row r="540" spans="10:16" ht="12.5" x14ac:dyDescent="0.25">
      <c r="J540" s="115"/>
      <c r="K540" s="115"/>
      <c r="L540" s="115"/>
      <c r="M540" s="115"/>
      <c r="N540" s="115"/>
      <c r="O540" s="115"/>
      <c r="P540" s="115"/>
    </row>
    <row r="541" spans="10:16" ht="12.5" x14ac:dyDescent="0.25">
      <c r="J541" s="115"/>
      <c r="K541" s="115"/>
      <c r="L541" s="115"/>
      <c r="M541" s="115"/>
      <c r="N541" s="115"/>
      <c r="O541" s="115"/>
      <c r="P541" s="115"/>
    </row>
    <row r="542" spans="10:16" ht="12.5" x14ac:dyDescent="0.25">
      <c r="J542" s="115"/>
      <c r="K542" s="115"/>
      <c r="L542" s="115"/>
      <c r="M542" s="115"/>
      <c r="N542" s="115"/>
      <c r="O542" s="115"/>
      <c r="P542" s="115"/>
    </row>
    <row r="543" spans="10:16" ht="12.5" x14ac:dyDescent="0.25">
      <c r="J543" s="115"/>
      <c r="K543" s="115"/>
      <c r="L543" s="115"/>
      <c r="M543" s="115"/>
      <c r="N543" s="115"/>
      <c r="O543" s="115"/>
      <c r="P543" s="115"/>
    </row>
    <row r="544" spans="10:16" ht="12.5" x14ac:dyDescent="0.25">
      <c r="J544" s="115"/>
      <c r="K544" s="115"/>
      <c r="L544" s="115"/>
      <c r="M544" s="115"/>
      <c r="N544" s="115"/>
      <c r="O544" s="115"/>
      <c r="P544" s="115"/>
    </row>
    <row r="545" spans="10:16" ht="12.5" x14ac:dyDescent="0.25">
      <c r="J545" s="115"/>
      <c r="K545" s="115"/>
      <c r="L545" s="115"/>
      <c r="M545" s="115"/>
      <c r="N545" s="115"/>
      <c r="O545" s="115"/>
      <c r="P545" s="115"/>
    </row>
    <row r="546" spans="10:16" ht="12.5" x14ac:dyDescent="0.25">
      <c r="J546" s="115"/>
      <c r="K546" s="115"/>
      <c r="L546" s="115"/>
      <c r="M546" s="115"/>
      <c r="N546" s="115"/>
      <c r="O546" s="115"/>
      <c r="P546" s="115"/>
    </row>
    <row r="547" spans="10:16" ht="12.5" x14ac:dyDescent="0.25">
      <c r="J547" s="115"/>
      <c r="K547" s="115"/>
      <c r="L547" s="115"/>
      <c r="M547" s="115"/>
      <c r="N547" s="115"/>
      <c r="O547" s="115"/>
      <c r="P547" s="115"/>
    </row>
    <row r="548" spans="10:16" ht="12.5" x14ac:dyDescent="0.25">
      <c r="J548" s="115"/>
      <c r="K548" s="115"/>
      <c r="L548" s="115"/>
      <c r="M548" s="115"/>
      <c r="N548" s="115"/>
      <c r="O548" s="115"/>
      <c r="P548" s="115"/>
    </row>
    <row r="549" spans="10:16" ht="12.5" x14ac:dyDescent="0.25">
      <c r="J549" s="115"/>
      <c r="K549" s="115"/>
      <c r="L549" s="115"/>
      <c r="M549" s="115"/>
      <c r="N549" s="115"/>
      <c r="O549" s="115"/>
      <c r="P549" s="115"/>
    </row>
    <row r="550" spans="10:16" ht="12.5" x14ac:dyDescent="0.25">
      <c r="J550" s="115"/>
      <c r="K550" s="115"/>
      <c r="L550" s="115"/>
      <c r="M550" s="115"/>
      <c r="N550" s="115"/>
      <c r="O550" s="115"/>
      <c r="P550" s="115"/>
    </row>
    <row r="551" spans="10:16" ht="12.5" x14ac:dyDescent="0.25">
      <c r="J551" s="115"/>
      <c r="K551" s="115"/>
      <c r="L551" s="115"/>
      <c r="M551" s="115"/>
      <c r="N551" s="115"/>
      <c r="O551" s="115"/>
      <c r="P551" s="115"/>
    </row>
    <row r="552" spans="10:16" ht="12.5" x14ac:dyDescent="0.25">
      <c r="J552" s="115"/>
      <c r="K552" s="115"/>
      <c r="L552" s="115"/>
      <c r="M552" s="115"/>
      <c r="N552" s="115"/>
      <c r="O552" s="115"/>
      <c r="P552" s="115"/>
    </row>
    <row r="553" spans="10:16" ht="12.5" x14ac:dyDescent="0.25">
      <c r="J553" s="115"/>
      <c r="K553" s="115"/>
      <c r="L553" s="115"/>
      <c r="M553" s="115"/>
      <c r="N553" s="115"/>
      <c r="O553" s="115"/>
      <c r="P553" s="115"/>
    </row>
    <row r="554" spans="10:16" ht="12.5" x14ac:dyDescent="0.25">
      <c r="J554" s="115"/>
      <c r="K554" s="115"/>
      <c r="L554" s="115"/>
      <c r="M554" s="115"/>
      <c r="N554" s="115"/>
      <c r="O554" s="115"/>
      <c r="P554" s="115"/>
    </row>
    <row r="555" spans="10:16" ht="12.5" x14ac:dyDescent="0.25">
      <c r="J555" s="115"/>
      <c r="K555" s="115"/>
      <c r="L555" s="115"/>
      <c r="M555" s="115"/>
      <c r="N555" s="115"/>
      <c r="O555" s="115"/>
      <c r="P555" s="115"/>
    </row>
    <row r="556" spans="10:16" ht="12.5" x14ac:dyDescent="0.25">
      <c r="J556" s="115"/>
      <c r="K556" s="115"/>
      <c r="L556" s="115"/>
      <c r="M556" s="115"/>
      <c r="N556" s="115"/>
      <c r="O556" s="115"/>
      <c r="P556" s="115"/>
    </row>
    <row r="557" spans="10:16" ht="12.5" x14ac:dyDescent="0.25">
      <c r="J557" s="115"/>
      <c r="K557" s="115"/>
      <c r="L557" s="115"/>
      <c r="M557" s="115"/>
      <c r="N557" s="115"/>
      <c r="O557" s="115"/>
      <c r="P557" s="115"/>
    </row>
    <row r="558" spans="10:16" ht="12.5" x14ac:dyDescent="0.25">
      <c r="J558" s="115"/>
      <c r="K558" s="115"/>
      <c r="L558" s="115"/>
      <c r="M558" s="115"/>
      <c r="N558" s="115"/>
      <c r="O558" s="115"/>
      <c r="P558" s="115"/>
    </row>
    <row r="559" spans="10:16" ht="12.5" x14ac:dyDescent="0.25">
      <c r="J559" s="115"/>
      <c r="K559" s="115"/>
      <c r="L559" s="115"/>
      <c r="M559" s="115"/>
      <c r="N559" s="115"/>
      <c r="O559" s="115"/>
      <c r="P559" s="115"/>
    </row>
    <row r="560" spans="10:16" ht="12.5" x14ac:dyDescent="0.25">
      <c r="J560" s="115"/>
      <c r="K560" s="115"/>
      <c r="L560" s="115"/>
      <c r="M560" s="115"/>
      <c r="N560" s="115"/>
      <c r="O560" s="115"/>
      <c r="P560" s="115"/>
    </row>
    <row r="561" spans="10:16" ht="12.5" x14ac:dyDescent="0.25">
      <c r="J561" s="115"/>
      <c r="K561" s="115"/>
      <c r="L561" s="115"/>
      <c r="M561" s="115"/>
      <c r="N561" s="115"/>
      <c r="O561" s="115"/>
      <c r="P561" s="115"/>
    </row>
    <row r="562" spans="10:16" ht="12.5" x14ac:dyDescent="0.25">
      <c r="J562" s="115"/>
      <c r="K562" s="115"/>
      <c r="L562" s="115"/>
      <c r="M562" s="115"/>
      <c r="N562" s="115"/>
      <c r="O562" s="115"/>
      <c r="P562" s="115"/>
    </row>
    <row r="563" spans="10:16" ht="12.5" x14ac:dyDescent="0.25">
      <c r="J563" s="115"/>
      <c r="K563" s="115"/>
      <c r="L563" s="115"/>
      <c r="M563" s="115"/>
      <c r="N563" s="115"/>
      <c r="O563" s="115"/>
      <c r="P563" s="115"/>
    </row>
    <row r="564" spans="10:16" ht="12.5" x14ac:dyDescent="0.25">
      <c r="J564" s="115"/>
      <c r="K564" s="115"/>
      <c r="L564" s="115"/>
      <c r="M564" s="115"/>
      <c r="N564" s="115"/>
      <c r="O564" s="115"/>
      <c r="P564" s="115"/>
    </row>
    <row r="565" spans="10:16" ht="12.5" x14ac:dyDescent="0.25">
      <c r="J565" s="115"/>
      <c r="K565" s="115"/>
      <c r="L565" s="115"/>
      <c r="M565" s="115"/>
      <c r="N565" s="115"/>
      <c r="O565" s="115"/>
      <c r="P565" s="115"/>
    </row>
    <row r="566" spans="10:16" ht="12.5" x14ac:dyDescent="0.25">
      <c r="J566" s="115"/>
      <c r="K566" s="115"/>
      <c r="L566" s="115"/>
      <c r="M566" s="115"/>
      <c r="N566" s="115"/>
      <c r="O566" s="115"/>
      <c r="P566" s="115"/>
    </row>
    <row r="567" spans="10:16" ht="12.5" x14ac:dyDescent="0.25">
      <c r="J567" s="115"/>
      <c r="K567" s="115"/>
      <c r="L567" s="115"/>
      <c r="M567" s="115"/>
      <c r="N567" s="115"/>
      <c r="O567" s="115"/>
      <c r="P567" s="115"/>
    </row>
    <row r="568" spans="10:16" ht="12.5" x14ac:dyDescent="0.25">
      <c r="J568" s="115"/>
      <c r="K568" s="115"/>
      <c r="L568" s="115"/>
      <c r="M568" s="115"/>
      <c r="N568" s="115"/>
      <c r="O568" s="115"/>
      <c r="P568" s="115"/>
    </row>
    <row r="569" spans="10:16" ht="12.5" x14ac:dyDescent="0.25">
      <c r="J569" s="115"/>
      <c r="K569" s="115"/>
      <c r="L569" s="115"/>
      <c r="M569" s="115"/>
      <c r="N569" s="115"/>
      <c r="O569" s="115"/>
      <c r="P569" s="115"/>
    </row>
    <row r="570" spans="10:16" ht="12.5" x14ac:dyDescent="0.25">
      <c r="J570" s="115"/>
      <c r="K570" s="115"/>
      <c r="L570" s="115"/>
      <c r="M570" s="115"/>
      <c r="N570" s="115"/>
      <c r="O570" s="115"/>
      <c r="P570" s="115"/>
    </row>
    <row r="571" spans="10:16" ht="12.5" x14ac:dyDescent="0.25">
      <c r="J571" s="115"/>
      <c r="K571" s="115"/>
      <c r="L571" s="115"/>
      <c r="M571" s="115"/>
      <c r="N571" s="115"/>
      <c r="O571" s="115"/>
      <c r="P571" s="115"/>
    </row>
    <row r="572" spans="10:16" ht="12.5" x14ac:dyDescent="0.25">
      <c r="J572" s="115"/>
      <c r="K572" s="115"/>
      <c r="L572" s="115"/>
      <c r="M572" s="115"/>
      <c r="N572" s="115"/>
      <c r="O572" s="115"/>
      <c r="P572" s="115"/>
    </row>
    <row r="573" spans="10:16" ht="12.5" x14ac:dyDescent="0.25">
      <c r="J573" s="115"/>
      <c r="K573" s="115"/>
      <c r="L573" s="115"/>
      <c r="M573" s="115"/>
      <c r="N573" s="115"/>
      <c r="O573" s="115"/>
      <c r="P573" s="115"/>
    </row>
    <row r="574" spans="10:16" ht="12.5" x14ac:dyDescent="0.25">
      <c r="J574" s="115"/>
      <c r="K574" s="115"/>
      <c r="L574" s="115"/>
      <c r="M574" s="115"/>
      <c r="N574" s="115"/>
      <c r="O574" s="115"/>
      <c r="P574" s="115"/>
    </row>
    <row r="575" spans="10:16" ht="12.5" x14ac:dyDescent="0.25">
      <c r="J575" s="115"/>
      <c r="K575" s="115"/>
      <c r="L575" s="115"/>
      <c r="M575" s="115"/>
      <c r="N575" s="115"/>
      <c r="O575" s="115"/>
      <c r="P575" s="115"/>
    </row>
    <row r="576" spans="10:16" ht="12.5" x14ac:dyDescent="0.25">
      <c r="J576" s="115"/>
      <c r="K576" s="115"/>
      <c r="L576" s="115"/>
      <c r="M576" s="115"/>
      <c r="N576" s="115"/>
      <c r="O576" s="115"/>
      <c r="P576" s="115"/>
    </row>
    <row r="577" spans="10:16" ht="12.5" x14ac:dyDescent="0.25">
      <c r="J577" s="115"/>
      <c r="K577" s="115"/>
      <c r="L577" s="115"/>
      <c r="M577" s="115"/>
      <c r="N577" s="115"/>
      <c r="O577" s="115"/>
      <c r="P577" s="115"/>
    </row>
    <row r="578" spans="10:16" ht="12.5" x14ac:dyDescent="0.25">
      <c r="J578" s="115"/>
      <c r="K578" s="115"/>
      <c r="L578" s="115"/>
      <c r="M578" s="115"/>
      <c r="N578" s="115"/>
      <c r="O578" s="115"/>
      <c r="P578" s="115"/>
    </row>
    <row r="579" spans="10:16" ht="12.5" x14ac:dyDescent="0.25">
      <c r="J579" s="115"/>
      <c r="K579" s="115"/>
      <c r="L579" s="115"/>
      <c r="M579" s="115"/>
      <c r="N579" s="115"/>
      <c r="O579" s="115"/>
      <c r="P579" s="115"/>
    </row>
    <row r="580" spans="10:16" ht="12.5" x14ac:dyDescent="0.25">
      <c r="J580" s="115"/>
      <c r="K580" s="115"/>
      <c r="L580" s="115"/>
      <c r="M580" s="115"/>
      <c r="N580" s="115"/>
      <c r="O580" s="115"/>
      <c r="P580" s="115"/>
    </row>
    <row r="581" spans="10:16" ht="12.5" x14ac:dyDescent="0.25">
      <c r="J581" s="115"/>
      <c r="K581" s="115"/>
      <c r="L581" s="115"/>
      <c r="M581" s="115"/>
      <c r="N581" s="115"/>
      <c r="O581" s="115"/>
      <c r="P581" s="115"/>
    </row>
    <row r="582" spans="10:16" ht="12.5" x14ac:dyDescent="0.25">
      <c r="J582" s="115"/>
      <c r="K582" s="115"/>
      <c r="L582" s="115"/>
      <c r="M582" s="115"/>
      <c r="N582" s="115"/>
      <c r="O582" s="115"/>
      <c r="P582" s="115"/>
    </row>
    <row r="583" spans="10:16" ht="12.5" x14ac:dyDescent="0.25">
      <c r="J583" s="115"/>
      <c r="K583" s="115"/>
      <c r="L583" s="115"/>
      <c r="M583" s="115"/>
      <c r="N583" s="115"/>
      <c r="O583" s="115"/>
      <c r="P583" s="115"/>
    </row>
    <row r="584" spans="10:16" ht="12.5" x14ac:dyDescent="0.25">
      <c r="J584" s="115"/>
      <c r="K584" s="115"/>
      <c r="L584" s="115"/>
      <c r="M584" s="115"/>
      <c r="N584" s="115"/>
      <c r="O584" s="115"/>
      <c r="P584" s="115"/>
    </row>
    <row r="585" spans="10:16" ht="12.5" x14ac:dyDescent="0.25">
      <c r="J585" s="115"/>
      <c r="K585" s="115"/>
      <c r="L585" s="115"/>
      <c r="M585" s="115"/>
      <c r="N585" s="115"/>
      <c r="O585" s="115"/>
      <c r="P585" s="115"/>
    </row>
    <row r="586" spans="10:16" ht="12.5" x14ac:dyDescent="0.25">
      <c r="J586" s="115"/>
      <c r="K586" s="115"/>
      <c r="L586" s="115"/>
      <c r="M586" s="115"/>
      <c r="N586" s="115"/>
      <c r="O586" s="115"/>
      <c r="P586" s="115"/>
    </row>
    <row r="587" spans="10:16" ht="12.5" x14ac:dyDescent="0.25">
      <c r="J587" s="115"/>
      <c r="K587" s="115"/>
      <c r="L587" s="115"/>
      <c r="M587" s="115"/>
      <c r="N587" s="115"/>
      <c r="O587" s="115"/>
      <c r="P587" s="115"/>
    </row>
    <row r="588" spans="10:16" ht="12.5" x14ac:dyDescent="0.25">
      <c r="J588" s="115"/>
      <c r="K588" s="115"/>
      <c r="L588" s="115"/>
      <c r="M588" s="115"/>
      <c r="N588" s="115"/>
      <c r="O588" s="115"/>
      <c r="P588" s="115"/>
    </row>
    <row r="589" spans="10:16" ht="12.5" x14ac:dyDescent="0.25">
      <c r="J589" s="115"/>
      <c r="K589" s="115"/>
      <c r="L589" s="115"/>
      <c r="M589" s="115"/>
      <c r="N589" s="115"/>
      <c r="O589" s="115"/>
      <c r="P589" s="115"/>
    </row>
    <row r="590" spans="10:16" ht="12.5" x14ac:dyDescent="0.25">
      <c r="J590" s="115"/>
      <c r="K590" s="115"/>
      <c r="L590" s="115"/>
      <c r="M590" s="115"/>
      <c r="N590" s="115"/>
      <c r="O590" s="115"/>
      <c r="P590" s="115"/>
    </row>
    <row r="591" spans="10:16" ht="12.5" x14ac:dyDescent="0.25">
      <c r="J591" s="115"/>
      <c r="K591" s="115"/>
      <c r="L591" s="115"/>
      <c r="M591" s="115"/>
      <c r="N591" s="115"/>
      <c r="O591" s="115"/>
      <c r="P591" s="115"/>
    </row>
    <row r="592" spans="10:16" ht="12.5" x14ac:dyDescent="0.25">
      <c r="J592" s="115"/>
      <c r="K592" s="115"/>
      <c r="L592" s="115"/>
      <c r="M592" s="115"/>
      <c r="N592" s="115"/>
      <c r="O592" s="115"/>
      <c r="P592" s="115"/>
    </row>
    <row r="593" spans="10:16" ht="12.5" x14ac:dyDescent="0.25">
      <c r="J593" s="115"/>
      <c r="K593" s="115"/>
      <c r="L593" s="115"/>
      <c r="M593" s="115"/>
      <c r="N593" s="115"/>
      <c r="O593" s="115"/>
      <c r="P593" s="115"/>
    </row>
    <row r="594" spans="10:16" ht="12.5" x14ac:dyDescent="0.25">
      <c r="J594" s="115"/>
      <c r="K594" s="115"/>
      <c r="L594" s="115"/>
      <c r="M594" s="115"/>
      <c r="N594" s="115"/>
      <c r="O594" s="115"/>
      <c r="P594" s="115"/>
    </row>
    <row r="595" spans="10:16" ht="12.5" x14ac:dyDescent="0.25">
      <c r="J595" s="115"/>
      <c r="K595" s="115"/>
      <c r="L595" s="115"/>
      <c r="M595" s="115"/>
      <c r="N595" s="115"/>
      <c r="O595" s="115"/>
      <c r="P595" s="115"/>
    </row>
    <row r="596" spans="10:16" ht="12.5" x14ac:dyDescent="0.25">
      <c r="J596" s="115"/>
      <c r="K596" s="115"/>
      <c r="L596" s="115"/>
      <c r="M596" s="115"/>
      <c r="N596" s="115"/>
      <c r="O596" s="115"/>
      <c r="P596" s="115"/>
    </row>
    <row r="597" spans="10:16" ht="12.5" x14ac:dyDescent="0.25">
      <c r="J597" s="115"/>
      <c r="K597" s="115"/>
      <c r="L597" s="115"/>
      <c r="M597" s="115"/>
      <c r="N597" s="115"/>
      <c r="O597" s="115"/>
      <c r="P597" s="115"/>
    </row>
    <row r="598" spans="10:16" ht="12.5" x14ac:dyDescent="0.25">
      <c r="J598" s="115"/>
      <c r="K598" s="115"/>
      <c r="L598" s="115"/>
      <c r="M598" s="115"/>
      <c r="N598" s="115"/>
      <c r="O598" s="115"/>
      <c r="P598" s="115"/>
    </row>
    <row r="599" spans="10:16" ht="12.5" x14ac:dyDescent="0.25">
      <c r="J599" s="115"/>
      <c r="K599" s="115"/>
      <c r="L599" s="115"/>
      <c r="M599" s="115"/>
      <c r="N599" s="115"/>
      <c r="O599" s="115"/>
      <c r="P599" s="115"/>
    </row>
    <row r="600" spans="10:16" ht="12.5" x14ac:dyDescent="0.25">
      <c r="J600" s="115"/>
      <c r="K600" s="115"/>
      <c r="L600" s="115"/>
      <c r="M600" s="115"/>
      <c r="N600" s="115"/>
      <c r="O600" s="115"/>
      <c r="P600" s="115"/>
    </row>
    <row r="601" spans="10:16" ht="12.5" x14ac:dyDescent="0.25">
      <c r="J601" s="115"/>
      <c r="K601" s="115"/>
      <c r="L601" s="115"/>
      <c r="M601" s="115"/>
      <c r="N601" s="115"/>
      <c r="O601" s="115"/>
      <c r="P601" s="115"/>
    </row>
    <row r="602" spans="10:16" ht="12.5" x14ac:dyDescent="0.25">
      <c r="J602" s="115"/>
      <c r="K602" s="115"/>
      <c r="L602" s="115"/>
      <c r="M602" s="115"/>
      <c r="N602" s="115"/>
      <c r="O602" s="115"/>
      <c r="P602" s="115"/>
    </row>
    <row r="603" spans="10:16" ht="12.5" x14ac:dyDescent="0.25">
      <c r="J603" s="115"/>
      <c r="K603" s="115"/>
      <c r="L603" s="115"/>
      <c r="M603" s="115"/>
      <c r="N603" s="115"/>
      <c r="O603" s="115"/>
      <c r="P603" s="115"/>
    </row>
    <row r="604" spans="10:16" ht="12.5" x14ac:dyDescent="0.25">
      <c r="J604" s="115"/>
      <c r="K604" s="115"/>
      <c r="L604" s="115"/>
      <c r="M604" s="115"/>
      <c r="N604" s="115"/>
      <c r="O604" s="115"/>
      <c r="P604" s="115"/>
    </row>
    <row r="605" spans="10:16" ht="12.5" x14ac:dyDescent="0.25">
      <c r="J605" s="115"/>
      <c r="K605" s="115"/>
      <c r="L605" s="115"/>
      <c r="M605" s="115"/>
      <c r="N605" s="115"/>
      <c r="O605" s="115"/>
      <c r="P605" s="115"/>
    </row>
    <row r="606" spans="10:16" ht="12.5" x14ac:dyDescent="0.25">
      <c r="J606" s="115"/>
      <c r="K606" s="115"/>
      <c r="L606" s="115"/>
      <c r="M606" s="115"/>
      <c r="N606" s="115"/>
      <c r="O606" s="115"/>
      <c r="P606" s="115"/>
    </row>
    <row r="607" spans="10:16" ht="12.5" x14ac:dyDescent="0.25">
      <c r="J607" s="115"/>
      <c r="K607" s="115"/>
      <c r="L607" s="115"/>
      <c r="M607" s="115"/>
      <c r="N607" s="115"/>
      <c r="O607" s="115"/>
      <c r="P607" s="115"/>
    </row>
    <row r="608" spans="10:16" ht="12.5" x14ac:dyDescent="0.25">
      <c r="J608" s="115"/>
      <c r="K608" s="115"/>
      <c r="L608" s="115"/>
      <c r="M608" s="115"/>
      <c r="N608" s="115"/>
      <c r="O608" s="115"/>
      <c r="P608" s="115"/>
    </row>
    <row r="609" spans="10:16" ht="12.5" x14ac:dyDescent="0.25">
      <c r="J609" s="115"/>
      <c r="K609" s="115"/>
      <c r="L609" s="115"/>
      <c r="M609" s="115"/>
      <c r="N609" s="115"/>
      <c r="O609" s="115"/>
      <c r="P609" s="115"/>
    </row>
    <row r="610" spans="10:16" ht="12.5" x14ac:dyDescent="0.25">
      <c r="J610" s="115"/>
      <c r="K610" s="115"/>
      <c r="L610" s="115"/>
      <c r="M610" s="115"/>
      <c r="N610" s="115"/>
      <c r="O610" s="115"/>
      <c r="P610" s="115"/>
    </row>
    <row r="611" spans="10:16" ht="12.5" x14ac:dyDescent="0.25">
      <c r="J611" s="115"/>
      <c r="K611" s="115"/>
      <c r="L611" s="115"/>
      <c r="M611" s="115"/>
      <c r="N611" s="115"/>
      <c r="O611" s="115"/>
      <c r="P611" s="115"/>
    </row>
    <row r="612" spans="10:16" ht="12.5" x14ac:dyDescent="0.25">
      <c r="J612" s="115"/>
      <c r="K612" s="115"/>
      <c r="L612" s="115"/>
      <c r="M612" s="115"/>
      <c r="N612" s="115"/>
      <c r="O612" s="115"/>
      <c r="P612" s="115"/>
    </row>
    <row r="613" spans="10:16" ht="12.5" x14ac:dyDescent="0.25">
      <c r="J613" s="115"/>
      <c r="K613" s="115"/>
      <c r="L613" s="115"/>
      <c r="M613" s="115"/>
      <c r="N613" s="115"/>
      <c r="O613" s="115"/>
      <c r="P613" s="115"/>
    </row>
    <row r="614" spans="10:16" ht="12.5" x14ac:dyDescent="0.25">
      <c r="J614" s="115"/>
      <c r="K614" s="115"/>
      <c r="L614" s="115"/>
      <c r="M614" s="115"/>
      <c r="N614" s="115"/>
      <c r="O614" s="115"/>
      <c r="P614" s="115"/>
    </row>
    <row r="615" spans="10:16" ht="12.5" x14ac:dyDescent="0.25">
      <c r="J615" s="115"/>
      <c r="K615" s="115"/>
      <c r="L615" s="115"/>
      <c r="M615" s="115"/>
      <c r="N615" s="115"/>
      <c r="O615" s="115"/>
      <c r="P615" s="115"/>
    </row>
    <row r="616" spans="10:16" ht="12.5" x14ac:dyDescent="0.25">
      <c r="J616" s="115"/>
      <c r="K616" s="115"/>
      <c r="L616" s="115"/>
      <c r="M616" s="115"/>
      <c r="N616" s="115"/>
      <c r="O616" s="115"/>
      <c r="P616" s="115"/>
    </row>
    <row r="617" spans="10:16" ht="12.5" x14ac:dyDescent="0.25">
      <c r="J617" s="115"/>
      <c r="K617" s="115"/>
      <c r="L617" s="115"/>
      <c r="M617" s="115"/>
      <c r="N617" s="115"/>
      <c r="O617" s="115"/>
      <c r="P617" s="115"/>
    </row>
    <row r="618" spans="10:16" ht="12.5" x14ac:dyDescent="0.25">
      <c r="J618" s="115"/>
      <c r="K618" s="115"/>
      <c r="L618" s="115"/>
      <c r="M618" s="115"/>
      <c r="N618" s="115"/>
      <c r="O618" s="115"/>
      <c r="P618" s="115"/>
    </row>
    <row r="619" spans="10:16" ht="12.5" x14ac:dyDescent="0.25">
      <c r="J619" s="115"/>
      <c r="K619" s="115"/>
      <c r="L619" s="115"/>
      <c r="M619" s="115"/>
      <c r="N619" s="115"/>
      <c r="O619" s="115"/>
      <c r="P619" s="115"/>
    </row>
    <row r="620" spans="10:16" ht="12.5" x14ac:dyDescent="0.25">
      <c r="J620" s="115"/>
      <c r="K620" s="115"/>
      <c r="L620" s="115"/>
      <c r="M620" s="115"/>
      <c r="N620" s="115"/>
      <c r="O620" s="115"/>
      <c r="P620" s="115"/>
    </row>
    <row r="621" spans="10:16" ht="12.5" x14ac:dyDescent="0.25">
      <c r="J621" s="115"/>
      <c r="K621" s="115"/>
      <c r="L621" s="115"/>
      <c r="M621" s="115"/>
      <c r="N621" s="115"/>
      <c r="O621" s="115"/>
      <c r="P621" s="115"/>
    </row>
    <row r="622" spans="10:16" ht="12.5" x14ac:dyDescent="0.25">
      <c r="J622" s="115"/>
      <c r="K622" s="115"/>
      <c r="L622" s="115"/>
      <c r="M622" s="115"/>
      <c r="N622" s="115"/>
      <c r="O622" s="115"/>
      <c r="P622" s="115"/>
    </row>
    <row r="623" spans="10:16" ht="12.5" x14ac:dyDescent="0.25">
      <c r="J623" s="115"/>
      <c r="K623" s="115"/>
      <c r="L623" s="115"/>
      <c r="M623" s="115"/>
      <c r="N623" s="115"/>
      <c r="O623" s="115"/>
      <c r="P623" s="115"/>
    </row>
    <row r="624" spans="10:16" ht="12.5" x14ac:dyDescent="0.25">
      <c r="J624" s="115"/>
      <c r="K624" s="115"/>
      <c r="L624" s="115"/>
      <c r="M624" s="115"/>
      <c r="N624" s="115"/>
      <c r="O624" s="115"/>
      <c r="P624" s="115"/>
    </row>
    <row r="625" spans="10:16" ht="12.5" x14ac:dyDescent="0.25">
      <c r="J625" s="115"/>
      <c r="K625" s="115"/>
      <c r="L625" s="115"/>
      <c r="M625" s="115"/>
      <c r="N625" s="115"/>
      <c r="O625" s="115"/>
      <c r="P625" s="115"/>
    </row>
    <row r="626" spans="10:16" ht="12.5" x14ac:dyDescent="0.25">
      <c r="J626" s="115"/>
      <c r="K626" s="115"/>
      <c r="L626" s="115"/>
      <c r="M626" s="115"/>
      <c r="N626" s="115"/>
      <c r="O626" s="115"/>
      <c r="P626" s="115"/>
    </row>
    <row r="627" spans="10:16" ht="12.5" x14ac:dyDescent="0.25">
      <c r="J627" s="115"/>
      <c r="K627" s="115"/>
      <c r="L627" s="115"/>
      <c r="M627" s="115"/>
      <c r="N627" s="115"/>
      <c r="O627" s="115"/>
      <c r="P627" s="115"/>
    </row>
    <row r="628" spans="10:16" ht="12.5" x14ac:dyDescent="0.25">
      <c r="J628" s="115"/>
      <c r="K628" s="115"/>
      <c r="L628" s="115"/>
      <c r="M628" s="115"/>
      <c r="N628" s="115"/>
      <c r="O628" s="115"/>
      <c r="P628" s="115"/>
    </row>
    <row r="629" spans="10:16" ht="12.5" x14ac:dyDescent="0.25">
      <c r="J629" s="115"/>
      <c r="K629" s="115"/>
      <c r="L629" s="115"/>
      <c r="M629" s="115"/>
      <c r="N629" s="115"/>
      <c r="O629" s="115"/>
      <c r="P629" s="115"/>
    </row>
    <row r="630" spans="10:16" ht="12.5" x14ac:dyDescent="0.25">
      <c r="J630" s="115"/>
      <c r="K630" s="115"/>
      <c r="L630" s="115"/>
      <c r="M630" s="115"/>
      <c r="N630" s="115"/>
      <c r="O630" s="115"/>
      <c r="P630" s="115"/>
    </row>
    <row r="631" spans="10:16" ht="12.5" x14ac:dyDescent="0.25">
      <c r="J631" s="115"/>
      <c r="K631" s="115"/>
      <c r="L631" s="115"/>
      <c r="M631" s="115"/>
      <c r="N631" s="115"/>
      <c r="O631" s="115"/>
      <c r="P631" s="115"/>
    </row>
    <row r="632" spans="10:16" ht="12.5" x14ac:dyDescent="0.25">
      <c r="J632" s="115"/>
      <c r="K632" s="115"/>
      <c r="L632" s="115"/>
      <c r="M632" s="115"/>
      <c r="N632" s="115"/>
      <c r="O632" s="115"/>
      <c r="P632" s="115"/>
    </row>
    <row r="633" spans="10:16" ht="12.5" x14ac:dyDescent="0.25">
      <c r="J633" s="115"/>
      <c r="K633" s="115"/>
      <c r="L633" s="115"/>
      <c r="M633" s="115"/>
      <c r="N633" s="115"/>
      <c r="O633" s="115"/>
      <c r="P633" s="115"/>
    </row>
    <row r="634" spans="10:16" ht="12.5" x14ac:dyDescent="0.25">
      <c r="J634" s="115"/>
      <c r="K634" s="115"/>
      <c r="L634" s="115"/>
      <c r="M634" s="115"/>
      <c r="N634" s="115"/>
      <c r="O634" s="115"/>
      <c r="P634" s="115"/>
    </row>
    <row r="635" spans="10:16" ht="12.5" x14ac:dyDescent="0.25">
      <c r="J635" s="115"/>
      <c r="K635" s="115"/>
      <c r="L635" s="115"/>
      <c r="M635" s="115"/>
      <c r="N635" s="115"/>
      <c r="O635" s="115"/>
      <c r="P635" s="115"/>
    </row>
    <row r="636" spans="10:16" ht="12.5" x14ac:dyDescent="0.25">
      <c r="J636" s="115"/>
      <c r="K636" s="115"/>
      <c r="L636" s="115"/>
      <c r="M636" s="115"/>
      <c r="N636" s="115"/>
      <c r="O636" s="115"/>
      <c r="P636" s="115"/>
    </row>
    <row r="637" spans="10:16" ht="12.5" x14ac:dyDescent="0.25">
      <c r="J637" s="115"/>
      <c r="K637" s="115"/>
      <c r="L637" s="115"/>
      <c r="M637" s="115"/>
      <c r="N637" s="115"/>
      <c r="O637" s="115"/>
      <c r="P637" s="115"/>
    </row>
    <row r="638" spans="10:16" ht="12.5" x14ac:dyDescent="0.25">
      <c r="J638" s="115"/>
      <c r="K638" s="115"/>
      <c r="L638" s="115"/>
      <c r="M638" s="115"/>
      <c r="N638" s="115"/>
      <c r="O638" s="115"/>
      <c r="P638" s="115"/>
    </row>
    <row r="639" spans="10:16" ht="12.5" x14ac:dyDescent="0.25">
      <c r="J639" s="115"/>
      <c r="K639" s="115"/>
      <c r="L639" s="115"/>
      <c r="M639" s="115"/>
      <c r="N639" s="115"/>
      <c r="O639" s="115"/>
      <c r="P639" s="115"/>
    </row>
    <row r="640" spans="10:16" ht="12.5" x14ac:dyDescent="0.25">
      <c r="J640" s="115"/>
      <c r="K640" s="115"/>
      <c r="L640" s="115"/>
      <c r="M640" s="115"/>
      <c r="N640" s="115"/>
      <c r="O640" s="115"/>
      <c r="P640" s="115"/>
    </row>
    <row r="641" spans="10:16" ht="12.5" x14ac:dyDescent="0.25">
      <c r="J641" s="115"/>
      <c r="K641" s="115"/>
      <c r="L641" s="115"/>
      <c r="M641" s="115"/>
      <c r="N641" s="115"/>
      <c r="O641" s="115"/>
      <c r="P641" s="115"/>
    </row>
    <row r="642" spans="10:16" ht="12.5" x14ac:dyDescent="0.25">
      <c r="J642" s="115"/>
      <c r="K642" s="115"/>
      <c r="L642" s="115"/>
      <c r="M642" s="115"/>
      <c r="N642" s="115"/>
      <c r="O642" s="115"/>
      <c r="P642" s="115"/>
    </row>
    <row r="643" spans="10:16" ht="12.5" x14ac:dyDescent="0.25">
      <c r="J643" s="115"/>
      <c r="K643" s="115"/>
      <c r="L643" s="115"/>
      <c r="M643" s="115"/>
      <c r="N643" s="115"/>
      <c r="O643" s="115"/>
      <c r="P643" s="115"/>
    </row>
    <row r="644" spans="10:16" ht="12.5" x14ac:dyDescent="0.25">
      <c r="J644" s="115"/>
      <c r="K644" s="115"/>
      <c r="L644" s="115"/>
      <c r="M644" s="115"/>
      <c r="N644" s="115"/>
      <c r="O644" s="115"/>
      <c r="P644" s="115"/>
    </row>
    <row r="645" spans="10:16" ht="12.5" x14ac:dyDescent="0.25">
      <c r="J645" s="115"/>
      <c r="K645" s="115"/>
      <c r="L645" s="115"/>
      <c r="M645" s="115"/>
      <c r="N645" s="115"/>
      <c r="O645" s="115"/>
      <c r="P645" s="115"/>
    </row>
    <row r="646" spans="10:16" ht="12.5" x14ac:dyDescent="0.25">
      <c r="J646" s="115"/>
      <c r="K646" s="115"/>
      <c r="L646" s="115"/>
      <c r="M646" s="115"/>
      <c r="N646" s="115"/>
      <c r="O646" s="115"/>
      <c r="P646" s="115"/>
    </row>
    <row r="647" spans="10:16" ht="12.5" x14ac:dyDescent="0.25">
      <c r="J647" s="115"/>
      <c r="K647" s="115"/>
      <c r="L647" s="115"/>
      <c r="M647" s="115"/>
      <c r="N647" s="115"/>
      <c r="O647" s="115"/>
      <c r="P647" s="115"/>
    </row>
    <row r="648" spans="10:16" ht="12.5" x14ac:dyDescent="0.25">
      <c r="J648" s="115"/>
      <c r="K648" s="115"/>
      <c r="L648" s="115"/>
      <c r="M648" s="115"/>
      <c r="N648" s="115"/>
      <c r="O648" s="115"/>
      <c r="P648" s="115"/>
    </row>
    <row r="649" spans="10:16" ht="12.5" x14ac:dyDescent="0.25">
      <c r="J649" s="115"/>
      <c r="K649" s="115"/>
      <c r="L649" s="115"/>
      <c r="M649" s="115"/>
      <c r="N649" s="115"/>
      <c r="O649" s="115"/>
      <c r="P649" s="115"/>
    </row>
    <row r="650" spans="10:16" ht="12.5" x14ac:dyDescent="0.25">
      <c r="J650" s="115"/>
      <c r="K650" s="115"/>
      <c r="L650" s="115"/>
      <c r="M650" s="115"/>
      <c r="N650" s="115"/>
      <c r="O650" s="115"/>
      <c r="P650" s="115"/>
    </row>
    <row r="651" spans="10:16" ht="12.5" x14ac:dyDescent="0.25">
      <c r="J651" s="115"/>
      <c r="K651" s="115"/>
      <c r="L651" s="115"/>
      <c r="M651" s="115"/>
      <c r="N651" s="115"/>
      <c r="O651" s="115"/>
      <c r="P651" s="115"/>
    </row>
    <row r="652" spans="10:16" ht="12.5" x14ac:dyDescent="0.25">
      <c r="J652" s="115"/>
      <c r="K652" s="115"/>
      <c r="L652" s="115"/>
      <c r="M652" s="115"/>
      <c r="N652" s="115"/>
      <c r="O652" s="115"/>
      <c r="P652" s="115"/>
    </row>
    <row r="653" spans="10:16" ht="12.5" x14ac:dyDescent="0.25">
      <c r="J653" s="115"/>
      <c r="K653" s="115"/>
      <c r="L653" s="115"/>
      <c r="M653" s="115"/>
      <c r="N653" s="115"/>
      <c r="O653" s="115"/>
      <c r="P653" s="115"/>
    </row>
    <row r="654" spans="10:16" ht="12.5" x14ac:dyDescent="0.25">
      <c r="J654" s="115"/>
      <c r="K654" s="115"/>
      <c r="L654" s="115"/>
      <c r="M654" s="115"/>
      <c r="N654" s="115"/>
      <c r="O654" s="115"/>
      <c r="P654" s="115"/>
    </row>
    <row r="655" spans="10:16" ht="12.5" x14ac:dyDescent="0.25">
      <c r="J655" s="115"/>
      <c r="K655" s="115"/>
      <c r="L655" s="115"/>
      <c r="M655" s="115"/>
      <c r="N655" s="115"/>
      <c r="O655" s="115"/>
      <c r="P655" s="115"/>
    </row>
    <row r="656" spans="10:16" ht="12.5" x14ac:dyDescent="0.25">
      <c r="J656" s="115"/>
      <c r="K656" s="115"/>
      <c r="L656" s="115"/>
      <c r="M656" s="115"/>
      <c r="N656" s="115"/>
      <c r="O656" s="115"/>
      <c r="P656" s="115"/>
    </row>
    <row r="657" spans="10:16" ht="12.5" x14ac:dyDescent="0.25">
      <c r="J657" s="115"/>
      <c r="K657" s="115"/>
      <c r="L657" s="115"/>
      <c r="M657" s="115"/>
      <c r="N657" s="115"/>
      <c r="O657" s="115"/>
      <c r="P657" s="115"/>
    </row>
    <row r="658" spans="10:16" ht="12.5" x14ac:dyDescent="0.25">
      <c r="J658" s="115"/>
      <c r="K658" s="115"/>
      <c r="L658" s="115"/>
      <c r="M658" s="115"/>
      <c r="N658" s="115"/>
      <c r="O658" s="115"/>
      <c r="P658" s="115"/>
    </row>
    <row r="659" spans="10:16" ht="12.5" x14ac:dyDescent="0.25">
      <c r="J659" s="115"/>
      <c r="K659" s="115"/>
      <c r="L659" s="115"/>
      <c r="M659" s="115"/>
      <c r="N659" s="115"/>
      <c r="O659" s="115"/>
      <c r="P659" s="115"/>
    </row>
    <row r="660" spans="10:16" ht="12.5" x14ac:dyDescent="0.25">
      <c r="J660" s="115"/>
      <c r="K660" s="115"/>
      <c r="L660" s="115"/>
      <c r="M660" s="115"/>
      <c r="N660" s="115"/>
      <c r="O660" s="115"/>
      <c r="P660" s="115"/>
    </row>
    <row r="661" spans="10:16" ht="12.5" x14ac:dyDescent="0.25">
      <c r="J661" s="115"/>
      <c r="K661" s="115"/>
      <c r="L661" s="115"/>
      <c r="M661" s="115"/>
      <c r="N661" s="115"/>
      <c r="O661" s="115"/>
      <c r="P661" s="115"/>
    </row>
    <row r="662" spans="10:16" ht="12.5" x14ac:dyDescent="0.25">
      <c r="J662" s="115"/>
      <c r="K662" s="115"/>
      <c r="L662" s="115"/>
      <c r="M662" s="115"/>
      <c r="N662" s="115"/>
      <c r="O662" s="115"/>
      <c r="P662" s="115"/>
    </row>
    <row r="663" spans="10:16" ht="12.5" x14ac:dyDescent="0.25">
      <c r="J663" s="115"/>
      <c r="K663" s="115"/>
      <c r="L663" s="115"/>
      <c r="M663" s="115"/>
      <c r="N663" s="115"/>
      <c r="O663" s="115"/>
      <c r="P663" s="115"/>
    </row>
    <row r="664" spans="10:16" ht="12.5" x14ac:dyDescent="0.25">
      <c r="J664" s="115"/>
      <c r="K664" s="115"/>
      <c r="L664" s="115"/>
      <c r="M664" s="115"/>
      <c r="N664" s="115"/>
      <c r="O664" s="115"/>
      <c r="P664" s="115"/>
    </row>
    <row r="665" spans="10:16" ht="12.5" x14ac:dyDescent="0.25">
      <c r="J665" s="115"/>
      <c r="K665" s="115"/>
      <c r="L665" s="115"/>
      <c r="M665" s="115"/>
      <c r="N665" s="115"/>
      <c r="O665" s="115"/>
      <c r="P665" s="115"/>
    </row>
    <row r="666" spans="10:16" ht="12.5" x14ac:dyDescent="0.25">
      <c r="J666" s="115"/>
      <c r="K666" s="115"/>
      <c r="L666" s="115"/>
      <c r="M666" s="115"/>
      <c r="N666" s="115"/>
      <c r="O666" s="115"/>
      <c r="P666" s="115"/>
    </row>
    <row r="667" spans="10:16" ht="12.5" x14ac:dyDescent="0.25">
      <c r="J667" s="115"/>
      <c r="K667" s="115"/>
      <c r="L667" s="115"/>
      <c r="M667" s="115"/>
      <c r="N667" s="115"/>
      <c r="O667" s="115"/>
      <c r="P667" s="115"/>
    </row>
    <row r="668" spans="10:16" ht="12.5" x14ac:dyDescent="0.25">
      <c r="J668" s="115"/>
      <c r="K668" s="115"/>
      <c r="L668" s="115"/>
      <c r="M668" s="115"/>
      <c r="N668" s="115"/>
      <c r="O668" s="115"/>
      <c r="P668" s="115"/>
    </row>
    <row r="669" spans="10:16" ht="12.5" x14ac:dyDescent="0.25">
      <c r="J669" s="115"/>
      <c r="K669" s="115"/>
      <c r="L669" s="115"/>
      <c r="M669" s="115"/>
      <c r="N669" s="115"/>
      <c r="O669" s="115"/>
      <c r="P669" s="115"/>
    </row>
    <row r="670" spans="10:16" ht="12.5" x14ac:dyDescent="0.25">
      <c r="J670" s="115"/>
      <c r="K670" s="115"/>
      <c r="L670" s="115"/>
      <c r="M670" s="115"/>
      <c r="N670" s="115"/>
      <c r="O670" s="115"/>
      <c r="P670" s="115"/>
    </row>
    <row r="671" spans="10:16" ht="12.5" x14ac:dyDescent="0.25">
      <c r="J671" s="115"/>
      <c r="K671" s="115"/>
      <c r="L671" s="115"/>
      <c r="M671" s="115"/>
      <c r="N671" s="115"/>
      <c r="O671" s="115"/>
      <c r="P671" s="115"/>
    </row>
    <row r="672" spans="10:16" ht="12.5" x14ac:dyDescent="0.25">
      <c r="J672" s="115"/>
      <c r="K672" s="115"/>
      <c r="L672" s="115"/>
      <c r="M672" s="115"/>
      <c r="N672" s="115"/>
      <c r="O672" s="115"/>
      <c r="P672" s="115"/>
    </row>
    <row r="673" spans="10:16" ht="12.5" x14ac:dyDescent="0.25">
      <c r="J673" s="115"/>
      <c r="K673" s="115"/>
      <c r="L673" s="115"/>
      <c r="M673" s="115"/>
      <c r="N673" s="115"/>
      <c r="O673" s="115"/>
      <c r="P673" s="115"/>
    </row>
    <row r="674" spans="10:16" ht="12.5" x14ac:dyDescent="0.25">
      <c r="J674" s="115"/>
      <c r="K674" s="115"/>
      <c r="L674" s="115"/>
      <c r="M674" s="115"/>
      <c r="N674" s="115"/>
      <c r="O674" s="115"/>
      <c r="P674" s="115"/>
    </row>
    <row r="675" spans="10:16" ht="12.5" x14ac:dyDescent="0.25">
      <c r="J675" s="115"/>
      <c r="K675" s="115"/>
      <c r="L675" s="115"/>
      <c r="M675" s="115"/>
      <c r="N675" s="115"/>
      <c r="O675" s="115"/>
      <c r="P675" s="115"/>
    </row>
    <row r="676" spans="10:16" ht="12.5" x14ac:dyDescent="0.25">
      <c r="J676" s="115"/>
      <c r="K676" s="115"/>
      <c r="L676" s="115"/>
      <c r="M676" s="115"/>
      <c r="N676" s="115"/>
      <c r="O676" s="115"/>
      <c r="P676" s="115"/>
    </row>
    <row r="677" spans="10:16" ht="12.5" x14ac:dyDescent="0.25">
      <c r="J677" s="115"/>
      <c r="K677" s="115"/>
      <c r="L677" s="115"/>
      <c r="M677" s="115"/>
      <c r="N677" s="115"/>
      <c r="O677" s="115"/>
      <c r="P677" s="115"/>
    </row>
    <row r="678" spans="10:16" ht="12.5" x14ac:dyDescent="0.25">
      <c r="J678" s="115"/>
      <c r="K678" s="115"/>
      <c r="L678" s="115"/>
      <c r="M678" s="115"/>
      <c r="N678" s="115"/>
      <c r="O678" s="115"/>
      <c r="P678" s="115"/>
    </row>
    <row r="679" spans="10:16" ht="12.5" x14ac:dyDescent="0.25">
      <c r="J679" s="115"/>
      <c r="K679" s="115"/>
      <c r="L679" s="115"/>
      <c r="M679" s="115"/>
      <c r="N679" s="115"/>
      <c r="O679" s="115"/>
      <c r="P679" s="115"/>
    </row>
    <row r="680" spans="10:16" ht="12.5" x14ac:dyDescent="0.25">
      <c r="J680" s="115"/>
      <c r="K680" s="115"/>
      <c r="L680" s="115"/>
      <c r="M680" s="115"/>
      <c r="N680" s="115"/>
      <c r="O680" s="115"/>
      <c r="P680" s="115"/>
    </row>
    <row r="681" spans="10:16" ht="12.5" x14ac:dyDescent="0.25">
      <c r="J681" s="115"/>
      <c r="K681" s="115"/>
      <c r="L681" s="115"/>
      <c r="M681" s="115"/>
      <c r="N681" s="115"/>
      <c r="O681" s="115"/>
      <c r="P681" s="115"/>
    </row>
    <row r="682" spans="10:16" ht="12.5" x14ac:dyDescent="0.25">
      <c r="J682" s="115"/>
      <c r="K682" s="115"/>
      <c r="L682" s="115"/>
      <c r="M682" s="115"/>
      <c r="N682" s="115"/>
      <c r="O682" s="115"/>
      <c r="P682" s="115"/>
    </row>
    <row r="683" spans="10:16" ht="12.5" x14ac:dyDescent="0.25">
      <c r="J683" s="115"/>
      <c r="K683" s="115"/>
      <c r="L683" s="115"/>
      <c r="M683" s="115"/>
      <c r="N683" s="115"/>
      <c r="O683" s="115"/>
      <c r="P683" s="115"/>
    </row>
    <row r="684" spans="10:16" ht="12.5" x14ac:dyDescent="0.25">
      <c r="J684" s="115"/>
      <c r="K684" s="115"/>
      <c r="L684" s="115"/>
      <c r="M684" s="115"/>
      <c r="N684" s="115"/>
      <c r="O684" s="115"/>
      <c r="P684" s="115"/>
    </row>
    <row r="685" spans="10:16" ht="12.5" x14ac:dyDescent="0.25">
      <c r="J685" s="115"/>
      <c r="K685" s="115"/>
      <c r="L685" s="115"/>
      <c r="M685" s="115"/>
      <c r="N685" s="115"/>
      <c r="O685" s="115"/>
      <c r="P685" s="115"/>
    </row>
    <row r="686" spans="10:16" ht="12.5" x14ac:dyDescent="0.25">
      <c r="J686" s="115"/>
      <c r="K686" s="115"/>
      <c r="L686" s="115"/>
      <c r="M686" s="115"/>
      <c r="N686" s="115"/>
      <c r="O686" s="115"/>
      <c r="P686" s="115"/>
    </row>
    <row r="687" spans="10:16" ht="12.5" x14ac:dyDescent="0.25">
      <c r="J687" s="115"/>
      <c r="K687" s="115"/>
      <c r="L687" s="115"/>
      <c r="M687" s="115"/>
      <c r="N687" s="115"/>
      <c r="O687" s="115"/>
      <c r="P687" s="115"/>
    </row>
    <row r="688" spans="10:16" ht="12.5" x14ac:dyDescent="0.25">
      <c r="J688" s="115"/>
      <c r="K688" s="115"/>
      <c r="L688" s="115"/>
      <c r="M688" s="115"/>
      <c r="N688" s="115"/>
      <c r="O688" s="115"/>
      <c r="P688" s="115"/>
    </row>
    <row r="689" spans="10:16" ht="12.5" x14ac:dyDescent="0.25">
      <c r="J689" s="115"/>
      <c r="K689" s="115"/>
      <c r="L689" s="115"/>
      <c r="M689" s="115"/>
      <c r="N689" s="115"/>
      <c r="O689" s="115"/>
      <c r="P689" s="115"/>
    </row>
    <row r="690" spans="10:16" ht="12.5" x14ac:dyDescent="0.25">
      <c r="J690" s="115"/>
      <c r="K690" s="115"/>
      <c r="L690" s="115"/>
      <c r="M690" s="115"/>
      <c r="N690" s="115"/>
      <c r="O690" s="115"/>
      <c r="P690" s="115"/>
    </row>
    <row r="691" spans="10:16" ht="12.5" x14ac:dyDescent="0.25">
      <c r="J691" s="115"/>
      <c r="K691" s="115"/>
      <c r="L691" s="115"/>
      <c r="M691" s="115"/>
      <c r="N691" s="115"/>
      <c r="O691" s="115"/>
      <c r="P691" s="115"/>
    </row>
    <row r="692" spans="10:16" ht="12.5" x14ac:dyDescent="0.25">
      <c r="J692" s="115"/>
      <c r="K692" s="115"/>
      <c r="L692" s="115"/>
      <c r="M692" s="115"/>
      <c r="N692" s="115"/>
      <c r="O692" s="115"/>
      <c r="P692" s="115"/>
    </row>
    <row r="693" spans="10:16" ht="12.5" x14ac:dyDescent="0.25">
      <c r="J693" s="115"/>
      <c r="K693" s="115"/>
      <c r="L693" s="115"/>
      <c r="M693" s="115"/>
      <c r="N693" s="115"/>
      <c r="O693" s="115"/>
      <c r="P693" s="115"/>
    </row>
    <row r="694" spans="10:16" ht="12.5" x14ac:dyDescent="0.25">
      <c r="J694" s="115"/>
      <c r="K694" s="115"/>
      <c r="L694" s="115"/>
      <c r="M694" s="115"/>
      <c r="N694" s="115"/>
      <c r="O694" s="115"/>
      <c r="P694" s="115"/>
    </row>
    <row r="695" spans="10:16" ht="12.5" x14ac:dyDescent="0.25">
      <c r="J695" s="115"/>
      <c r="K695" s="115"/>
      <c r="L695" s="115"/>
      <c r="M695" s="115"/>
      <c r="N695" s="115"/>
      <c r="O695" s="115"/>
      <c r="P695" s="115"/>
    </row>
    <row r="696" spans="10:16" ht="12.5" x14ac:dyDescent="0.25">
      <c r="J696" s="115"/>
      <c r="K696" s="115"/>
      <c r="L696" s="115"/>
      <c r="M696" s="115"/>
      <c r="N696" s="115"/>
      <c r="O696" s="115"/>
      <c r="P696" s="115"/>
    </row>
    <row r="697" spans="10:16" ht="12.5" x14ac:dyDescent="0.25">
      <c r="J697" s="115"/>
      <c r="K697" s="115"/>
      <c r="L697" s="115"/>
      <c r="M697" s="115"/>
      <c r="N697" s="115"/>
      <c r="O697" s="115"/>
      <c r="P697" s="115"/>
    </row>
    <row r="698" spans="10:16" ht="12.5" x14ac:dyDescent="0.25">
      <c r="J698" s="115"/>
      <c r="K698" s="115"/>
      <c r="L698" s="115"/>
      <c r="M698" s="115"/>
      <c r="N698" s="115"/>
      <c r="O698" s="115"/>
      <c r="P698" s="115"/>
    </row>
    <row r="699" spans="10:16" ht="12.5" x14ac:dyDescent="0.25">
      <c r="J699" s="115"/>
      <c r="K699" s="115"/>
      <c r="L699" s="115"/>
      <c r="M699" s="115"/>
      <c r="N699" s="115"/>
      <c r="O699" s="115"/>
      <c r="P699" s="115"/>
    </row>
    <row r="700" spans="10:16" ht="12.5" x14ac:dyDescent="0.25">
      <c r="J700" s="115"/>
      <c r="K700" s="115"/>
      <c r="L700" s="115"/>
      <c r="M700" s="115"/>
      <c r="N700" s="115"/>
      <c r="O700" s="115"/>
      <c r="P700" s="115"/>
    </row>
    <row r="701" spans="10:16" ht="12.5" x14ac:dyDescent="0.25">
      <c r="J701" s="115"/>
      <c r="K701" s="115"/>
      <c r="L701" s="115"/>
      <c r="M701" s="115"/>
      <c r="N701" s="115"/>
      <c r="O701" s="115"/>
      <c r="P701" s="115"/>
    </row>
    <row r="702" spans="10:16" ht="12.5" x14ac:dyDescent="0.25">
      <c r="J702" s="115"/>
      <c r="K702" s="115"/>
      <c r="L702" s="115"/>
      <c r="M702" s="115"/>
      <c r="N702" s="115"/>
      <c r="O702" s="115"/>
      <c r="P702" s="115"/>
    </row>
    <row r="703" spans="10:16" ht="12.5" x14ac:dyDescent="0.25">
      <c r="J703" s="115"/>
      <c r="K703" s="115"/>
      <c r="L703" s="115"/>
      <c r="M703" s="115"/>
      <c r="N703" s="115"/>
      <c r="O703" s="115"/>
      <c r="P703" s="115"/>
    </row>
    <row r="704" spans="10:16" ht="12.5" x14ac:dyDescent="0.25">
      <c r="J704" s="115"/>
      <c r="K704" s="115"/>
      <c r="L704" s="115"/>
      <c r="M704" s="115"/>
      <c r="N704" s="115"/>
      <c r="O704" s="115"/>
      <c r="P704" s="115"/>
    </row>
    <row r="705" spans="10:16" ht="12.5" x14ac:dyDescent="0.25">
      <c r="J705" s="115"/>
      <c r="K705" s="115"/>
      <c r="L705" s="115"/>
      <c r="M705" s="115"/>
      <c r="N705" s="115"/>
      <c r="O705" s="115"/>
      <c r="P705" s="115"/>
    </row>
    <row r="706" spans="10:16" ht="12.5" x14ac:dyDescent="0.25">
      <c r="J706" s="115"/>
      <c r="K706" s="115"/>
      <c r="L706" s="115"/>
      <c r="M706" s="115"/>
      <c r="N706" s="115"/>
      <c r="O706" s="115"/>
      <c r="P706" s="115"/>
    </row>
    <row r="707" spans="10:16" ht="12.5" x14ac:dyDescent="0.25">
      <c r="J707" s="115"/>
      <c r="K707" s="115"/>
      <c r="L707" s="115"/>
      <c r="M707" s="115"/>
      <c r="N707" s="115"/>
      <c r="O707" s="115"/>
      <c r="P707" s="115"/>
    </row>
    <row r="708" spans="10:16" ht="12.5" x14ac:dyDescent="0.25">
      <c r="J708" s="115"/>
      <c r="K708" s="115"/>
      <c r="L708" s="115"/>
      <c r="M708" s="115"/>
      <c r="N708" s="115"/>
      <c r="O708" s="115"/>
      <c r="P708" s="115"/>
    </row>
    <row r="709" spans="10:16" ht="12.5" x14ac:dyDescent="0.25">
      <c r="J709" s="115"/>
      <c r="K709" s="115"/>
      <c r="L709" s="115"/>
      <c r="M709" s="115"/>
      <c r="N709" s="115"/>
      <c r="O709" s="115"/>
      <c r="P709" s="115"/>
    </row>
    <row r="710" spans="10:16" ht="12.5" x14ac:dyDescent="0.25">
      <c r="J710" s="115"/>
      <c r="K710" s="115"/>
      <c r="L710" s="115"/>
      <c r="M710" s="115"/>
      <c r="N710" s="115"/>
      <c r="O710" s="115"/>
      <c r="P710" s="115"/>
    </row>
    <row r="711" spans="10:16" ht="12.5" x14ac:dyDescent="0.25">
      <c r="J711" s="115"/>
      <c r="K711" s="115"/>
      <c r="L711" s="115"/>
      <c r="M711" s="115"/>
      <c r="N711" s="115"/>
      <c r="O711" s="115"/>
      <c r="P711" s="115"/>
    </row>
    <row r="712" spans="10:16" ht="12.5" x14ac:dyDescent="0.25">
      <c r="J712" s="115"/>
      <c r="K712" s="115"/>
      <c r="L712" s="115"/>
      <c r="M712" s="115"/>
      <c r="N712" s="115"/>
      <c r="O712" s="115"/>
      <c r="P712" s="115"/>
    </row>
    <row r="713" spans="10:16" ht="12.5" x14ac:dyDescent="0.25">
      <c r="J713" s="115"/>
      <c r="K713" s="115"/>
      <c r="L713" s="115"/>
      <c r="M713" s="115"/>
      <c r="N713" s="115"/>
      <c r="O713" s="115"/>
      <c r="P713" s="115"/>
    </row>
    <row r="714" spans="10:16" ht="12.5" x14ac:dyDescent="0.25">
      <c r="J714" s="115"/>
      <c r="K714" s="115"/>
      <c r="L714" s="115"/>
      <c r="M714" s="115"/>
      <c r="N714" s="115"/>
      <c r="O714" s="115"/>
      <c r="P714" s="115"/>
    </row>
    <row r="715" spans="10:16" ht="12.5" x14ac:dyDescent="0.25">
      <c r="J715" s="115"/>
      <c r="K715" s="115"/>
      <c r="L715" s="115"/>
      <c r="M715" s="115"/>
      <c r="N715" s="115"/>
      <c r="O715" s="115"/>
      <c r="P715" s="115"/>
    </row>
    <row r="716" spans="10:16" ht="12.5" x14ac:dyDescent="0.25">
      <c r="J716" s="115"/>
      <c r="K716" s="115"/>
      <c r="L716" s="115"/>
      <c r="M716" s="115"/>
      <c r="N716" s="115"/>
      <c r="O716" s="115"/>
      <c r="P716" s="115"/>
    </row>
    <row r="717" spans="10:16" ht="12.5" x14ac:dyDescent="0.25">
      <c r="J717" s="115"/>
      <c r="K717" s="115"/>
      <c r="L717" s="115"/>
      <c r="M717" s="115"/>
      <c r="N717" s="115"/>
      <c r="O717" s="115"/>
      <c r="P717" s="115"/>
    </row>
    <row r="718" spans="10:16" ht="12.5" x14ac:dyDescent="0.25">
      <c r="J718" s="115"/>
      <c r="K718" s="115"/>
      <c r="L718" s="115"/>
      <c r="M718" s="115"/>
      <c r="N718" s="115"/>
      <c r="O718" s="115"/>
      <c r="P718" s="115"/>
    </row>
    <row r="719" spans="10:16" ht="12.5" x14ac:dyDescent="0.25">
      <c r="J719" s="115"/>
      <c r="K719" s="115"/>
      <c r="L719" s="115"/>
      <c r="M719" s="115"/>
      <c r="N719" s="115"/>
      <c r="O719" s="115"/>
      <c r="P719" s="115"/>
    </row>
    <row r="720" spans="10:16" ht="12.5" x14ac:dyDescent="0.25">
      <c r="J720" s="115"/>
      <c r="K720" s="115"/>
      <c r="L720" s="115"/>
      <c r="M720" s="115"/>
      <c r="N720" s="115"/>
      <c r="O720" s="115"/>
      <c r="P720" s="115"/>
    </row>
    <row r="721" spans="10:16" ht="12.5" x14ac:dyDescent="0.25">
      <c r="J721" s="115"/>
      <c r="K721" s="115"/>
      <c r="L721" s="115"/>
      <c r="M721" s="115"/>
      <c r="N721" s="115"/>
      <c r="O721" s="115"/>
      <c r="P721" s="115"/>
    </row>
    <row r="722" spans="10:16" ht="12.5" x14ac:dyDescent="0.25">
      <c r="J722" s="115"/>
      <c r="K722" s="115"/>
      <c r="L722" s="115"/>
      <c r="M722" s="115"/>
      <c r="N722" s="115"/>
      <c r="O722" s="115"/>
      <c r="P722" s="115"/>
    </row>
    <row r="723" spans="10:16" ht="12.5" x14ac:dyDescent="0.25">
      <c r="J723" s="115"/>
      <c r="K723" s="115"/>
      <c r="L723" s="115"/>
      <c r="M723" s="115"/>
      <c r="N723" s="115"/>
      <c r="O723" s="115"/>
      <c r="P723" s="115"/>
    </row>
    <row r="724" spans="10:16" ht="12.5" x14ac:dyDescent="0.25">
      <c r="J724" s="115"/>
      <c r="K724" s="115"/>
      <c r="L724" s="115"/>
      <c r="M724" s="115"/>
      <c r="N724" s="115"/>
      <c r="O724" s="115"/>
      <c r="P724" s="115"/>
    </row>
    <row r="725" spans="10:16" ht="12.5" x14ac:dyDescent="0.25">
      <c r="J725" s="115"/>
      <c r="K725" s="115"/>
      <c r="L725" s="115"/>
      <c r="M725" s="115"/>
      <c r="N725" s="115"/>
      <c r="O725" s="115"/>
      <c r="P725" s="115"/>
    </row>
    <row r="726" spans="10:16" ht="12.5" x14ac:dyDescent="0.25">
      <c r="J726" s="115"/>
      <c r="K726" s="115"/>
      <c r="L726" s="115"/>
      <c r="M726" s="115"/>
      <c r="N726" s="115"/>
      <c r="O726" s="115"/>
      <c r="P726" s="115"/>
    </row>
    <row r="727" spans="10:16" ht="12.5" x14ac:dyDescent="0.25">
      <c r="J727" s="115"/>
      <c r="K727" s="115"/>
      <c r="L727" s="115"/>
      <c r="M727" s="115"/>
      <c r="N727" s="115"/>
      <c r="O727" s="115"/>
      <c r="P727" s="115"/>
    </row>
    <row r="728" spans="10:16" ht="12.5" x14ac:dyDescent="0.25">
      <c r="J728" s="115"/>
      <c r="K728" s="115"/>
      <c r="L728" s="115"/>
      <c r="M728" s="115"/>
      <c r="N728" s="115"/>
      <c r="O728" s="115"/>
      <c r="P728" s="115"/>
    </row>
    <row r="729" spans="10:16" ht="12.5" x14ac:dyDescent="0.25">
      <c r="J729" s="115"/>
      <c r="K729" s="115"/>
      <c r="L729" s="115"/>
      <c r="M729" s="115"/>
      <c r="N729" s="115"/>
      <c r="O729" s="115"/>
      <c r="P729" s="115"/>
    </row>
    <row r="730" spans="10:16" ht="12.5" x14ac:dyDescent="0.25">
      <c r="J730" s="115"/>
      <c r="K730" s="115"/>
      <c r="L730" s="115"/>
      <c r="M730" s="115"/>
      <c r="N730" s="115"/>
      <c r="O730" s="115"/>
      <c r="P730" s="115"/>
    </row>
    <row r="731" spans="10:16" ht="12.5" x14ac:dyDescent="0.25">
      <c r="J731" s="115"/>
      <c r="K731" s="115"/>
      <c r="L731" s="115"/>
      <c r="M731" s="115"/>
      <c r="N731" s="115"/>
      <c r="O731" s="115"/>
      <c r="P731" s="115"/>
    </row>
    <row r="732" spans="10:16" ht="12.5" x14ac:dyDescent="0.25">
      <c r="J732" s="115"/>
      <c r="K732" s="115"/>
      <c r="L732" s="115"/>
      <c r="M732" s="115"/>
      <c r="N732" s="115"/>
      <c r="O732" s="115"/>
      <c r="P732" s="115"/>
    </row>
    <row r="733" spans="10:16" ht="12.5" x14ac:dyDescent="0.25">
      <c r="J733" s="115"/>
      <c r="K733" s="115"/>
      <c r="L733" s="115"/>
      <c r="M733" s="115"/>
      <c r="N733" s="115"/>
      <c r="O733" s="115"/>
      <c r="P733" s="115"/>
    </row>
    <row r="734" spans="10:16" ht="12.5" x14ac:dyDescent="0.25">
      <c r="J734" s="115"/>
      <c r="K734" s="115"/>
      <c r="L734" s="115"/>
      <c r="M734" s="115"/>
      <c r="N734" s="115"/>
      <c r="O734" s="115"/>
      <c r="P734" s="115"/>
    </row>
    <row r="735" spans="10:16" ht="12.5" x14ac:dyDescent="0.25">
      <c r="J735" s="115"/>
      <c r="K735" s="115"/>
      <c r="L735" s="115"/>
      <c r="M735" s="115"/>
      <c r="N735" s="115"/>
      <c r="O735" s="115"/>
      <c r="P735" s="115"/>
    </row>
    <row r="736" spans="10:16" ht="12.5" x14ac:dyDescent="0.25">
      <c r="J736" s="115"/>
      <c r="K736" s="115"/>
      <c r="L736" s="115"/>
      <c r="M736" s="115"/>
      <c r="N736" s="115"/>
      <c r="O736" s="115"/>
      <c r="P736" s="115"/>
    </row>
    <row r="737" spans="10:16" ht="12.5" x14ac:dyDescent="0.25">
      <c r="J737" s="115"/>
      <c r="K737" s="115"/>
      <c r="L737" s="115"/>
      <c r="M737" s="115"/>
      <c r="N737" s="115"/>
      <c r="O737" s="115"/>
      <c r="P737" s="115"/>
    </row>
    <row r="738" spans="10:16" ht="12.5" x14ac:dyDescent="0.25">
      <c r="J738" s="115"/>
      <c r="K738" s="115"/>
      <c r="L738" s="115"/>
      <c r="M738" s="115"/>
      <c r="N738" s="115"/>
      <c r="O738" s="115"/>
      <c r="P738" s="115"/>
    </row>
    <row r="739" spans="10:16" ht="12.5" x14ac:dyDescent="0.25">
      <c r="J739" s="115"/>
      <c r="K739" s="115"/>
      <c r="L739" s="115"/>
      <c r="M739" s="115"/>
      <c r="N739" s="115"/>
      <c r="O739" s="115"/>
      <c r="P739" s="115"/>
    </row>
    <row r="740" spans="10:16" ht="12.5" x14ac:dyDescent="0.25">
      <c r="J740" s="115"/>
      <c r="K740" s="115"/>
      <c r="L740" s="115"/>
      <c r="M740" s="115"/>
      <c r="N740" s="115"/>
      <c r="O740" s="115"/>
      <c r="P740" s="115"/>
    </row>
    <row r="741" spans="10:16" ht="12.5" x14ac:dyDescent="0.25">
      <c r="J741" s="115"/>
      <c r="K741" s="115"/>
      <c r="L741" s="115"/>
      <c r="M741" s="115"/>
      <c r="N741" s="115"/>
      <c r="O741" s="115"/>
      <c r="P741" s="115"/>
    </row>
    <row r="742" spans="10:16" ht="12.5" x14ac:dyDescent="0.25">
      <c r="J742" s="115"/>
      <c r="K742" s="115"/>
      <c r="L742" s="115"/>
      <c r="M742" s="115"/>
      <c r="N742" s="115"/>
      <c r="O742" s="115"/>
      <c r="P742" s="115"/>
    </row>
    <row r="743" spans="10:16" ht="12.5" x14ac:dyDescent="0.25">
      <c r="J743" s="115"/>
      <c r="K743" s="115"/>
      <c r="L743" s="115"/>
      <c r="M743" s="115"/>
      <c r="N743" s="115"/>
      <c r="O743" s="115"/>
      <c r="P743" s="115"/>
    </row>
    <row r="744" spans="10:16" ht="12.5" x14ac:dyDescent="0.25">
      <c r="J744" s="115"/>
      <c r="K744" s="115"/>
      <c r="L744" s="115"/>
      <c r="M744" s="115"/>
      <c r="N744" s="115"/>
      <c r="O744" s="115"/>
      <c r="P744" s="115"/>
    </row>
    <row r="745" spans="10:16" ht="12.5" x14ac:dyDescent="0.25">
      <c r="J745" s="115"/>
      <c r="K745" s="115"/>
      <c r="L745" s="115"/>
      <c r="M745" s="115"/>
      <c r="N745" s="115"/>
      <c r="O745" s="115"/>
      <c r="P745" s="115"/>
    </row>
    <row r="746" spans="10:16" ht="12.5" x14ac:dyDescent="0.25">
      <c r="J746" s="115"/>
      <c r="K746" s="115"/>
      <c r="L746" s="115"/>
      <c r="M746" s="115"/>
      <c r="N746" s="115"/>
      <c r="O746" s="115"/>
      <c r="P746" s="115"/>
    </row>
    <row r="747" spans="10:16" ht="12.5" x14ac:dyDescent="0.25">
      <c r="J747" s="115"/>
      <c r="K747" s="115"/>
      <c r="L747" s="115"/>
      <c r="M747" s="115"/>
      <c r="N747" s="115"/>
      <c r="O747" s="115"/>
      <c r="P747" s="115"/>
    </row>
    <row r="748" spans="10:16" ht="12.5" x14ac:dyDescent="0.25">
      <c r="J748" s="115"/>
      <c r="K748" s="115"/>
      <c r="L748" s="115"/>
      <c r="M748" s="115"/>
      <c r="N748" s="115"/>
      <c r="O748" s="115"/>
      <c r="P748" s="115"/>
    </row>
    <row r="749" spans="10:16" ht="12.5" x14ac:dyDescent="0.25">
      <c r="J749" s="115"/>
      <c r="K749" s="115"/>
      <c r="L749" s="115"/>
      <c r="M749" s="115"/>
      <c r="N749" s="115"/>
      <c r="O749" s="115"/>
      <c r="P749" s="115"/>
    </row>
    <row r="750" spans="10:16" ht="12.5" x14ac:dyDescent="0.25">
      <c r="J750" s="115"/>
      <c r="K750" s="115"/>
      <c r="L750" s="115"/>
      <c r="M750" s="115"/>
      <c r="N750" s="115"/>
      <c r="O750" s="115"/>
      <c r="P750" s="115"/>
    </row>
    <row r="751" spans="10:16" ht="12.5" x14ac:dyDescent="0.25">
      <c r="J751" s="115"/>
      <c r="K751" s="115"/>
      <c r="L751" s="115"/>
      <c r="M751" s="115"/>
      <c r="N751" s="115"/>
      <c r="O751" s="115"/>
      <c r="P751" s="115"/>
    </row>
    <row r="752" spans="10:16" ht="12.5" x14ac:dyDescent="0.25">
      <c r="J752" s="115"/>
      <c r="K752" s="115"/>
      <c r="L752" s="115"/>
      <c r="M752" s="115"/>
      <c r="N752" s="115"/>
      <c r="O752" s="115"/>
      <c r="P752" s="115"/>
    </row>
    <row r="753" spans="10:16" ht="12.5" x14ac:dyDescent="0.25">
      <c r="J753" s="115"/>
      <c r="K753" s="115"/>
      <c r="L753" s="115"/>
      <c r="M753" s="115"/>
      <c r="N753" s="115"/>
      <c r="O753" s="115"/>
      <c r="P753" s="115"/>
    </row>
    <row r="754" spans="10:16" ht="12.5" x14ac:dyDescent="0.25">
      <c r="J754" s="115"/>
      <c r="K754" s="115"/>
      <c r="L754" s="115"/>
      <c r="M754" s="115"/>
      <c r="N754" s="115"/>
      <c r="O754" s="115"/>
      <c r="P754" s="115"/>
    </row>
    <row r="755" spans="10:16" ht="12.5" x14ac:dyDescent="0.25">
      <c r="J755" s="115"/>
      <c r="K755" s="115"/>
      <c r="L755" s="115"/>
      <c r="M755" s="115"/>
      <c r="N755" s="115"/>
      <c r="O755" s="115"/>
      <c r="P755" s="115"/>
    </row>
    <row r="756" spans="10:16" ht="12.5" x14ac:dyDescent="0.25">
      <c r="J756" s="115"/>
      <c r="K756" s="115"/>
      <c r="L756" s="115"/>
      <c r="M756" s="115"/>
      <c r="N756" s="115"/>
      <c r="O756" s="115"/>
      <c r="P756" s="115"/>
    </row>
    <row r="757" spans="10:16" ht="12.5" x14ac:dyDescent="0.25">
      <c r="J757" s="115"/>
      <c r="K757" s="115"/>
      <c r="L757" s="115"/>
      <c r="M757" s="115"/>
      <c r="N757" s="115"/>
      <c r="O757" s="115"/>
      <c r="P757" s="115"/>
    </row>
    <row r="758" spans="10:16" ht="12.5" x14ac:dyDescent="0.25">
      <c r="J758" s="115"/>
      <c r="K758" s="115"/>
      <c r="L758" s="115"/>
      <c r="M758" s="115"/>
      <c r="N758" s="115"/>
      <c r="O758" s="115"/>
      <c r="P758" s="115"/>
    </row>
    <row r="759" spans="10:16" ht="12.5" x14ac:dyDescent="0.25">
      <c r="J759" s="115"/>
      <c r="K759" s="115"/>
      <c r="L759" s="115"/>
      <c r="M759" s="115"/>
      <c r="N759" s="115"/>
      <c r="O759" s="115"/>
      <c r="P759" s="115"/>
    </row>
    <row r="760" spans="10:16" ht="12.5" x14ac:dyDescent="0.25">
      <c r="J760" s="115"/>
      <c r="K760" s="115"/>
      <c r="L760" s="115"/>
      <c r="M760" s="115"/>
      <c r="N760" s="115"/>
      <c r="O760" s="115"/>
      <c r="P760" s="115"/>
    </row>
    <row r="761" spans="10:16" ht="12.5" x14ac:dyDescent="0.25">
      <c r="J761" s="115"/>
      <c r="K761" s="115"/>
      <c r="L761" s="115"/>
      <c r="M761" s="115"/>
      <c r="N761" s="115"/>
      <c r="O761" s="115"/>
      <c r="P761" s="115"/>
    </row>
    <row r="762" spans="10:16" ht="12.5" x14ac:dyDescent="0.25">
      <c r="J762" s="115"/>
      <c r="K762" s="115"/>
      <c r="L762" s="115"/>
      <c r="M762" s="115"/>
      <c r="N762" s="115"/>
      <c r="O762" s="115"/>
      <c r="P762" s="115"/>
    </row>
    <row r="763" spans="10:16" ht="12.5" x14ac:dyDescent="0.25">
      <c r="J763" s="115"/>
      <c r="K763" s="115"/>
      <c r="L763" s="115"/>
      <c r="M763" s="115"/>
      <c r="N763" s="115"/>
      <c r="O763" s="115"/>
      <c r="P763" s="115"/>
    </row>
    <row r="764" spans="10:16" ht="12.5" x14ac:dyDescent="0.25">
      <c r="J764" s="115"/>
      <c r="K764" s="115"/>
      <c r="L764" s="115"/>
      <c r="M764" s="115"/>
      <c r="N764" s="115"/>
      <c r="O764" s="115"/>
      <c r="P764" s="115"/>
    </row>
    <row r="765" spans="10:16" ht="12.5" x14ac:dyDescent="0.25">
      <c r="J765" s="115"/>
      <c r="K765" s="115"/>
      <c r="L765" s="115"/>
      <c r="M765" s="115"/>
      <c r="N765" s="115"/>
      <c r="O765" s="115"/>
      <c r="P765" s="115"/>
    </row>
    <row r="766" spans="10:16" ht="12.5" x14ac:dyDescent="0.25">
      <c r="J766" s="115"/>
      <c r="K766" s="115"/>
      <c r="L766" s="115"/>
      <c r="M766" s="115"/>
      <c r="N766" s="115"/>
      <c r="O766" s="115"/>
      <c r="P766" s="115"/>
    </row>
    <row r="767" spans="10:16" ht="12.5" x14ac:dyDescent="0.25">
      <c r="J767" s="115"/>
      <c r="K767" s="115"/>
      <c r="L767" s="115"/>
      <c r="M767" s="115"/>
      <c r="N767" s="115"/>
      <c r="O767" s="115"/>
      <c r="P767" s="115"/>
    </row>
    <row r="768" spans="10:16" ht="12.5" x14ac:dyDescent="0.25">
      <c r="J768" s="115"/>
      <c r="K768" s="115"/>
      <c r="L768" s="115"/>
      <c r="M768" s="115"/>
      <c r="N768" s="115"/>
      <c r="O768" s="115"/>
      <c r="P768" s="115"/>
    </row>
    <row r="769" spans="10:16" ht="12.5" x14ac:dyDescent="0.25">
      <c r="J769" s="115"/>
      <c r="K769" s="115"/>
      <c r="L769" s="115"/>
      <c r="M769" s="115"/>
      <c r="N769" s="115"/>
      <c r="O769" s="115"/>
      <c r="P769" s="115"/>
    </row>
    <row r="770" spans="10:16" ht="12.5" x14ac:dyDescent="0.25">
      <c r="J770" s="115"/>
      <c r="K770" s="115"/>
      <c r="L770" s="115"/>
      <c r="M770" s="115"/>
      <c r="N770" s="115"/>
      <c r="O770" s="115"/>
      <c r="P770" s="115"/>
    </row>
    <row r="771" spans="10:16" ht="12.5" x14ac:dyDescent="0.25">
      <c r="J771" s="115"/>
      <c r="K771" s="115"/>
      <c r="L771" s="115"/>
      <c r="M771" s="115"/>
      <c r="N771" s="115"/>
      <c r="O771" s="115"/>
      <c r="P771" s="115"/>
    </row>
    <row r="772" spans="10:16" ht="12.5" x14ac:dyDescent="0.25">
      <c r="J772" s="115"/>
      <c r="K772" s="115"/>
      <c r="L772" s="115"/>
      <c r="M772" s="115"/>
      <c r="N772" s="115"/>
      <c r="O772" s="115"/>
      <c r="P772" s="115"/>
    </row>
    <row r="773" spans="10:16" ht="12.5" x14ac:dyDescent="0.25">
      <c r="J773" s="115"/>
      <c r="K773" s="115"/>
      <c r="L773" s="115"/>
      <c r="M773" s="115"/>
      <c r="N773" s="115"/>
      <c r="O773" s="115"/>
      <c r="P773" s="115"/>
    </row>
    <row r="774" spans="10:16" ht="12.5" x14ac:dyDescent="0.25">
      <c r="J774" s="115"/>
      <c r="K774" s="115"/>
      <c r="L774" s="115"/>
      <c r="M774" s="115"/>
      <c r="N774" s="115"/>
      <c r="O774" s="115"/>
      <c r="P774" s="115"/>
    </row>
    <row r="775" spans="10:16" ht="12.5" x14ac:dyDescent="0.25">
      <c r="J775" s="115"/>
      <c r="K775" s="115"/>
      <c r="L775" s="115"/>
      <c r="M775" s="115"/>
      <c r="N775" s="115"/>
      <c r="O775" s="115"/>
      <c r="P775" s="115"/>
    </row>
    <row r="776" spans="10:16" ht="12.5" x14ac:dyDescent="0.25">
      <c r="J776" s="115"/>
      <c r="K776" s="115"/>
      <c r="L776" s="115"/>
      <c r="M776" s="115"/>
      <c r="N776" s="115"/>
      <c r="O776" s="115"/>
      <c r="P776" s="115"/>
    </row>
    <row r="777" spans="10:16" ht="12.5" x14ac:dyDescent="0.25">
      <c r="J777" s="115"/>
      <c r="K777" s="115"/>
      <c r="L777" s="115"/>
      <c r="M777" s="115"/>
      <c r="N777" s="115"/>
      <c r="O777" s="115"/>
      <c r="P777" s="115"/>
    </row>
    <row r="778" spans="10:16" ht="12.5" x14ac:dyDescent="0.25">
      <c r="J778" s="115"/>
      <c r="K778" s="115"/>
      <c r="L778" s="115"/>
      <c r="M778" s="115"/>
      <c r="N778" s="115"/>
      <c r="O778" s="115"/>
      <c r="P778" s="115"/>
    </row>
    <row r="779" spans="10:16" ht="12.5" x14ac:dyDescent="0.25">
      <c r="J779" s="115"/>
      <c r="K779" s="115"/>
      <c r="L779" s="115"/>
      <c r="M779" s="115"/>
      <c r="N779" s="115"/>
      <c r="O779" s="115"/>
      <c r="P779" s="115"/>
    </row>
    <row r="780" spans="10:16" ht="12.5" x14ac:dyDescent="0.25">
      <c r="J780" s="115"/>
      <c r="K780" s="115"/>
      <c r="L780" s="115"/>
      <c r="M780" s="115"/>
      <c r="N780" s="115"/>
      <c r="O780" s="115"/>
      <c r="P780" s="115"/>
    </row>
    <row r="781" spans="10:16" ht="12.5" x14ac:dyDescent="0.25">
      <c r="J781" s="115"/>
      <c r="K781" s="115"/>
      <c r="L781" s="115"/>
      <c r="M781" s="115"/>
      <c r="N781" s="115"/>
      <c r="O781" s="115"/>
      <c r="P781" s="115"/>
    </row>
    <row r="782" spans="10:16" ht="12.5" x14ac:dyDescent="0.25">
      <c r="J782" s="115"/>
      <c r="K782" s="115"/>
      <c r="L782" s="115"/>
      <c r="M782" s="115"/>
      <c r="N782" s="115"/>
      <c r="O782" s="115"/>
      <c r="P782" s="115"/>
    </row>
    <row r="783" spans="10:16" ht="12.5" x14ac:dyDescent="0.25">
      <c r="J783" s="115"/>
      <c r="K783" s="115"/>
      <c r="L783" s="115"/>
      <c r="M783" s="115"/>
      <c r="N783" s="115"/>
      <c r="O783" s="115"/>
      <c r="P783" s="115"/>
    </row>
    <row r="784" spans="10:16" ht="12.5" x14ac:dyDescent="0.25">
      <c r="J784" s="115"/>
      <c r="K784" s="115"/>
      <c r="L784" s="115"/>
      <c r="M784" s="115"/>
      <c r="N784" s="115"/>
      <c r="O784" s="115"/>
      <c r="P784" s="115"/>
    </row>
    <row r="785" spans="10:16" ht="12.5" x14ac:dyDescent="0.25">
      <c r="J785" s="115"/>
      <c r="K785" s="115"/>
      <c r="L785" s="115"/>
      <c r="M785" s="115"/>
      <c r="N785" s="115"/>
      <c r="O785" s="115"/>
      <c r="P785" s="115"/>
    </row>
    <row r="786" spans="10:16" ht="12.5" x14ac:dyDescent="0.25">
      <c r="J786" s="115"/>
      <c r="K786" s="115"/>
      <c r="L786" s="115"/>
      <c r="M786" s="115"/>
      <c r="N786" s="115"/>
      <c r="O786" s="115"/>
      <c r="P786" s="115"/>
    </row>
    <row r="787" spans="10:16" ht="12.5" x14ac:dyDescent="0.25">
      <c r="J787" s="115"/>
      <c r="K787" s="115"/>
      <c r="L787" s="115"/>
      <c r="M787" s="115"/>
      <c r="N787" s="115"/>
      <c r="O787" s="115"/>
      <c r="P787" s="115"/>
    </row>
    <row r="788" spans="10:16" ht="12.5" x14ac:dyDescent="0.25">
      <c r="J788" s="115"/>
      <c r="K788" s="115"/>
      <c r="L788" s="115"/>
      <c r="M788" s="115"/>
      <c r="N788" s="115"/>
      <c r="O788" s="115"/>
      <c r="P788" s="115"/>
    </row>
    <row r="789" spans="10:16" ht="12.5" x14ac:dyDescent="0.25">
      <c r="J789" s="115"/>
      <c r="K789" s="115"/>
      <c r="L789" s="115"/>
      <c r="M789" s="115"/>
      <c r="N789" s="115"/>
      <c r="O789" s="115"/>
      <c r="P789" s="115"/>
    </row>
    <row r="790" spans="10:16" ht="12.5" x14ac:dyDescent="0.25">
      <c r="J790" s="115"/>
      <c r="K790" s="115"/>
      <c r="L790" s="115"/>
      <c r="M790" s="115"/>
      <c r="N790" s="115"/>
      <c r="O790" s="115"/>
      <c r="P790" s="115"/>
    </row>
    <row r="791" spans="10:16" ht="12.5" x14ac:dyDescent="0.25">
      <c r="J791" s="115"/>
      <c r="K791" s="115"/>
      <c r="L791" s="115"/>
      <c r="M791" s="115"/>
      <c r="N791" s="115"/>
      <c r="O791" s="115"/>
      <c r="P791" s="115"/>
    </row>
    <row r="792" spans="10:16" ht="12.5" x14ac:dyDescent="0.25">
      <c r="J792" s="115"/>
      <c r="K792" s="115"/>
      <c r="L792" s="115"/>
      <c r="M792" s="115"/>
      <c r="N792" s="115"/>
      <c r="O792" s="115"/>
      <c r="P792" s="115"/>
    </row>
    <row r="793" spans="10:16" ht="12.5" x14ac:dyDescent="0.25">
      <c r="J793" s="115"/>
      <c r="K793" s="115"/>
      <c r="L793" s="115"/>
      <c r="M793" s="115"/>
      <c r="N793" s="115"/>
      <c r="O793" s="115"/>
      <c r="P793" s="115"/>
    </row>
    <row r="794" spans="10:16" ht="12.5" x14ac:dyDescent="0.25">
      <c r="J794" s="115"/>
      <c r="K794" s="115"/>
      <c r="L794" s="115"/>
      <c r="M794" s="115"/>
      <c r="N794" s="115"/>
      <c r="O794" s="115"/>
      <c r="P794" s="115"/>
    </row>
    <row r="795" spans="10:16" ht="12.5" x14ac:dyDescent="0.25">
      <c r="J795" s="115"/>
      <c r="K795" s="115"/>
      <c r="L795" s="115"/>
      <c r="M795" s="115"/>
      <c r="N795" s="115"/>
      <c r="O795" s="115"/>
      <c r="P795" s="115"/>
    </row>
    <row r="796" spans="10:16" ht="12.5" x14ac:dyDescent="0.25">
      <c r="J796" s="115"/>
      <c r="K796" s="115"/>
      <c r="L796" s="115"/>
      <c r="M796" s="115"/>
      <c r="N796" s="115"/>
      <c r="O796" s="115"/>
      <c r="P796" s="115"/>
    </row>
    <row r="797" spans="10:16" ht="12.5" x14ac:dyDescent="0.25">
      <c r="J797" s="115"/>
      <c r="K797" s="115"/>
      <c r="L797" s="115"/>
      <c r="M797" s="115"/>
      <c r="N797" s="115"/>
      <c r="O797" s="115"/>
      <c r="P797" s="115"/>
    </row>
    <row r="798" spans="10:16" ht="12.5" x14ac:dyDescent="0.25">
      <c r="J798" s="115"/>
      <c r="K798" s="115"/>
      <c r="L798" s="115"/>
      <c r="M798" s="115"/>
      <c r="N798" s="115"/>
      <c r="O798" s="115"/>
      <c r="P798" s="115"/>
    </row>
    <row r="799" spans="10:16" ht="12.5" x14ac:dyDescent="0.25">
      <c r="J799" s="115"/>
      <c r="K799" s="115"/>
      <c r="L799" s="115"/>
      <c r="M799" s="115"/>
      <c r="N799" s="115"/>
      <c r="O799" s="115"/>
      <c r="P799" s="115"/>
    </row>
    <row r="800" spans="10:16" ht="12.5" x14ac:dyDescent="0.25">
      <c r="J800" s="115"/>
      <c r="K800" s="115"/>
      <c r="L800" s="115"/>
      <c r="M800" s="115"/>
      <c r="N800" s="115"/>
      <c r="O800" s="115"/>
      <c r="P800" s="115"/>
    </row>
    <row r="801" spans="10:16" ht="12.5" x14ac:dyDescent="0.25">
      <c r="J801" s="115"/>
      <c r="K801" s="115"/>
      <c r="L801" s="115"/>
      <c r="M801" s="115"/>
      <c r="N801" s="115"/>
      <c r="O801" s="115"/>
      <c r="P801" s="115"/>
    </row>
    <row r="802" spans="10:16" ht="12.5" x14ac:dyDescent="0.25">
      <c r="J802" s="115"/>
      <c r="K802" s="115"/>
      <c r="L802" s="115"/>
      <c r="M802" s="115"/>
      <c r="N802" s="115"/>
      <c r="O802" s="115"/>
      <c r="P802" s="115"/>
    </row>
    <row r="803" spans="10:16" ht="12.5" x14ac:dyDescent="0.25">
      <c r="J803" s="115"/>
      <c r="K803" s="115"/>
      <c r="L803" s="115"/>
      <c r="M803" s="115"/>
      <c r="N803" s="115"/>
      <c r="O803" s="115"/>
      <c r="P803" s="115"/>
    </row>
    <row r="804" spans="10:16" ht="12.5" x14ac:dyDescent="0.25">
      <c r="J804" s="115"/>
      <c r="K804" s="115"/>
      <c r="L804" s="115"/>
      <c r="M804" s="115"/>
      <c r="N804" s="115"/>
      <c r="O804" s="115"/>
      <c r="P804" s="115"/>
    </row>
    <row r="805" spans="10:16" ht="12.5" x14ac:dyDescent="0.25">
      <c r="J805" s="115"/>
      <c r="K805" s="115"/>
      <c r="L805" s="115"/>
      <c r="M805" s="115"/>
      <c r="N805" s="115"/>
      <c r="O805" s="115"/>
      <c r="P805" s="115"/>
    </row>
    <row r="806" spans="10:16" ht="12.5" x14ac:dyDescent="0.25">
      <c r="J806" s="115"/>
      <c r="K806" s="115"/>
      <c r="L806" s="115"/>
      <c r="M806" s="115"/>
      <c r="N806" s="115"/>
      <c r="O806" s="115"/>
      <c r="P806" s="115"/>
    </row>
    <row r="807" spans="10:16" ht="12.5" x14ac:dyDescent="0.25">
      <c r="J807" s="115"/>
      <c r="K807" s="115"/>
      <c r="L807" s="115"/>
      <c r="M807" s="115"/>
      <c r="N807" s="115"/>
      <c r="O807" s="115"/>
      <c r="P807" s="115"/>
    </row>
    <row r="808" spans="10:16" ht="12.5" x14ac:dyDescent="0.25">
      <c r="J808" s="115"/>
      <c r="K808" s="115"/>
      <c r="L808" s="115"/>
      <c r="M808" s="115"/>
      <c r="N808" s="115"/>
      <c r="O808" s="115"/>
      <c r="P808" s="115"/>
    </row>
    <row r="809" spans="10:16" ht="12.5" x14ac:dyDescent="0.25">
      <c r="J809" s="115"/>
      <c r="K809" s="115"/>
      <c r="L809" s="115"/>
      <c r="M809" s="115"/>
      <c r="N809" s="115"/>
      <c r="O809" s="115"/>
      <c r="P809" s="115"/>
    </row>
    <row r="810" spans="10:16" ht="12.5" x14ac:dyDescent="0.25">
      <c r="J810" s="115"/>
      <c r="K810" s="115"/>
      <c r="L810" s="115"/>
      <c r="M810" s="115"/>
      <c r="N810" s="115"/>
      <c r="O810" s="115"/>
      <c r="P810" s="115"/>
    </row>
    <row r="811" spans="10:16" ht="12.5" x14ac:dyDescent="0.25">
      <c r="J811" s="115"/>
      <c r="K811" s="115"/>
      <c r="L811" s="115"/>
      <c r="M811" s="115"/>
      <c r="N811" s="115"/>
      <c r="O811" s="115"/>
      <c r="P811" s="115"/>
    </row>
    <row r="812" spans="10:16" ht="12.5" x14ac:dyDescent="0.25">
      <c r="J812" s="115"/>
      <c r="K812" s="115"/>
      <c r="L812" s="115"/>
      <c r="M812" s="115"/>
      <c r="N812" s="115"/>
      <c r="O812" s="115"/>
      <c r="P812" s="115"/>
    </row>
    <row r="813" spans="10:16" ht="12.5" x14ac:dyDescent="0.25">
      <c r="J813" s="115"/>
      <c r="K813" s="115"/>
      <c r="L813" s="115"/>
      <c r="M813" s="115"/>
      <c r="N813" s="115"/>
      <c r="O813" s="115"/>
      <c r="P813" s="115"/>
    </row>
    <row r="814" spans="10:16" ht="12.5" x14ac:dyDescent="0.25">
      <c r="J814" s="115"/>
      <c r="K814" s="115"/>
      <c r="L814" s="115"/>
      <c r="M814" s="115"/>
      <c r="N814" s="115"/>
      <c r="O814" s="115"/>
      <c r="P814" s="115"/>
    </row>
    <row r="815" spans="10:16" ht="12.5" x14ac:dyDescent="0.25">
      <c r="J815" s="115"/>
      <c r="K815" s="115"/>
      <c r="L815" s="115"/>
      <c r="M815" s="115"/>
      <c r="N815" s="115"/>
      <c r="O815" s="115"/>
      <c r="P815" s="115"/>
    </row>
    <row r="816" spans="10:16" ht="12.5" x14ac:dyDescent="0.25">
      <c r="J816" s="115"/>
      <c r="K816" s="115"/>
      <c r="L816" s="115"/>
      <c r="M816" s="115"/>
      <c r="N816" s="115"/>
      <c r="O816" s="115"/>
      <c r="P816" s="115"/>
    </row>
    <row r="817" spans="10:16" ht="12.5" x14ac:dyDescent="0.25">
      <c r="J817" s="115"/>
      <c r="K817" s="115"/>
      <c r="L817" s="115"/>
      <c r="M817" s="115"/>
      <c r="N817" s="115"/>
      <c r="O817" s="115"/>
      <c r="P817" s="115"/>
    </row>
    <row r="818" spans="10:16" ht="12.5" x14ac:dyDescent="0.25">
      <c r="J818" s="115"/>
      <c r="K818" s="115"/>
      <c r="L818" s="115"/>
      <c r="M818" s="115"/>
      <c r="N818" s="115"/>
      <c r="O818" s="115"/>
      <c r="P818" s="115"/>
    </row>
    <row r="819" spans="10:16" ht="12.5" x14ac:dyDescent="0.25">
      <c r="J819" s="115"/>
      <c r="K819" s="115"/>
      <c r="L819" s="115"/>
      <c r="M819" s="115"/>
      <c r="N819" s="115"/>
      <c r="O819" s="115"/>
      <c r="P819" s="115"/>
    </row>
    <row r="820" spans="10:16" ht="12.5" x14ac:dyDescent="0.25">
      <c r="J820" s="115"/>
      <c r="K820" s="115"/>
      <c r="L820" s="115"/>
      <c r="M820" s="115"/>
      <c r="N820" s="115"/>
      <c r="O820" s="115"/>
      <c r="P820" s="115"/>
    </row>
    <row r="821" spans="10:16" ht="12.5" x14ac:dyDescent="0.25">
      <c r="J821" s="115"/>
      <c r="K821" s="115"/>
      <c r="L821" s="115"/>
      <c r="M821" s="115"/>
      <c r="N821" s="115"/>
      <c r="O821" s="115"/>
      <c r="P821" s="115"/>
    </row>
    <row r="822" spans="10:16" ht="12.5" x14ac:dyDescent="0.25">
      <c r="J822" s="115"/>
      <c r="K822" s="115"/>
      <c r="L822" s="115"/>
      <c r="M822" s="115"/>
      <c r="N822" s="115"/>
      <c r="O822" s="115"/>
      <c r="P822" s="115"/>
    </row>
    <row r="823" spans="10:16" ht="12.5" x14ac:dyDescent="0.25">
      <c r="J823" s="115"/>
      <c r="K823" s="115"/>
      <c r="L823" s="115"/>
      <c r="M823" s="115"/>
      <c r="N823" s="115"/>
      <c r="O823" s="115"/>
      <c r="P823" s="115"/>
    </row>
    <row r="824" spans="10:16" ht="12.5" x14ac:dyDescent="0.25">
      <c r="J824" s="115"/>
      <c r="K824" s="115"/>
      <c r="L824" s="115"/>
      <c r="M824" s="115"/>
      <c r="N824" s="115"/>
      <c r="O824" s="115"/>
      <c r="P824" s="115"/>
    </row>
    <row r="825" spans="10:16" ht="12.5" x14ac:dyDescent="0.25">
      <c r="J825" s="115"/>
      <c r="K825" s="115"/>
      <c r="L825" s="115"/>
      <c r="M825" s="115"/>
      <c r="N825" s="115"/>
      <c r="O825" s="115"/>
      <c r="P825" s="115"/>
    </row>
    <row r="826" spans="10:16" ht="12.5" x14ac:dyDescent="0.25">
      <c r="J826" s="115"/>
      <c r="K826" s="115"/>
      <c r="L826" s="115"/>
      <c r="M826" s="115"/>
      <c r="N826" s="115"/>
      <c r="O826" s="115"/>
      <c r="P826" s="115"/>
    </row>
    <row r="827" spans="10:16" ht="12.5" x14ac:dyDescent="0.25">
      <c r="J827" s="115"/>
      <c r="K827" s="115"/>
      <c r="L827" s="115"/>
      <c r="M827" s="115"/>
      <c r="N827" s="115"/>
      <c r="O827" s="115"/>
      <c r="P827" s="115"/>
    </row>
    <row r="828" spans="10:16" ht="12.5" x14ac:dyDescent="0.25">
      <c r="J828" s="115"/>
      <c r="K828" s="115"/>
      <c r="L828" s="115"/>
      <c r="M828" s="115"/>
      <c r="N828" s="115"/>
      <c r="O828" s="115"/>
      <c r="P828" s="115"/>
    </row>
    <row r="829" spans="10:16" ht="12.5" x14ac:dyDescent="0.25">
      <c r="J829" s="115"/>
      <c r="K829" s="115"/>
      <c r="L829" s="115"/>
      <c r="M829" s="115"/>
      <c r="N829" s="115"/>
      <c r="O829" s="115"/>
      <c r="P829" s="115"/>
    </row>
    <row r="830" spans="10:16" ht="12.5" x14ac:dyDescent="0.25">
      <c r="J830" s="115"/>
      <c r="K830" s="115"/>
      <c r="L830" s="115"/>
      <c r="M830" s="115"/>
      <c r="N830" s="115"/>
      <c r="O830" s="115"/>
      <c r="P830" s="115"/>
    </row>
    <row r="831" spans="10:16" ht="12.5" x14ac:dyDescent="0.25">
      <c r="J831" s="115"/>
      <c r="K831" s="115"/>
      <c r="L831" s="115"/>
      <c r="M831" s="115"/>
      <c r="N831" s="115"/>
      <c r="O831" s="115"/>
      <c r="P831" s="115"/>
    </row>
    <row r="832" spans="10:16" ht="12.5" x14ac:dyDescent="0.25">
      <c r="J832" s="115"/>
      <c r="K832" s="115"/>
      <c r="L832" s="115"/>
      <c r="M832" s="115"/>
      <c r="N832" s="115"/>
      <c r="O832" s="115"/>
      <c r="P832" s="115"/>
    </row>
    <row r="833" spans="10:16" ht="12.5" x14ac:dyDescent="0.25">
      <c r="J833" s="115"/>
      <c r="K833" s="115"/>
      <c r="L833" s="115"/>
      <c r="M833" s="115"/>
      <c r="N833" s="115"/>
      <c r="O833" s="115"/>
      <c r="P833" s="115"/>
    </row>
    <row r="834" spans="10:16" ht="12.5" x14ac:dyDescent="0.25">
      <c r="J834" s="115"/>
      <c r="K834" s="115"/>
      <c r="L834" s="115"/>
      <c r="M834" s="115"/>
      <c r="N834" s="115"/>
      <c r="O834" s="115"/>
      <c r="P834" s="115"/>
    </row>
    <row r="835" spans="10:16" ht="12.5" x14ac:dyDescent="0.25">
      <c r="J835" s="115"/>
      <c r="K835" s="115"/>
      <c r="L835" s="115"/>
      <c r="M835" s="115"/>
      <c r="N835" s="115"/>
      <c r="O835" s="115"/>
      <c r="P835" s="115"/>
    </row>
    <row r="836" spans="10:16" ht="12.5" x14ac:dyDescent="0.25">
      <c r="J836" s="115"/>
      <c r="K836" s="115"/>
      <c r="L836" s="115"/>
      <c r="M836" s="115"/>
      <c r="N836" s="115"/>
      <c r="O836" s="115"/>
      <c r="P836" s="115"/>
    </row>
    <row r="837" spans="10:16" ht="12.5" x14ac:dyDescent="0.25">
      <c r="J837" s="115"/>
      <c r="K837" s="115"/>
      <c r="L837" s="115"/>
      <c r="M837" s="115"/>
      <c r="N837" s="115"/>
      <c r="O837" s="115"/>
      <c r="P837" s="115"/>
    </row>
    <row r="838" spans="10:16" ht="12.5" x14ac:dyDescent="0.25">
      <c r="J838" s="115"/>
      <c r="K838" s="115"/>
      <c r="L838" s="115"/>
      <c r="M838" s="115"/>
      <c r="N838" s="115"/>
      <c r="O838" s="115"/>
      <c r="P838" s="115"/>
    </row>
    <row r="839" spans="10:16" ht="12.5" x14ac:dyDescent="0.25">
      <c r="J839" s="115"/>
      <c r="K839" s="115"/>
      <c r="L839" s="115"/>
      <c r="M839" s="115"/>
      <c r="N839" s="115"/>
      <c r="O839" s="115"/>
      <c r="P839" s="115"/>
    </row>
    <row r="840" spans="10:16" ht="12.5" x14ac:dyDescent="0.25">
      <c r="J840" s="115"/>
      <c r="K840" s="115"/>
      <c r="L840" s="115"/>
      <c r="M840" s="115"/>
      <c r="N840" s="115"/>
      <c r="O840" s="115"/>
      <c r="P840" s="115"/>
    </row>
    <row r="841" spans="10:16" ht="12.5" x14ac:dyDescent="0.25">
      <c r="J841" s="115"/>
      <c r="K841" s="115"/>
      <c r="L841" s="115"/>
      <c r="M841" s="115"/>
      <c r="N841" s="115"/>
      <c r="O841" s="115"/>
      <c r="P841" s="115"/>
    </row>
    <row r="842" spans="10:16" ht="12.5" x14ac:dyDescent="0.25">
      <c r="J842" s="115"/>
      <c r="K842" s="115"/>
      <c r="L842" s="115"/>
      <c r="M842" s="115"/>
      <c r="N842" s="115"/>
      <c r="O842" s="115"/>
      <c r="P842" s="115"/>
    </row>
    <row r="843" spans="10:16" ht="12.5" x14ac:dyDescent="0.25">
      <c r="J843" s="115"/>
      <c r="K843" s="115"/>
      <c r="L843" s="115"/>
      <c r="M843" s="115"/>
      <c r="N843" s="115"/>
      <c r="O843" s="115"/>
      <c r="P843" s="115"/>
    </row>
    <row r="844" spans="10:16" ht="12.5" x14ac:dyDescent="0.25">
      <c r="J844" s="115"/>
      <c r="K844" s="115"/>
      <c r="L844" s="115"/>
      <c r="M844" s="115"/>
      <c r="N844" s="115"/>
      <c r="O844" s="115"/>
      <c r="P844" s="115"/>
    </row>
    <row r="845" spans="10:16" ht="12.5" x14ac:dyDescent="0.25">
      <c r="J845" s="115"/>
      <c r="K845" s="115"/>
      <c r="L845" s="115"/>
      <c r="M845" s="115"/>
      <c r="N845" s="115"/>
      <c r="O845" s="115"/>
      <c r="P845" s="115"/>
    </row>
    <row r="846" spans="10:16" ht="12.5" x14ac:dyDescent="0.25">
      <c r="J846" s="115"/>
      <c r="K846" s="115"/>
      <c r="L846" s="115"/>
      <c r="M846" s="115"/>
      <c r="N846" s="115"/>
      <c r="O846" s="115"/>
      <c r="P846" s="115"/>
    </row>
    <row r="847" spans="10:16" ht="12.5" x14ac:dyDescent="0.25">
      <c r="J847" s="115"/>
      <c r="K847" s="115"/>
      <c r="L847" s="115"/>
      <c r="M847" s="115"/>
      <c r="N847" s="115"/>
      <c r="O847" s="115"/>
      <c r="P847" s="115"/>
    </row>
    <row r="848" spans="10:16" ht="12.5" x14ac:dyDescent="0.25">
      <c r="J848" s="115"/>
      <c r="K848" s="115"/>
      <c r="L848" s="115"/>
      <c r="M848" s="115"/>
      <c r="N848" s="115"/>
      <c r="O848" s="115"/>
      <c r="P848" s="115"/>
    </row>
    <row r="849" spans="10:16" ht="12.5" x14ac:dyDescent="0.25">
      <c r="J849" s="115"/>
      <c r="K849" s="115"/>
      <c r="L849" s="115"/>
      <c r="M849" s="115"/>
      <c r="N849" s="115"/>
      <c r="O849" s="115"/>
      <c r="P849" s="115"/>
    </row>
    <row r="850" spans="10:16" ht="12.5" x14ac:dyDescent="0.25">
      <c r="J850" s="115"/>
      <c r="K850" s="115"/>
      <c r="L850" s="115"/>
      <c r="M850" s="115"/>
      <c r="N850" s="115"/>
      <c r="O850" s="115"/>
      <c r="P850" s="115"/>
    </row>
    <row r="851" spans="10:16" ht="12.5" x14ac:dyDescent="0.25">
      <c r="J851" s="115"/>
      <c r="K851" s="115"/>
      <c r="L851" s="115"/>
      <c r="M851" s="115"/>
      <c r="N851" s="115"/>
      <c r="O851" s="115"/>
      <c r="P851" s="115"/>
    </row>
    <row r="852" spans="10:16" ht="12.5" x14ac:dyDescent="0.25">
      <c r="J852" s="115"/>
      <c r="K852" s="115"/>
      <c r="L852" s="115"/>
      <c r="M852" s="115"/>
      <c r="N852" s="115"/>
      <c r="O852" s="115"/>
      <c r="P852" s="115"/>
    </row>
    <row r="853" spans="10:16" ht="12.5" x14ac:dyDescent="0.25">
      <c r="J853" s="115"/>
      <c r="K853" s="115"/>
      <c r="L853" s="115"/>
      <c r="M853" s="115"/>
      <c r="N853" s="115"/>
      <c r="O853" s="115"/>
      <c r="P853" s="115"/>
    </row>
    <row r="854" spans="10:16" ht="12.5" x14ac:dyDescent="0.25">
      <c r="J854" s="115"/>
      <c r="K854" s="115"/>
      <c r="L854" s="115"/>
      <c r="M854" s="115"/>
      <c r="N854" s="115"/>
      <c r="O854" s="115"/>
      <c r="P854" s="115"/>
    </row>
    <row r="855" spans="10:16" ht="12.5" x14ac:dyDescent="0.25">
      <c r="J855" s="115"/>
      <c r="K855" s="115"/>
      <c r="L855" s="115"/>
      <c r="M855" s="115"/>
      <c r="N855" s="115"/>
      <c r="O855" s="115"/>
      <c r="P855" s="115"/>
    </row>
    <row r="856" spans="10:16" ht="12.5" x14ac:dyDescent="0.25">
      <c r="J856" s="115"/>
      <c r="K856" s="115"/>
      <c r="L856" s="115"/>
      <c r="M856" s="115"/>
      <c r="N856" s="115"/>
      <c r="O856" s="115"/>
      <c r="P856" s="115"/>
    </row>
    <row r="857" spans="10:16" ht="12.5" x14ac:dyDescent="0.25">
      <c r="J857" s="115"/>
      <c r="K857" s="115"/>
      <c r="L857" s="115"/>
      <c r="M857" s="115"/>
      <c r="N857" s="115"/>
      <c r="O857" s="115"/>
      <c r="P857" s="115"/>
    </row>
    <row r="858" spans="10:16" ht="12.5" x14ac:dyDescent="0.25">
      <c r="J858" s="115"/>
      <c r="K858" s="115"/>
      <c r="L858" s="115"/>
      <c r="M858" s="115"/>
      <c r="N858" s="115"/>
      <c r="O858" s="115"/>
      <c r="P858" s="115"/>
    </row>
    <row r="859" spans="10:16" ht="12.5" x14ac:dyDescent="0.25">
      <c r="J859" s="115"/>
      <c r="K859" s="115"/>
      <c r="L859" s="115"/>
      <c r="M859" s="115"/>
      <c r="N859" s="115"/>
      <c r="O859" s="115"/>
      <c r="P859" s="115"/>
    </row>
    <row r="860" spans="10:16" ht="12.5" x14ac:dyDescent="0.25">
      <c r="J860" s="115"/>
      <c r="K860" s="115"/>
      <c r="L860" s="115"/>
      <c r="M860" s="115"/>
      <c r="N860" s="115"/>
      <c r="O860" s="115"/>
      <c r="P860" s="115"/>
    </row>
    <row r="861" spans="10:16" ht="12.5" x14ac:dyDescent="0.25">
      <c r="J861" s="115"/>
      <c r="K861" s="115"/>
      <c r="L861" s="115"/>
      <c r="M861" s="115"/>
      <c r="N861" s="115"/>
      <c r="O861" s="115"/>
      <c r="P861" s="115"/>
    </row>
    <row r="862" spans="10:16" ht="12.5" x14ac:dyDescent="0.25">
      <c r="J862" s="115"/>
      <c r="K862" s="115"/>
      <c r="L862" s="115"/>
      <c r="M862" s="115"/>
      <c r="N862" s="115"/>
      <c r="O862" s="115"/>
      <c r="P862" s="115"/>
    </row>
    <row r="863" spans="10:16" ht="12.5" x14ac:dyDescent="0.25">
      <c r="J863" s="115"/>
      <c r="K863" s="115"/>
      <c r="L863" s="115"/>
      <c r="M863" s="115"/>
      <c r="N863" s="115"/>
      <c r="O863" s="115"/>
      <c r="P863" s="115"/>
    </row>
    <row r="864" spans="10:16" ht="12.5" x14ac:dyDescent="0.25">
      <c r="J864" s="115"/>
      <c r="K864" s="115"/>
      <c r="L864" s="115"/>
      <c r="M864" s="115"/>
      <c r="N864" s="115"/>
      <c r="O864" s="115"/>
      <c r="P864" s="115"/>
    </row>
    <row r="865" spans="10:16" ht="12.5" x14ac:dyDescent="0.25">
      <c r="J865" s="115"/>
      <c r="K865" s="115"/>
      <c r="L865" s="115"/>
      <c r="M865" s="115"/>
      <c r="N865" s="115"/>
      <c r="O865" s="115"/>
      <c r="P865" s="115"/>
    </row>
    <row r="866" spans="10:16" ht="12.5" x14ac:dyDescent="0.25">
      <c r="J866" s="115"/>
      <c r="K866" s="115"/>
      <c r="L866" s="115"/>
      <c r="M866" s="115"/>
      <c r="N866" s="115"/>
      <c r="O866" s="115"/>
      <c r="P866" s="115"/>
    </row>
    <row r="867" spans="10:16" ht="12.5" x14ac:dyDescent="0.25">
      <c r="J867" s="115"/>
      <c r="K867" s="115"/>
      <c r="L867" s="115"/>
      <c r="M867" s="115"/>
      <c r="N867" s="115"/>
      <c r="O867" s="115"/>
      <c r="P867" s="115"/>
    </row>
    <row r="868" spans="10:16" ht="12.5" x14ac:dyDescent="0.25">
      <c r="J868" s="115"/>
      <c r="K868" s="115"/>
      <c r="L868" s="115"/>
      <c r="M868" s="115"/>
      <c r="N868" s="115"/>
      <c r="O868" s="115"/>
      <c r="P868" s="115"/>
    </row>
    <row r="869" spans="10:16" ht="12.5" x14ac:dyDescent="0.25">
      <c r="J869" s="115"/>
      <c r="K869" s="115"/>
      <c r="L869" s="115"/>
      <c r="M869" s="115"/>
      <c r="N869" s="115"/>
      <c r="O869" s="115"/>
      <c r="P869" s="115"/>
    </row>
    <row r="870" spans="10:16" ht="12.5" x14ac:dyDescent="0.25">
      <c r="J870" s="115"/>
      <c r="K870" s="115"/>
      <c r="L870" s="115"/>
      <c r="M870" s="115"/>
      <c r="N870" s="115"/>
      <c r="O870" s="115"/>
      <c r="P870" s="115"/>
    </row>
    <row r="871" spans="10:16" ht="12.5" x14ac:dyDescent="0.25">
      <c r="J871" s="115"/>
      <c r="K871" s="115"/>
      <c r="L871" s="115"/>
      <c r="M871" s="115"/>
      <c r="N871" s="115"/>
      <c r="O871" s="115"/>
      <c r="P871" s="115"/>
    </row>
    <row r="872" spans="10:16" ht="12.5" x14ac:dyDescent="0.25">
      <c r="J872" s="115"/>
      <c r="K872" s="115"/>
      <c r="L872" s="115"/>
      <c r="M872" s="115"/>
      <c r="N872" s="115"/>
      <c r="O872" s="115"/>
      <c r="P872" s="115"/>
    </row>
    <row r="873" spans="10:16" ht="12.5" x14ac:dyDescent="0.25">
      <c r="J873" s="115"/>
      <c r="K873" s="115"/>
      <c r="L873" s="115"/>
      <c r="M873" s="115"/>
      <c r="N873" s="115"/>
      <c r="O873" s="115"/>
      <c r="P873" s="115"/>
    </row>
    <row r="874" spans="10:16" ht="12.5" x14ac:dyDescent="0.25">
      <c r="J874" s="115"/>
      <c r="K874" s="115"/>
      <c r="L874" s="115"/>
      <c r="M874" s="115"/>
      <c r="N874" s="115"/>
      <c r="O874" s="115"/>
      <c r="P874" s="115"/>
    </row>
    <row r="875" spans="10:16" ht="12.5" x14ac:dyDescent="0.25">
      <c r="J875" s="115"/>
      <c r="K875" s="115"/>
      <c r="L875" s="115"/>
      <c r="M875" s="115"/>
      <c r="N875" s="115"/>
      <c r="O875" s="115"/>
      <c r="P875" s="115"/>
    </row>
    <row r="876" spans="10:16" ht="12.5" x14ac:dyDescent="0.25">
      <c r="J876" s="115"/>
      <c r="K876" s="115"/>
      <c r="L876" s="115"/>
      <c r="M876" s="115"/>
      <c r="N876" s="115"/>
      <c r="O876" s="115"/>
      <c r="P876" s="115"/>
    </row>
    <row r="877" spans="10:16" ht="12.5" x14ac:dyDescent="0.25">
      <c r="J877" s="115"/>
      <c r="K877" s="115"/>
      <c r="L877" s="115"/>
      <c r="M877" s="115"/>
      <c r="N877" s="115"/>
      <c r="O877" s="115"/>
      <c r="P877" s="115"/>
    </row>
    <row r="878" spans="10:16" ht="12.5" x14ac:dyDescent="0.25">
      <c r="J878" s="115"/>
      <c r="K878" s="115"/>
      <c r="L878" s="115"/>
      <c r="M878" s="115"/>
      <c r="N878" s="115"/>
      <c r="O878" s="115"/>
      <c r="P878" s="115"/>
    </row>
    <row r="879" spans="10:16" ht="12.5" x14ac:dyDescent="0.25">
      <c r="J879" s="115"/>
      <c r="K879" s="115"/>
      <c r="L879" s="115"/>
      <c r="M879" s="115"/>
      <c r="N879" s="115"/>
      <c r="O879" s="115"/>
      <c r="P879" s="115"/>
    </row>
    <row r="880" spans="10:16" ht="12.5" x14ac:dyDescent="0.25">
      <c r="J880" s="115"/>
      <c r="K880" s="115"/>
      <c r="L880" s="115"/>
      <c r="M880" s="115"/>
      <c r="N880" s="115"/>
      <c r="O880" s="115"/>
      <c r="P880" s="115"/>
    </row>
    <row r="881" spans="10:16" ht="12.5" x14ac:dyDescent="0.25">
      <c r="J881" s="115"/>
      <c r="K881" s="115"/>
      <c r="L881" s="115"/>
      <c r="M881" s="115"/>
      <c r="N881" s="115"/>
      <c r="O881" s="115"/>
      <c r="P881" s="115"/>
    </row>
    <row r="882" spans="10:16" ht="12.5" x14ac:dyDescent="0.25">
      <c r="J882" s="115"/>
      <c r="K882" s="115"/>
      <c r="L882" s="115"/>
      <c r="M882" s="115"/>
      <c r="N882" s="115"/>
      <c r="O882" s="115"/>
      <c r="P882" s="115"/>
    </row>
    <row r="883" spans="10:16" ht="12.5" x14ac:dyDescent="0.25">
      <c r="J883" s="115"/>
      <c r="K883" s="115"/>
      <c r="L883" s="115"/>
      <c r="M883" s="115"/>
      <c r="N883" s="115"/>
      <c r="O883" s="115"/>
      <c r="P883" s="115"/>
    </row>
    <row r="884" spans="10:16" ht="12.5" x14ac:dyDescent="0.25">
      <c r="J884" s="115"/>
      <c r="K884" s="115"/>
      <c r="L884" s="115"/>
      <c r="M884" s="115"/>
      <c r="N884" s="115"/>
      <c r="O884" s="115"/>
      <c r="P884" s="115"/>
    </row>
    <row r="885" spans="10:16" ht="12.5" x14ac:dyDescent="0.25">
      <c r="J885" s="115"/>
      <c r="K885" s="115"/>
      <c r="L885" s="115"/>
      <c r="M885" s="115"/>
      <c r="N885" s="115"/>
      <c r="O885" s="115"/>
      <c r="P885" s="115"/>
    </row>
    <row r="886" spans="10:16" ht="12.5" x14ac:dyDescent="0.25">
      <c r="J886" s="115"/>
      <c r="K886" s="115"/>
      <c r="L886" s="115"/>
      <c r="M886" s="115"/>
      <c r="N886" s="115"/>
      <c r="O886" s="115"/>
      <c r="P886" s="115"/>
    </row>
    <row r="887" spans="10:16" ht="12.5" x14ac:dyDescent="0.25">
      <c r="J887" s="115"/>
      <c r="K887" s="115"/>
      <c r="L887" s="115"/>
      <c r="M887" s="115"/>
      <c r="N887" s="115"/>
      <c r="O887" s="115"/>
      <c r="P887" s="115"/>
    </row>
    <row r="888" spans="10:16" ht="12.5" x14ac:dyDescent="0.25">
      <c r="J888" s="115"/>
      <c r="K888" s="115"/>
      <c r="L888" s="115"/>
      <c r="M888" s="115"/>
      <c r="N888" s="115"/>
      <c r="O888" s="115"/>
      <c r="P888" s="115"/>
    </row>
    <row r="889" spans="10:16" ht="12.5" x14ac:dyDescent="0.25">
      <c r="J889" s="115"/>
      <c r="K889" s="115"/>
      <c r="L889" s="115"/>
      <c r="M889" s="115"/>
      <c r="N889" s="115"/>
      <c r="O889" s="115"/>
      <c r="P889" s="115"/>
    </row>
    <row r="890" spans="10:16" ht="12.5" x14ac:dyDescent="0.25">
      <c r="J890" s="115"/>
      <c r="K890" s="115"/>
      <c r="L890" s="115"/>
      <c r="M890" s="115"/>
      <c r="N890" s="115"/>
      <c r="O890" s="115"/>
      <c r="P890" s="115"/>
    </row>
    <row r="891" spans="10:16" ht="12.5" x14ac:dyDescent="0.25">
      <c r="J891" s="115"/>
      <c r="K891" s="115"/>
      <c r="L891" s="115"/>
      <c r="M891" s="115"/>
      <c r="N891" s="115"/>
      <c r="O891" s="115"/>
      <c r="P891" s="115"/>
    </row>
    <row r="892" spans="10:16" ht="12.5" x14ac:dyDescent="0.25">
      <c r="J892" s="115"/>
      <c r="K892" s="115"/>
      <c r="L892" s="115"/>
      <c r="M892" s="115"/>
      <c r="N892" s="115"/>
      <c r="O892" s="115"/>
      <c r="P892" s="115"/>
    </row>
    <row r="893" spans="10:16" ht="12.5" x14ac:dyDescent="0.25">
      <c r="J893" s="115"/>
      <c r="K893" s="115"/>
      <c r="L893" s="115"/>
      <c r="M893" s="115"/>
      <c r="N893" s="115"/>
      <c r="O893" s="115"/>
      <c r="P893" s="115"/>
    </row>
    <row r="894" spans="10:16" ht="12.5" x14ac:dyDescent="0.25">
      <c r="J894" s="115"/>
      <c r="K894" s="115"/>
      <c r="L894" s="115"/>
      <c r="M894" s="115"/>
      <c r="N894" s="115"/>
      <c r="O894" s="115"/>
      <c r="P894" s="115"/>
    </row>
    <row r="895" spans="10:16" ht="12.5" x14ac:dyDescent="0.25">
      <c r="J895" s="115"/>
      <c r="K895" s="115"/>
      <c r="L895" s="115"/>
      <c r="M895" s="115"/>
      <c r="N895" s="115"/>
      <c r="O895" s="115"/>
      <c r="P895" s="115"/>
    </row>
    <row r="896" spans="10:16" ht="12.5" x14ac:dyDescent="0.25">
      <c r="J896" s="115"/>
      <c r="K896" s="115"/>
      <c r="L896" s="115"/>
      <c r="M896" s="115"/>
      <c r="N896" s="115"/>
      <c r="O896" s="115"/>
      <c r="P896" s="115"/>
    </row>
    <row r="897" spans="10:16" ht="12.5" x14ac:dyDescent="0.25">
      <c r="J897" s="115"/>
      <c r="K897" s="115"/>
      <c r="L897" s="115"/>
      <c r="M897" s="115"/>
      <c r="N897" s="115"/>
      <c r="O897" s="115"/>
      <c r="P897" s="115"/>
    </row>
    <row r="898" spans="10:16" ht="12.5" x14ac:dyDescent="0.25">
      <c r="J898" s="115"/>
      <c r="K898" s="115"/>
      <c r="L898" s="115"/>
      <c r="M898" s="115"/>
      <c r="N898" s="115"/>
      <c r="O898" s="115"/>
      <c r="P898" s="115"/>
    </row>
    <row r="899" spans="10:16" ht="12.5" x14ac:dyDescent="0.25">
      <c r="J899" s="115"/>
      <c r="K899" s="115"/>
      <c r="L899" s="115"/>
      <c r="M899" s="115"/>
      <c r="N899" s="115"/>
      <c r="O899" s="115"/>
      <c r="P899" s="115"/>
    </row>
    <row r="900" spans="10:16" ht="12.5" x14ac:dyDescent="0.25">
      <c r="J900" s="115"/>
      <c r="K900" s="115"/>
      <c r="L900" s="115"/>
      <c r="M900" s="115"/>
      <c r="N900" s="115"/>
      <c r="O900" s="115"/>
      <c r="P900" s="115"/>
    </row>
    <row r="901" spans="10:16" ht="12.5" x14ac:dyDescent="0.25">
      <c r="J901" s="115"/>
      <c r="K901" s="115"/>
      <c r="L901" s="115"/>
      <c r="M901" s="115"/>
      <c r="N901" s="115"/>
      <c r="O901" s="115"/>
      <c r="P901" s="115"/>
    </row>
    <row r="902" spans="10:16" ht="12.5" x14ac:dyDescent="0.25">
      <c r="J902" s="115"/>
      <c r="K902" s="115"/>
      <c r="L902" s="115"/>
      <c r="M902" s="115"/>
      <c r="N902" s="115"/>
      <c r="O902" s="115"/>
      <c r="P902" s="115"/>
    </row>
    <row r="903" spans="10:16" ht="12.5" x14ac:dyDescent="0.25">
      <c r="J903" s="115"/>
      <c r="K903" s="115"/>
      <c r="L903" s="115"/>
      <c r="M903" s="115"/>
      <c r="N903" s="115"/>
      <c r="O903" s="115"/>
      <c r="P903" s="115"/>
    </row>
    <row r="904" spans="10:16" ht="12.5" x14ac:dyDescent="0.25">
      <c r="J904" s="115"/>
      <c r="K904" s="115"/>
      <c r="L904" s="115"/>
      <c r="M904" s="115"/>
      <c r="N904" s="115"/>
      <c r="O904" s="115"/>
      <c r="P904" s="115"/>
    </row>
    <row r="905" spans="10:16" ht="12.5" x14ac:dyDescent="0.25">
      <c r="J905" s="115"/>
      <c r="K905" s="115"/>
      <c r="L905" s="115"/>
      <c r="M905" s="115"/>
      <c r="N905" s="115"/>
      <c r="O905" s="115"/>
      <c r="P905" s="115"/>
    </row>
    <row r="906" spans="10:16" ht="12.5" x14ac:dyDescent="0.25">
      <c r="J906" s="115"/>
      <c r="K906" s="115"/>
      <c r="L906" s="115"/>
      <c r="M906" s="115"/>
      <c r="N906" s="115"/>
      <c r="O906" s="115"/>
      <c r="P906" s="115"/>
    </row>
    <row r="907" spans="10:16" ht="12.5" x14ac:dyDescent="0.25">
      <c r="J907" s="115"/>
      <c r="K907" s="115"/>
      <c r="L907" s="115"/>
      <c r="M907" s="115"/>
      <c r="N907" s="115"/>
      <c r="O907" s="115"/>
      <c r="P907" s="115"/>
    </row>
    <row r="908" spans="10:16" ht="12.5" x14ac:dyDescent="0.25">
      <c r="J908" s="115"/>
      <c r="K908" s="115"/>
      <c r="L908" s="115"/>
      <c r="M908" s="115"/>
      <c r="N908" s="115"/>
      <c r="O908" s="115"/>
      <c r="P908" s="115"/>
    </row>
    <row r="909" spans="10:16" ht="12.5" x14ac:dyDescent="0.25">
      <c r="J909" s="115"/>
      <c r="K909" s="115"/>
      <c r="L909" s="115"/>
      <c r="M909" s="115"/>
      <c r="N909" s="115"/>
      <c r="O909" s="115"/>
      <c r="P909" s="115"/>
    </row>
    <row r="910" spans="10:16" ht="12.5" x14ac:dyDescent="0.25">
      <c r="J910" s="115"/>
      <c r="K910" s="115"/>
      <c r="L910" s="115"/>
      <c r="M910" s="115"/>
      <c r="N910" s="115"/>
      <c r="O910" s="115"/>
      <c r="P910" s="115"/>
    </row>
    <row r="911" spans="10:16" ht="12.5" x14ac:dyDescent="0.25">
      <c r="J911" s="115"/>
      <c r="K911" s="115"/>
      <c r="L911" s="115"/>
      <c r="M911" s="115"/>
      <c r="N911" s="115"/>
      <c r="O911" s="115"/>
      <c r="P911" s="115"/>
    </row>
    <row r="912" spans="10:16" ht="12.5" x14ac:dyDescent="0.25">
      <c r="J912" s="115"/>
      <c r="K912" s="115"/>
      <c r="L912" s="115"/>
      <c r="M912" s="115"/>
      <c r="N912" s="115"/>
      <c r="O912" s="115"/>
      <c r="P912" s="115"/>
    </row>
    <row r="913" spans="10:16" ht="12.5" x14ac:dyDescent="0.25">
      <c r="J913" s="115"/>
      <c r="K913" s="115"/>
      <c r="L913" s="115"/>
      <c r="M913" s="115"/>
      <c r="N913" s="115"/>
      <c r="O913" s="115"/>
      <c r="P913" s="115"/>
    </row>
    <row r="914" spans="10:16" ht="12.5" x14ac:dyDescent="0.25">
      <c r="J914" s="115"/>
      <c r="K914" s="115"/>
      <c r="L914" s="115"/>
      <c r="M914" s="115"/>
      <c r="N914" s="115"/>
      <c r="O914" s="115"/>
      <c r="P914" s="115"/>
    </row>
    <row r="915" spans="10:16" ht="12.5" x14ac:dyDescent="0.25">
      <c r="J915" s="115"/>
      <c r="K915" s="115"/>
      <c r="L915" s="115"/>
      <c r="M915" s="115"/>
      <c r="N915" s="115"/>
      <c r="O915" s="115"/>
      <c r="P915" s="115"/>
    </row>
    <row r="916" spans="10:16" ht="12.5" x14ac:dyDescent="0.25">
      <c r="J916" s="115"/>
      <c r="K916" s="115"/>
      <c r="L916" s="115"/>
      <c r="M916" s="115"/>
      <c r="N916" s="115"/>
      <c r="O916" s="115"/>
      <c r="P916" s="115"/>
    </row>
    <row r="917" spans="10:16" ht="12.5" x14ac:dyDescent="0.25">
      <c r="J917" s="115"/>
      <c r="K917" s="115"/>
      <c r="L917" s="115"/>
      <c r="M917" s="115"/>
      <c r="N917" s="115"/>
      <c r="O917" s="115"/>
      <c r="P917" s="115"/>
    </row>
    <row r="918" spans="10:16" ht="12.5" x14ac:dyDescent="0.25">
      <c r="J918" s="115"/>
      <c r="K918" s="115"/>
      <c r="L918" s="115"/>
      <c r="M918" s="115"/>
      <c r="N918" s="115"/>
      <c r="O918" s="115"/>
      <c r="P918" s="115"/>
    </row>
    <row r="919" spans="10:16" ht="12.5" x14ac:dyDescent="0.25">
      <c r="J919" s="115"/>
      <c r="K919" s="115"/>
      <c r="L919" s="115"/>
      <c r="M919" s="115"/>
      <c r="N919" s="115"/>
      <c r="O919" s="115"/>
      <c r="P919" s="115"/>
    </row>
    <row r="920" spans="10:16" ht="12.5" x14ac:dyDescent="0.25">
      <c r="J920" s="115"/>
      <c r="K920" s="115"/>
      <c r="L920" s="115"/>
      <c r="M920" s="115"/>
      <c r="N920" s="115"/>
      <c r="O920" s="115"/>
      <c r="P920" s="115"/>
    </row>
    <row r="921" spans="10:16" ht="12.5" x14ac:dyDescent="0.25">
      <c r="J921" s="115"/>
      <c r="K921" s="115"/>
      <c r="L921" s="115"/>
      <c r="M921" s="115"/>
      <c r="N921" s="115"/>
      <c r="O921" s="115"/>
      <c r="P921" s="115"/>
    </row>
    <row r="922" spans="10:16" ht="12.5" x14ac:dyDescent="0.25">
      <c r="J922" s="115"/>
      <c r="K922" s="115"/>
      <c r="L922" s="115"/>
      <c r="M922" s="115"/>
      <c r="N922" s="115"/>
      <c r="O922" s="115"/>
      <c r="P922" s="115"/>
    </row>
    <row r="923" spans="10:16" ht="12.5" x14ac:dyDescent="0.25">
      <c r="J923" s="115"/>
      <c r="K923" s="115"/>
      <c r="L923" s="115"/>
      <c r="M923" s="115"/>
      <c r="N923" s="115"/>
      <c r="O923" s="115"/>
      <c r="P923" s="115"/>
    </row>
    <row r="924" spans="10:16" ht="12.5" x14ac:dyDescent="0.25">
      <c r="J924" s="115"/>
      <c r="K924" s="115"/>
      <c r="L924" s="115"/>
      <c r="M924" s="115"/>
      <c r="N924" s="115"/>
      <c r="O924" s="115"/>
      <c r="P924" s="115"/>
    </row>
    <row r="925" spans="10:16" ht="12.5" x14ac:dyDescent="0.25">
      <c r="J925" s="115"/>
      <c r="K925" s="115"/>
      <c r="L925" s="115"/>
      <c r="M925" s="115"/>
      <c r="N925" s="115"/>
      <c r="O925" s="115"/>
      <c r="P925" s="115"/>
    </row>
    <row r="926" spans="10:16" ht="12.5" x14ac:dyDescent="0.25">
      <c r="J926" s="115"/>
      <c r="K926" s="115"/>
      <c r="L926" s="115"/>
      <c r="M926" s="115"/>
      <c r="N926" s="115"/>
      <c r="O926" s="115"/>
      <c r="P926" s="115"/>
    </row>
    <row r="927" spans="10:16" ht="12.5" x14ac:dyDescent="0.25">
      <c r="J927" s="115"/>
      <c r="K927" s="115"/>
      <c r="L927" s="115"/>
      <c r="M927" s="115"/>
      <c r="N927" s="115"/>
      <c r="O927" s="115"/>
      <c r="P927" s="115"/>
    </row>
    <row r="928" spans="10:16" ht="12.5" x14ac:dyDescent="0.25">
      <c r="J928" s="115"/>
      <c r="K928" s="115"/>
      <c r="L928" s="115"/>
      <c r="M928" s="115"/>
      <c r="N928" s="115"/>
      <c r="O928" s="115"/>
      <c r="P928" s="115"/>
    </row>
    <row r="929" spans="10:16" ht="12.5" x14ac:dyDescent="0.25">
      <c r="J929" s="115"/>
      <c r="K929" s="115"/>
      <c r="L929" s="115"/>
      <c r="M929" s="115"/>
      <c r="N929" s="115"/>
      <c r="O929" s="115"/>
      <c r="P929" s="115"/>
    </row>
    <row r="930" spans="10:16" ht="12.5" x14ac:dyDescent="0.25">
      <c r="J930" s="115"/>
      <c r="K930" s="115"/>
      <c r="L930" s="115"/>
      <c r="M930" s="115"/>
      <c r="N930" s="115"/>
      <c r="O930" s="115"/>
      <c r="P930" s="115"/>
    </row>
    <row r="931" spans="10:16" ht="12.5" x14ac:dyDescent="0.25">
      <c r="J931" s="115"/>
      <c r="K931" s="115"/>
      <c r="L931" s="115"/>
      <c r="M931" s="115"/>
      <c r="N931" s="115"/>
      <c r="O931" s="115"/>
      <c r="P931" s="115"/>
    </row>
    <row r="932" spans="10:16" ht="12.5" x14ac:dyDescent="0.25">
      <c r="J932" s="115"/>
      <c r="K932" s="115"/>
      <c r="L932" s="115"/>
      <c r="M932" s="115"/>
      <c r="N932" s="115"/>
      <c r="O932" s="115"/>
      <c r="P932" s="115"/>
    </row>
    <row r="933" spans="10:16" ht="12.5" x14ac:dyDescent="0.25">
      <c r="J933" s="115"/>
      <c r="K933" s="115"/>
      <c r="L933" s="115"/>
      <c r="M933" s="115"/>
      <c r="N933" s="115"/>
      <c r="O933" s="115"/>
      <c r="P933" s="115"/>
    </row>
    <row r="934" spans="10:16" ht="12.5" x14ac:dyDescent="0.25">
      <c r="J934" s="115"/>
      <c r="K934" s="115"/>
      <c r="L934" s="115"/>
      <c r="M934" s="115"/>
      <c r="N934" s="115"/>
      <c r="O934" s="115"/>
      <c r="P934" s="115"/>
    </row>
    <row r="935" spans="10:16" ht="12.5" x14ac:dyDescent="0.25">
      <c r="J935" s="115"/>
      <c r="K935" s="115"/>
      <c r="L935" s="115"/>
      <c r="M935" s="115"/>
      <c r="N935" s="115"/>
      <c r="O935" s="115"/>
      <c r="P935" s="115"/>
    </row>
    <row r="936" spans="10:16" ht="12.5" x14ac:dyDescent="0.25">
      <c r="J936" s="115"/>
      <c r="K936" s="115"/>
      <c r="L936" s="115"/>
      <c r="M936" s="115"/>
      <c r="N936" s="115"/>
      <c r="O936" s="115"/>
      <c r="P936" s="115"/>
    </row>
    <row r="937" spans="10:16" ht="12.5" x14ac:dyDescent="0.25">
      <c r="J937" s="115"/>
      <c r="K937" s="115"/>
      <c r="L937" s="115"/>
      <c r="M937" s="115"/>
      <c r="N937" s="115"/>
      <c r="O937" s="115"/>
      <c r="P937" s="115"/>
    </row>
    <row r="938" spans="10:16" ht="12.5" x14ac:dyDescent="0.25">
      <c r="J938" s="115"/>
      <c r="K938" s="115"/>
      <c r="L938" s="115"/>
      <c r="M938" s="115"/>
      <c r="N938" s="115"/>
      <c r="O938" s="115"/>
      <c r="P938" s="115"/>
    </row>
    <row r="939" spans="10:16" ht="12.5" x14ac:dyDescent="0.25">
      <c r="J939" s="115"/>
      <c r="K939" s="115"/>
      <c r="L939" s="115"/>
      <c r="M939" s="115"/>
      <c r="N939" s="115"/>
      <c r="O939" s="115"/>
      <c r="P939" s="115"/>
    </row>
    <row r="940" spans="10:16" ht="12.5" x14ac:dyDescent="0.25">
      <c r="J940" s="115"/>
      <c r="K940" s="115"/>
      <c r="L940" s="115"/>
      <c r="M940" s="115"/>
      <c r="N940" s="115"/>
      <c r="O940" s="115"/>
      <c r="P940" s="115"/>
    </row>
    <row r="941" spans="10:16" ht="12.5" x14ac:dyDescent="0.25">
      <c r="J941" s="115"/>
      <c r="K941" s="115"/>
      <c r="L941" s="115"/>
      <c r="M941" s="115"/>
      <c r="N941" s="115"/>
      <c r="O941" s="115"/>
      <c r="P941" s="115"/>
    </row>
    <row r="942" spans="10:16" ht="12.5" x14ac:dyDescent="0.25">
      <c r="J942" s="115"/>
      <c r="K942" s="115"/>
      <c r="L942" s="115"/>
      <c r="M942" s="115"/>
      <c r="N942" s="115"/>
      <c r="O942" s="115"/>
      <c r="P942" s="115"/>
    </row>
    <row r="943" spans="10:16" ht="12.5" x14ac:dyDescent="0.25">
      <c r="J943" s="115"/>
      <c r="K943" s="115"/>
      <c r="L943" s="115"/>
      <c r="M943" s="115"/>
      <c r="N943" s="115"/>
      <c r="O943" s="115"/>
      <c r="P943" s="115"/>
    </row>
    <row r="944" spans="10:16" ht="12.5" x14ac:dyDescent="0.25">
      <c r="J944" s="115"/>
      <c r="K944" s="115"/>
      <c r="L944" s="115"/>
      <c r="M944" s="115"/>
      <c r="N944" s="115"/>
      <c r="O944" s="115"/>
      <c r="P944" s="115"/>
    </row>
    <row r="945" spans="10:16" ht="12.5" x14ac:dyDescent="0.25">
      <c r="J945" s="115"/>
      <c r="K945" s="115"/>
      <c r="L945" s="115"/>
      <c r="M945" s="115"/>
      <c r="N945" s="115"/>
      <c r="O945" s="115"/>
      <c r="P945" s="115"/>
    </row>
    <row r="946" spans="10:16" ht="12.5" x14ac:dyDescent="0.25">
      <c r="J946" s="115"/>
      <c r="K946" s="115"/>
      <c r="L946" s="115"/>
      <c r="M946" s="115"/>
      <c r="N946" s="115"/>
      <c r="O946" s="115"/>
      <c r="P946" s="115"/>
    </row>
    <row r="947" spans="10:16" ht="12.5" x14ac:dyDescent="0.25">
      <c r="J947" s="115"/>
      <c r="K947" s="115"/>
      <c r="L947" s="115"/>
      <c r="M947" s="115"/>
      <c r="N947" s="115"/>
      <c r="O947" s="115"/>
      <c r="P947" s="115"/>
    </row>
    <row r="948" spans="10:16" ht="12.5" x14ac:dyDescent="0.25">
      <c r="J948" s="115"/>
      <c r="K948" s="115"/>
      <c r="L948" s="115"/>
      <c r="M948" s="115"/>
      <c r="N948" s="115"/>
      <c r="O948" s="115"/>
      <c r="P948" s="115"/>
    </row>
    <row r="949" spans="10:16" ht="12.5" x14ac:dyDescent="0.25">
      <c r="J949" s="115"/>
      <c r="K949" s="115"/>
      <c r="L949" s="115"/>
      <c r="M949" s="115"/>
      <c r="N949" s="115"/>
      <c r="O949" s="115"/>
      <c r="P949" s="115"/>
    </row>
    <row r="950" spans="10:16" ht="12.5" x14ac:dyDescent="0.25">
      <c r="J950" s="115"/>
      <c r="K950" s="115"/>
      <c r="L950" s="115"/>
      <c r="M950" s="115"/>
      <c r="N950" s="115"/>
      <c r="O950" s="115"/>
      <c r="P950" s="115"/>
    </row>
    <row r="951" spans="10:16" ht="12.5" x14ac:dyDescent="0.25">
      <c r="J951" s="115"/>
      <c r="K951" s="115"/>
      <c r="L951" s="115"/>
      <c r="M951" s="115"/>
      <c r="N951" s="115"/>
      <c r="O951" s="115"/>
      <c r="P951" s="115"/>
    </row>
    <row r="952" spans="10:16" ht="12.5" x14ac:dyDescent="0.25">
      <c r="J952" s="115"/>
      <c r="K952" s="115"/>
      <c r="L952" s="115"/>
      <c r="M952" s="115"/>
      <c r="N952" s="115"/>
      <c r="O952" s="115"/>
      <c r="P952" s="115"/>
    </row>
    <row r="953" spans="10:16" ht="12.5" x14ac:dyDescent="0.25">
      <c r="J953" s="115"/>
      <c r="K953" s="115"/>
      <c r="L953" s="115"/>
      <c r="M953" s="115"/>
      <c r="N953" s="115"/>
      <c r="O953" s="115"/>
      <c r="P953" s="115"/>
    </row>
    <row r="954" spans="10:16" ht="12.5" x14ac:dyDescent="0.25">
      <c r="J954" s="115"/>
      <c r="K954" s="115"/>
      <c r="L954" s="115"/>
      <c r="M954" s="115"/>
      <c r="N954" s="115"/>
      <c r="O954" s="115"/>
      <c r="P954" s="115"/>
    </row>
    <row r="955" spans="10:16" ht="12.5" x14ac:dyDescent="0.25">
      <c r="J955" s="115"/>
      <c r="K955" s="115"/>
      <c r="L955" s="115"/>
      <c r="M955" s="115"/>
      <c r="N955" s="115"/>
      <c r="O955" s="115"/>
      <c r="P955" s="115"/>
    </row>
    <row r="956" spans="10:16" ht="12.5" x14ac:dyDescent="0.25">
      <c r="J956" s="115"/>
      <c r="K956" s="115"/>
      <c r="L956" s="115"/>
      <c r="M956" s="115"/>
      <c r="N956" s="115"/>
      <c r="O956" s="115"/>
      <c r="P956" s="115"/>
    </row>
    <row r="957" spans="10:16" ht="12.5" x14ac:dyDescent="0.25">
      <c r="J957" s="115"/>
      <c r="K957" s="115"/>
      <c r="L957" s="115"/>
      <c r="M957" s="115"/>
      <c r="N957" s="115"/>
      <c r="O957" s="115"/>
      <c r="P957" s="115"/>
    </row>
    <row r="958" spans="10:16" ht="12.5" x14ac:dyDescent="0.25">
      <c r="J958" s="115"/>
      <c r="K958" s="115"/>
      <c r="L958" s="115"/>
      <c r="M958" s="115"/>
      <c r="N958" s="115"/>
      <c r="O958" s="115"/>
      <c r="P958" s="115"/>
    </row>
    <row r="959" spans="10:16" ht="12.5" x14ac:dyDescent="0.25">
      <c r="J959" s="115"/>
      <c r="K959" s="115"/>
      <c r="L959" s="115"/>
      <c r="M959" s="115"/>
      <c r="N959" s="115"/>
      <c r="O959" s="115"/>
      <c r="P959" s="115"/>
    </row>
    <row r="960" spans="10:16" ht="12.5" x14ac:dyDescent="0.25">
      <c r="J960" s="115"/>
      <c r="K960" s="115"/>
      <c r="L960" s="115"/>
      <c r="M960" s="115"/>
      <c r="N960" s="115"/>
      <c r="O960" s="115"/>
      <c r="P960" s="115"/>
    </row>
    <row r="961" spans="10:16" ht="12.5" x14ac:dyDescent="0.25">
      <c r="J961" s="115"/>
      <c r="K961" s="115"/>
      <c r="L961" s="115"/>
      <c r="M961" s="115"/>
      <c r="N961" s="115"/>
      <c r="O961" s="115"/>
      <c r="P961" s="115"/>
    </row>
    <row r="962" spans="10:16" ht="12.5" x14ac:dyDescent="0.25">
      <c r="J962" s="115"/>
      <c r="K962" s="115"/>
      <c r="L962" s="115"/>
      <c r="M962" s="115"/>
      <c r="N962" s="115"/>
      <c r="O962" s="115"/>
      <c r="P962" s="115"/>
    </row>
    <row r="963" spans="10:16" ht="12.5" x14ac:dyDescent="0.25">
      <c r="J963" s="115"/>
      <c r="K963" s="115"/>
      <c r="L963" s="115"/>
      <c r="M963" s="115"/>
      <c r="N963" s="115"/>
      <c r="O963" s="115"/>
      <c r="P963" s="115"/>
    </row>
    <row r="964" spans="10:16" ht="12.5" x14ac:dyDescent="0.25">
      <c r="J964" s="115"/>
      <c r="K964" s="115"/>
      <c r="L964" s="115"/>
      <c r="M964" s="115"/>
      <c r="N964" s="115"/>
      <c r="O964" s="115"/>
      <c r="P964" s="115"/>
    </row>
    <row r="965" spans="10:16" ht="12.5" x14ac:dyDescent="0.25">
      <c r="J965" s="115"/>
      <c r="K965" s="115"/>
      <c r="L965" s="115"/>
      <c r="M965" s="115"/>
      <c r="N965" s="115"/>
      <c r="O965" s="115"/>
      <c r="P965" s="115"/>
    </row>
    <row r="966" spans="10:16" ht="12.5" x14ac:dyDescent="0.25">
      <c r="J966" s="115"/>
      <c r="K966" s="115"/>
      <c r="L966" s="115"/>
      <c r="M966" s="115"/>
      <c r="N966" s="115"/>
      <c r="O966" s="115"/>
      <c r="P966" s="115"/>
    </row>
    <row r="967" spans="10:16" ht="12.5" x14ac:dyDescent="0.25">
      <c r="J967" s="115"/>
      <c r="K967" s="115"/>
      <c r="L967" s="115"/>
      <c r="M967" s="115"/>
      <c r="N967" s="115"/>
      <c r="O967" s="115"/>
      <c r="P967" s="115"/>
    </row>
    <row r="968" spans="10:16" ht="12.5" x14ac:dyDescent="0.25">
      <c r="J968" s="115"/>
      <c r="K968" s="115"/>
      <c r="L968" s="115"/>
      <c r="M968" s="115"/>
      <c r="N968" s="115"/>
      <c r="O968" s="115"/>
      <c r="P968" s="115"/>
    </row>
    <row r="969" spans="10:16" ht="12.5" x14ac:dyDescent="0.25">
      <c r="J969" s="115"/>
      <c r="K969" s="115"/>
      <c r="L969" s="115"/>
      <c r="M969" s="115"/>
      <c r="N969" s="115"/>
      <c r="O969" s="115"/>
      <c r="P969" s="115"/>
    </row>
    <row r="970" spans="10:16" ht="12.5" x14ac:dyDescent="0.25">
      <c r="J970" s="115"/>
      <c r="K970" s="115"/>
      <c r="L970" s="115"/>
      <c r="M970" s="115"/>
      <c r="N970" s="115"/>
      <c r="O970" s="115"/>
      <c r="P970" s="115"/>
    </row>
    <row r="971" spans="10:16" ht="12.5" x14ac:dyDescent="0.25">
      <c r="J971" s="115"/>
      <c r="K971" s="115"/>
      <c r="L971" s="115"/>
      <c r="M971" s="115"/>
      <c r="N971" s="115"/>
      <c r="O971" s="115"/>
      <c r="P971" s="115"/>
    </row>
    <row r="972" spans="10:16" ht="12.5" x14ac:dyDescent="0.25">
      <c r="J972" s="115"/>
      <c r="K972" s="115"/>
      <c r="L972" s="115"/>
      <c r="M972" s="115"/>
      <c r="N972" s="115"/>
      <c r="O972" s="115"/>
      <c r="P972" s="115"/>
    </row>
    <row r="973" spans="10:16" ht="12.5" x14ac:dyDescent="0.25">
      <c r="J973" s="115"/>
      <c r="K973" s="115"/>
      <c r="L973" s="115"/>
      <c r="M973" s="115"/>
      <c r="N973" s="115"/>
      <c r="O973" s="115"/>
      <c r="P973" s="115"/>
    </row>
    <row r="974" spans="10:16" ht="12.5" x14ac:dyDescent="0.25">
      <c r="J974" s="115"/>
      <c r="K974" s="115"/>
      <c r="L974" s="115"/>
      <c r="M974" s="115"/>
      <c r="N974" s="115"/>
      <c r="O974" s="115"/>
      <c r="P974" s="115"/>
    </row>
    <row r="975" spans="10:16" ht="12.5" x14ac:dyDescent="0.25">
      <c r="J975" s="115"/>
      <c r="K975" s="115"/>
      <c r="L975" s="115"/>
      <c r="M975" s="115"/>
      <c r="N975" s="115"/>
      <c r="O975" s="115"/>
      <c r="P975" s="115"/>
    </row>
    <row r="976" spans="10:16" ht="12.5" x14ac:dyDescent="0.25">
      <c r="J976" s="115"/>
      <c r="K976" s="115"/>
      <c r="L976" s="115"/>
      <c r="M976" s="115"/>
      <c r="N976" s="115"/>
      <c r="O976" s="115"/>
      <c r="P976" s="115"/>
    </row>
    <row r="977" spans="10:16" ht="12.5" x14ac:dyDescent="0.25">
      <c r="J977" s="115"/>
      <c r="K977" s="115"/>
      <c r="L977" s="115"/>
      <c r="M977" s="115"/>
      <c r="N977" s="115"/>
      <c r="O977" s="115"/>
      <c r="P977" s="115"/>
    </row>
    <row r="978" spans="10:16" ht="12.5" x14ac:dyDescent="0.25">
      <c r="J978" s="115"/>
      <c r="K978" s="115"/>
      <c r="L978" s="115"/>
      <c r="M978" s="115"/>
      <c r="N978" s="115"/>
      <c r="O978" s="115"/>
      <c r="P978" s="115"/>
    </row>
    <row r="979" spans="10:16" ht="12.5" x14ac:dyDescent="0.25">
      <c r="J979" s="115"/>
      <c r="K979" s="115"/>
      <c r="L979" s="115"/>
      <c r="M979" s="115"/>
      <c r="N979" s="115"/>
      <c r="O979" s="115"/>
      <c r="P979" s="115"/>
    </row>
    <row r="980" spans="10:16" ht="12.5" x14ac:dyDescent="0.25">
      <c r="J980" s="115"/>
      <c r="K980" s="115"/>
      <c r="L980" s="115"/>
      <c r="M980" s="115"/>
      <c r="N980" s="115"/>
      <c r="O980" s="115"/>
      <c r="P980" s="115"/>
    </row>
    <row r="981" spans="10:16" ht="12.5" x14ac:dyDescent="0.25">
      <c r="J981" s="115"/>
      <c r="K981" s="115"/>
      <c r="L981" s="115"/>
      <c r="M981" s="115"/>
      <c r="N981" s="115"/>
      <c r="O981" s="115"/>
      <c r="P981" s="115"/>
    </row>
    <row r="982" spans="10:16" ht="12.5" x14ac:dyDescent="0.25">
      <c r="J982" s="115"/>
      <c r="K982" s="115"/>
      <c r="L982" s="115"/>
      <c r="M982" s="115"/>
      <c r="N982" s="115"/>
      <c r="O982" s="115"/>
      <c r="P982" s="115"/>
    </row>
    <row r="983" spans="10:16" ht="12.5" x14ac:dyDescent="0.25">
      <c r="J983" s="115"/>
      <c r="K983" s="115"/>
      <c r="L983" s="115"/>
      <c r="M983" s="115"/>
      <c r="N983" s="115"/>
      <c r="O983" s="115"/>
      <c r="P983" s="115"/>
    </row>
    <row r="984" spans="10:16" ht="12.5" x14ac:dyDescent="0.25">
      <c r="J984" s="115"/>
      <c r="K984" s="115"/>
      <c r="L984" s="115"/>
      <c r="M984" s="115"/>
      <c r="N984" s="115"/>
      <c r="O984" s="115"/>
      <c r="P984" s="115"/>
    </row>
    <row r="985" spans="10:16" ht="12.5" x14ac:dyDescent="0.25">
      <c r="J985" s="115"/>
      <c r="K985" s="115"/>
      <c r="L985" s="115"/>
      <c r="M985" s="115"/>
      <c r="N985" s="115"/>
      <c r="O985" s="115"/>
      <c r="P985" s="115"/>
    </row>
    <row r="986" spans="10:16" ht="12.5" x14ac:dyDescent="0.25">
      <c r="J986" s="115"/>
      <c r="K986" s="115"/>
      <c r="L986" s="115"/>
      <c r="M986" s="115"/>
      <c r="N986" s="115"/>
      <c r="O986" s="115"/>
      <c r="P986" s="115"/>
    </row>
    <row r="987" spans="10:16" ht="12.5" x14ac:dyDescent="0.25">
      <c r="J987" s="115"/>
      <c r="K987" s="115"/>
      <c r="L987" s="115"/>
      <c r="M987" s="115"/>
      <c r="N987" s="115"/>
      <c r="O987" s="115"/>
      <c r="P987" s="115"/>
    </row>
    <row r="988" spans="10:16" ht="12.5" x14ac:dyDescent="0.25">
      <c r="J988" s="115"/>
      <c r="K988" s="115"/>
      <c r="L988" s="115"/>
      <c r="M988" s="115"/>
      <c r="N988" s="115"/>
      <c r="O988" s="115"/>
      <c r="P988" s="115"/>
    </row>
    <row r="989" spans="10:16" ht="12.5" x14ac:dyDescent="0.25">
      <c r="J989" s="115"/>
      <c r="K989" s="115"/>
      <c r="L989" s="115"/>
      <c r="M989" s="115"/>
      <c r="N989" s="115"/>
      <c r="O989" s="115"/>
      <c r="P989" s="115"/>
    </row>
    <row r="990" spans="10:16" ht="12.5" x14ac:dyDescent="0.25">
      <c r="J990" s="115"/>
      <c r="K990" s="115"/>
      <c r="L990" s="115"/>
      <c r="M990" s="115"/>
      <c r="N990" s="115"/>
      <c r="O990" s="115"/>
      <c r="P990" s="115"/>
    </row>
    <row r="991" spans="10:16" ht="12.5" x14ac:dyDescent="0.25">
      <c r="J991" s="115"/>
      <c r="K991" s="115"/>
      <c r="L991" s="115"/>
      <c r="M991" s="115"/>
      <c r="N991" s="115"/>
      <c r="O991" s="115"/>
      <c r="P991" s="115"/>
    </row>
    <row r="992" spans="10:16" ht="12.5" x14ac:dyDescent="0.25">
      <c r="J992" s="115"/>
      <c r="K992" s="115"/>
      <c r="L992" s="115"/>
      <c r="M992" s="115"/>
      <c r="N992" s="115"/>
      <c r="O992" s="115"/>
      <c r="P992" s="115"/>
    </row>
    <row r="993" spans="10:16" ht="12.5" x14ac:dyDescent="0.25">
      <c r="J993" s="115"/>
      <c r="K993" s="115"/>
      <c r="L993" s="115"/>
      <c r="M993" s="115"/>
      <c r="N993" s="115"/>
      <c r="O993" s="115"/>
      <c r="P993" s="115"/>
    </row>
    <row r="994" spans="10:16" ht="12.5" x14ac:dyDescent="0.25">
      <c r="J994" s="115"/>
      <c r="K994" s="115"/>
      <c r="L994" s="115"/>
      <c r="M994" s="115"/>
      <c r="N994" s="115"/>
      <c r="O994" s="115"/>
      <c r="P994" s="115"/>
    </row>
    <row r="995" spans="10:16" ht="12.5" x14ac:dyDescent="0.25">
      <c r="J995" s="115"/>
      <c r="K995" s="115"/>
      <c r="L995" s="115"/>
      <c r="M995" s="115"/>
      <c r="N995" s="115"/>
      <c r="O995" s="115"/>
      <c r="P995" s="115"/>
    </row>
    <row r="996" spans="10:16" ht="12.5" x14ac:dyDescent="0.25">
      <c r="J996" s="115"/>
      <c r="K996" s="115"/>
      <c r="L996" s="115"/>
      <c r="M996" s="115"/>
      <c r="N996" s="115"/>
      <c r="O996" s="115"/>
      <c r="P996" s="115"/>
    </row>
    <row r="997" spans="10:16" ht="12.5" x14ac:dyDescent="0.25">
      <c r="J997" s="115"/>
      <c r="K997" s="115"/>
      <c r="L997" s="115"/>
      <c r="M997" s="115"/>
      <c r="N997" s="115"/>
      <c r="O997" s="115"/>
      <c r="P997" s="115"/>
    </row>
    <row r="998" spans="10:16" ht="12.5" x14ac:dyDescent="0.25">
      <c r="J998" s="115"/>
      <c r="K998" s="115"/>
      <c r="L998" s="115"/>
      <c r="M998" s="115"/>
      <c r="N998" s="115"/>
      <c r="O998" s="115"/>
      <c r="P998" s="115"/>
    </row>
    <row r="999" spans="10:16" ht="12.5" x14ac:dyDescent="0.25">
      <c r="J999" s="115"/>
      <c r="K999" s="115"/>
      <c r="L999" s="115"/>
      <c r="M999" s="115"/>
      <c r="N999" s="115"/>
      <c r="O999" s="115"/>
      <c r="P999" s="115"/>
    </row>
    <row r="1000" spans="10:16" ht="12.5" x14ac:dyDescent="0.25">
      <c r="J1000" s="115"/>
      <c r="K1000" s="115"/>
      <c r="L1000" s="115"/>
      <c r="M1000" s="115"/>
      <c r="N1000" s="115"/>
      <c r="O1000" s="115"/>
      <c r="P1000" s="115"/>
    </row>
    <row r="1001" spans="10:16" ht="12.5" x14ac:dyDescent="0.25">
      <c r="J1001" s="115"/>
      <c r="K1001" s="115"/>
      <c r="L1001" s="115"/>
      <c r="M1001" s="115"/>
      <c r="N1001" s="115"/>
      <c r="O1001" s="115"/>
      <c r="P1001" s="115"/>
    </row>
    <row r="1002" spans="10:16" ht="12.5" x14ac:dyDescent="0.25">
      <c r="J1002" s="115"/>
      <c r="K1002" s="115"/>
      <c r="L1002" s="115"/>
      <c r="M1002" s="115"/>
      <c r="N1002" s="115"/>
      <c r="O1002" s="115"/>
      <c r="P1002" s="115"/>
    </row>
    <row r="1003" spans="10:16" ht="12.5" x14ac:dyDescent="0.25">
      <c r="J1003" s="115"/>
      <c r="K1003" s="115"/>
      <c r="L1003" s="115"/>
      <c r="M1003" s="115"/>
      <c r="N1003" s="115"/>
      <c r="O1003" s="115"/>
      <c r="P1003" s="115"/>
    </row>
    <row r="1004" spans="10:16" ht="12.5" x14ac:dyDescent="0.25">
      <c r="J1004" s="115"/>
      <c r="K1004" s="115"/>
      <c r="L1004" s="115"/>
      <c r="M1004" s="115"/>
      <c r="N1004" s="115"/>
      <c r="O1004" s="115"/>
      <c r="P1004" s="115"/>
    </row>
    <row r="1005" spans="10:16" ht="12.5" x14ac:dyDescent="0.25">
      <c r="J1005" s="115"/>
      <c r="K1005" s="115"/>
      <c r="L1005" s="115"/>
      <c r="M1005" s="115"/>
      <c r="N1005" s="115"/>
      <c r="O1005" s="115"/>
      <c r="P1005" s="115"/>
    </row>
    <row r="1006" spans="10:16" ht="12.5" x14ac:dyDescent="0.25">
      <c r="J1006" s="115"/>
      <c r="K1006" s="115"/>
      <c r="L1006" s="115"/>
      <c r="M1006" s="115"/>
      <c r="N1006" s="115"/>
      <c r="O1006" s="115"/>
      <c r="P1006" s="115"/>
    </row>
    <row r="1007" spans="10:16" ht="12.5" x14ac:dyDescent="0.25">
      <c r="J1007" s="115"/>
      <c r="K1007" s="115"/>
      <c r="L1007" s="115"/>
      <c r="M1007" s="115"/>
      <c r="N1007" s="115"/>
      <c r="O1007" s="115"/>
      <c r="P1007" s="115"/>
    </row>
    <row r="1008" spans="10:16" ht="12.5" x14ac:dyDescent="0.25">
      <c r="J1008" s="115"/>
      <c r="K1008" s="115"/>
      <c r="L1008" s="115"/>
      <c r="M1008" s="115"/>
      <c r="N1008" s="115"/>
      <c r="O1008" s="115"/>
      <c r="P1008" s="115"/>
    </row>
    <row r="1009" spans="10:16" ht="12.5" x14ac:dyDescent="0.25">
      <c r="J1009" s="115"/>
      <c r="K1009" s="115"/>
      <c r="L1009" s="115"/>
      <c r="M1009" s="115"/>
      <c r="N1009" s="115"/>
      <c r="O1009" s="115"/>
      <c r="P1009" s="115"/>
    </row>
    <row r="1010" spans="10:16" ht="12.5" x14ac:dyDescent="0.25">
      <c r="J1010" s="115"/>
      <c r="K1010" s="115"/>
      <c r="L1010" s="115"/>
      <c r="M1010" s="115"/>
      <c r="N1010" s="115"/>
      <c r="O1010" s="115"/>
      <c r="P1010" s="115"/>
    </row>
    <row r="1011" spans="10:16" ht="12.5" x14ac:dyDescent="0.25">
      <c r="J1011" s="115"/>
      <c r="K1011" s="115"/>
      <c r="L1011" s="115"/>
      <c r="M1011" s="115"/>
      <c r="N1011" s="115"/>
      <c r="O1011" s="115"/>
      <c r="P1011" s="115"/>
    </row>
    <row r="1012" spans="10:16" ht="12.5" x14ac:dyDescent="0.25">
      <c r="J1012" s="115"/>
      <c r="K1012" s="115"/>
      <c r="L1012" s="115"/>
      <c r="M1012" s="115"/>
      <c r="N1012" s="115"/>
      <c r="O1012" s="115"/>
      <c r="P1012" s="115"/>
    </row>
    <row r="1013" spans="10:16" ht="12.5" x14ac:dyDescent="0.25">
      <c r="J1013" s="115"/>
      <c r="K1013" s="115"/>
      <c r="L1013" s="115"/>
      <c r="M1013" s="115"/>
      <c r="N1013" s="115"/>
      <c r="O1013" s="115"/>
      <c r="P1013" s="115"/>
    </row>
    <row r="1014" spans="10:16" ht="12.5" x14ac:dyDescent="0.25">
      <c r="J1014" s="115"/>
      <c r="K1014" s="115"/>
      <c r="L1014" s="115"/>
      <c r="M1014" s="115"/>
      <c r="N1014" s="115"/>
      <c r="O1014" s="115"/>
      <c r="P1014" s="115"/>
    </row>
    <row r="1015" spans="10:16" ht="12.5" x14ac:dyDescent="0.25">
      <c r="J1015" s="115"/>
      <c r="K1015" s="115"/>
      <c r="L1015" s="115"/>
      <c r="M1015" s="115"/>
      <c r="N1015" s="115"/>
      <c r="O1015" s="115"/>
      <c r="P1015" s="115"/>
    </row>
    <row r="1016" spans="10:16" ht="12.5" x14ac:dyDescent="0.25">
      <c r="J1016" s="115"/>
      <c r="K1016" s="115"/>
      <c r="L1016" s="115"/>
      <c r="M1016" s="115"/>
      <c r="N1016" s="115"/>
      <c r="O1016" s="115"/>
      <c r="P1016" s="115"/>
    </row>
    <row r="1017" spans="10:16" ht="12.5" x14ac:dyDescent="0.25">
      <c r="J1017" s="115"/>
      <c r="K1017" s="115"/>
      <c r="L1017" s="115"/>
      <c r="M1017" s="115"/>
      <c r="N1017" s="115"/>
      <c r="O1017" s="115"/>
      <c r="P1017" s="115"/>
    </row>
    <row r="1018" spans="10:16" ht="12.5" x14ac:dyDescent="0.25">
      <c r="J1018" s="115"/>
      <c r="K1018" s="115"/>
      <c r="L1018" s="115"/>
      <c r="M1018" s="115"/>
      <c r="N1018" s="115"/>
      <c r="O1018" s="115"/>
      <c r="P1018" s="115"/>
    </row>
    <row r="1019" spans="10:16" ht="12.5" x14ac:dyDescent="0.25">
      <c r="J1019" s="115"/>
      <c r="K1019" s="115"/>
      <c r="L1019" s="115"/>
      <c r="M1019" s="115"/>
      <c r="N1019" s="115"/>
      <c r="O1019" s="115"/>
      <c r="P1019" s="115"/>
    </row>
    <row r="1020" spans="10:16" ht="12.5" x14ac:dyDescent="0.25">
      <c r="J1020" s="115"/>
      <c r="K1020" s="115"/>
      <c r="L1020" s="115"/>
      <c r="M1020" s="115"/>
      <c r="N1020" s="115"/>
      <c r="O1020" s="115"/>
      <c r="P1020" s="115"/>
    </row>
    <row r="1021" spans="10:16" ht="12.5" x14ac:dyDescent="0.25">
      <c r="J1021" s="115"/>
      <c r="K1021" s="115"/>
      <c r="L1021" s="115"/>
      <c r="M1021" s="115"/>
      <c r="N1021" s="115"/>
      <c r="O1021" s="115"/>
      <c r="P1021" s="115"/>
    </row>
    <row r="1022" spans="10:16" ht="12.5" x14ac:dyDescent="0.25">
      <c r="J1022" s="115"/>
      <c r="K1022" s="115"/>
      <c r="L1022" s="115"/>
      <c r="M1022" s="115"/>
      <c r="N1022" s="115"/>
      <c r="O1022" s="115"/>
      <c r="P1022" s="115"/>
    </row>
    <row r="1023" spans="10:16" ht="12.5" x14ac:dyDescent="0.25">
      <c r="J1023" s="115"/>
      <c r="K1023" s="115"/>
      <c r="L1023" s="115"/>
      <c r="M1023" s="115"/>
      <c r="N1023" s="115"/>
      <c r="O1023" s="115"/>
      <c r="P1023" s="115"/>
    </row>
    <row r="1024" spans="10:16" ht="12.5" x14ac:dyDescent="0.25">
      <c r="J1024" s="115"/>
      <c r="K1024" s="115"/>
      <c r="L1024" s="115"/>
      <c r="M1024" s="115"/>
      <c r="N1024" s="115"/>
      <c r="O1024" s="115"/>
      <c r="P1024" s="115"/>
    </row>
    <row r="1025" spans="10:16" ht="12.5" x14ac:dyDescent="0.25">
      <c r="J1025" s="115"/>
      <c r="K1025" s="115"/>
      <c r="L1025" s="115"/>
      <c r="M1025" s="115"/>
      <c r="N1025" s="115"/>
      <c r="O1025" s="115"/>
      <c r="P1025" s="115"/>
    </row>
    <row r="1026" spans="10:16" ht="12.5" x14ac:dyDescent="0.25">
      <c r="J1026" s="115"/>
      <c r="K1026" s="115"/>
      <c r="L1026" s="115"/>
      <c r="M1026" s="115"/>
      <c r="N1026" s="115"/>
      <c r="O1026" s="115"/>
      <c r="P1026" s="115"/>
    </row>
    <row r="1027" spans="10:16" ht="12.5" x14ac:dyDescent="0.25">
      <c r="J1027" s="115"/>
      <c r="K1027" s="115"/>
      <c r="L1027" s="115"/>
      <c r="M1027" s="115"/>
      <c r="N1027" s="115"/>
      <c r="O1027" s="115"/>
      <c r="P1027" s="115"/>
    </row>
    <row r="1028" spans="10:16" ht="12.5" x14ac:dyDescent="0.25">
      <c r="J1028" s="115"/>
      <c r="K1028" s="115"/>
      <c r="L1028" s="115"/>
      <c r="M1028" s="115"/>
      <c r="N1028" s="115"/>
      <c r="O1028" s="115"/>
      <c r="P1028" s="115"/>
    </row>
    <row r="1029" spans="10:16" ht="12.5" x14ac:dyDescent="0.25">
      <c r="J1029" s="115"/>
      <c r="K1029" s="115"/>
      <c r="L1029" s="115"/>
      <c r="M1029" s="115"/>
      <c r="N1029" s="115"/>
      <c r="O1029" s="115"/>
      <c r="P1029" s="115"/>
    </row>
    <row r="1030" spans="10:16" ht="12.5" x14ac:dyDescent="0.25">
      <c r="J1030" s="115"/>
      <c r="K1030" s="115"/>
      <c r="L1030" s="115"/>
      <c r="M1030" s="115"/>
      <c r="N1030" s="115"/>
      <c r="O1030" s="115"/>
      <c r="P1030" s="115"/>
    </row>
    <row r="1031" spans="10:16" ht="12.5" x14ac:dyDescent="0.25">
      <c r="J1031" s="115"/>
      <c r="K1031" s="115"/>
      <c r="L1031" s="115"/>
      <c r="M1031" s="115"/>
      <c r="N1031" s="115"/>
      <c r="O1031" s="115"/>
      <c r="P1031" s="115"/>
    </row>
    <row r="1032" spans="10:16" ht="12.5" x14ac:dyDescent="0.25">
      <c r="J1032" s="115"/>
      <c r="K1032" s="115"/>
      <c r="L1032" s="115"/>
      <c r="M1032" s="115"/>
      <c r="N1032" s="115"/>
      <c r="O1032" s="115"/>
      <c r="P1032" s="115"/>
    </row>
    <row r="1033" spans="10:16" ht="12.5" x14ac:dyDescent="0.25">
      <c r="J1033" s="115"/>
      <c r="K1033" s="115"/>
      <c r="L1033" s="115"/>
      <c r="M1033" s="115"/>
      <c r="N1033" s="115"/>
      <c r="O1033" s="115"/>
      <c r="P1033" s="115"/>
    </row>
    <row r="1034" spans="10:16" ht="12.5" x14ac:dyDescent="0.25">
      <c r="J1034" s="115"/>
      <c r="K1034" s="115"/>
      <c r="L1034" s="115"/>
      <c r="M1034" s="115"/>
      <c r="N1034" s="115"/>
      <c r="O1034" s="115"/>
      <c r="P1034" s="115"/>
    </row>
    <row r="1035" spans="10:16" ht="12.5" x14ac:dyDescent="0.25">
      <c r="J1035" s="115"/>
      <c r="K1035" s="115"/>
      <c r="L1035" s="115"/>
      <c r="M1035" s="115"/>
      <c r="N1035" s="115"/>
      <c r="O1035" s="115"/>
      <c r="P1035" s="115"/>
    </row>
    <row r="1036" spans="10:16" ht="12.5" x14ac:dyDescent="0.25">
      <c r="J1036" s="115"/>
      <c r="K1036" s="115"/>
      <c r="L1036" s="115"/>
      <c r="M1036" s="115"/>
      <c r="N1036" s="115"/>
      <c r="O1036" s="115"/>
      <c r="P1036" s="115"/>
    </row>
    <row r="1037" spans="10:16" ht="12.5" x14ac:dyDescent="0.25">
      <c r="J1037" s="115"/>
      <c r="K1037" s="115"/>
      <c r="L1037" s="115"/>
      <c r="M1037" s="115"/>
      <c r="N1037" s="115"/>
      <c r="O1037" s="115"/>
      <c r="P1037" s="115"/>
    </row>
    <row r="1038" spans="10:16" ht="12.5" x14ac:dyDescent="0.25">
      <c r="J1038" s="115"/>
      <c r="K1038" s="115"/>
      <c r="L1038" s="115"/>
      <c r="M1038" s="115"/>
      <c r="N1038" s="115"/>
      <c r="O1038" s="115"/>
      <c r="P1038" s="115"/>
    </row>
    <row r="1039" spans="10:16" ht="12.5" x14ac:dyDescent="0.25">
      <c r="J1039" s="115"/>
      <c r="K1039" s="115"/>
      <c r="L1039" s="115"/>
      <c r="M1039" s="115"/>
      <c r="N1039" s="115"/>
      <c r="O1039" s="115"/>
      <c r="P1039" s="115"/>
    </row>
    <row r="1040" spans="10:16" ht="12.5" x14ac:dyDescent="0.25">
      <c r="J1040" s="115"/>
      <c r="K1040" s="115"/>
      <c r="L1040" s="115"/>
      <c r="M1040" s="115"/>
      <c r="N1040" s="115"/>
      <c r="O1040" s="115"/>
      <c r="P1040" s="115"/>
    </row>
    <row r="1041" spans="10:16" ht="12.5" x14ac:dyDescent="0.25">
      <c r="J1041" s="115"/>
      <c r="K1041" s="115"/>
      <c r="L1041" s="115"/>
      <c r="M1041" s="115"/>
      <c r="N1041" s="115"/>
      <c r="O1041" s="115"/>
      <c r="P1041" s="115"/>
    </row>
    <row r="1042" spans="10:16" ht="12.5" x14ac:dyDescent="0.25">
      <c r="J1042" s="115"/>
      <c r="K1042" s="115"/>
      <c r="L1042" s="115"/>
      <c r="M1042" s="115"/>
      <c r="N1042" s="115"/>
      <c r="O1042" s="115"/>
      <c r="P1042" s="115"/>
    </row>
    <row r="1043" spans="10:16" ht="12.5" x14ac:dyDescent="0.25">
      <c r="J1043" s="115"/>
      <c r="K1043" s="115"/>
      <c r="L1043" s="115"/>
      <c r="M1043" s="115"/>
      <c r="N1043" s="115"/>
      <c r="O1043" s="115"/>
      <c r="P1043" s="115"/>
    </row>
    <row r="1044" spans="10:16" ht="12.5" x14ac:dyDescent="0.25">
      <c r="J1044" s="115"/>
      <c r="K1044" s="115"/>
      <c r="L1044" s="115"/>
      <c r="M1044" s="115"/>
      <c r="N1044" s="115"/>
      <c r="O1044" s="115"/>
      <c r="P1044" s="115"/>
    </row>
  </sheetData>
  <mergeCells count="419">
    <mergeCell ref="D114:I114"/>
    <mergeCell ref="K114:L114"/>
    <mergeCell ref="K117:L117"/>
    <mergeCell ref="K118:L118"/>
    <mergeCell ref="K119:L119"/>
    <mergeCell ref="M119:N119"/>
    <mergeCell ref="O119:P119"/>
    <mergeCell ref="Q119:V119"/>
    <mergeCell ref="D120:N120"/>
    <mergeCell ref="O120:P120"/>
    <mergeCell ref="M114:N114"/>
    <mergeCell ref="O114:P114"/>
    <mergeCell ref="Q114:V114"/>
    <mergeCell ref="K115:L115"/>
    <mergeCell ref="M115:N115"/>
    <mergeCell ref="O115:P115"/>
    <mergeCell ref="Q115:V115"/>
    <mergeCell ref="K112:L112"/>
    <mergeCell ref="M112:N112"/>
    <mergeCell ref="K113:L113"/>
    <mergeCell ref="M113:N113"/>
    <mergeCell ref="O113:P113"/>
    <mergeCell ref="K109:L109"/>
    <mergeCell ref="M109:N109"/>
    <mergeCell ref="O109:P109"/>
    <mergeCell ref="Q109:V109"/>
    <mergeCell ref="D110:I110"/>
    <mergeCell ref="O112:P112"/>
    <mergeCell ref="Q112:V112"/>
    <mergeCell ref="Q113:V113"/>
    <mergeCell ref="O110:P110"/>
    <mergeCell ref="Q110:V110"/>
    <mergeCell ref="K111:L111"/>
    <mergeCell ref="M111:N111"/>
    <mergeCell ref="O111:P111"/>
    <mergeCell ref="Q111:V111"/>
    <mergeCell ref="D112:I112"/>
    <mergeCell ref="O117:P117"/>
    <mergeCell ref="Q117:V117"/>
    <mergeCell ref="M118:N118"/>
    <mergeCell ref="O118:P118"/>
    <mergeCell ref="D116:I116"/>
    <mergeCell ref="K116:L116"/>
    <mergeCell ref="M116:N116"/>
    <mergeCell ref="O116:P116"/>
    <mergeCell ref="Q116:V116"/>
    <mergeCell ref="M117:N117"/>
    <mergeCell ref="D118:I118"/>
    <mergeCell ref="Q118:V118"/>
    <mergeCell ref="O108:P108"/>
    <mergeCell ref="Q108:V108"/>
    <mergeCell ref="K106:L106"/>
    <mergeCell ref="M106:N106"/>
    <mergeCell ref="K107:L107"/>
    <mergeCell ref="M107:N107"/>
    <mergeCell ref="O107:P107"/>
    <mergeCell ref="Q107:V107"/>
    <mergeCell ref="D108:I108"/>
    <mergeCell ref="K108:L108"/>
    <mergeCell ref="M108:N108"/>
    <mergeCell ref="O106:P106"/>
    <mergeCell ref="Q106:V106"/>
    <mergeCell ref="K104:L104"/>
    <mergeCell ref="M104:N104"/>
    <mergeCell ref="K105:L105"/>
    <mergeCell ref="M105:N105"/>
    <mergeCell ref="O105:P105"/>
    <mergeCell ref="Q105:V105"/>
    <mergeCell ref="D106:I106"/>
    <mergeCell ref="K100:L100"/>
    <mergeCell ref="M100:N100"/>
    <mergeCell ref="K101:L101"/>
    <mergeCell ref="M101:N101"/>
    <mergeCell ref="O101:P101"/>
    <mergeCell ref="Q101:V101"/>
    <mergeCell ref="D102:I102"/>
    <mergeCell ref="O104:P104"/>
    <mergeCell ref="Q104:V104"/>
    <mergeCell ref="K102:L102"/>
    <mergeCell ref="M102:N102"/>
    <mergeCell ref="K103:L103"/>
    <mergeCell ref="M103:N103"/>
    <mergeCell ref="O103:P103"/>
    <mergeCell ref="Q103:V103"/>
    <mergeCell ref="D104:I104"/>
    <mergeCell ref="D90:I90"/>
    <mergeCell ref="K90:L90"/>
    <mergeCell ref="K110:L110"/>
    <mergeCell ref="M110:N110"/>
    <mergeCell ref="O98:P98"/>
    <mergeCell ref="Q98:V98"/>
    <mergeCell ref="K96:L96"/>
    <mergeCell ref="M96:N96"/>
    <mergeCell ref="K97:L97"/>
    <mergeCell ref="M97:N97"/>
    <mergeCell ref="O97:P97"/>
    <mergeCell ref="Q97:V97"/>
    <mergeCell ref="D98:I98"/>
    <mergeCell ref="O100:P100"/>
    <mergeCell ref="Q100:V100"/>
    <mergeCell ref="K98:L98"/>
    <mergeCell ref="M98:N98"/>
    <mergeCell ref="K99:L99"/>
    <mergeCell ref="M99:N99"/>
    <mergeCell ref="O99:P99"/>
    <mergeCell ref="Q99:V99"/>
    <mergeCell ref="D100:I100"/>
    <mergeCell ref="O102:P102"/>
    <mergeCell ref="Q102:V102"/>
    <mergeCell ref="M90:N90"/>
    <mergeCell ref="O90:P90"/>
    <mergeCell ref="Q90:V90"/>
    <mergeCell ref="K91:L91"/>
    <mergeCell ref="M91:N91"/>
    <mergeCell ref="O91:P91"/>
    <mergeCell ref="Q91:V91"/>
    <mergeCell ref="K88:L88"/>
    <mergeCell ref="M88:N88"/>
    <mergeCell ref="K89:L89"/>
    <mergeCell ref="M89:N89"/>
    <mergeCell ref="O89:P89"/>
    <mergeCell ref="K85:L85"/>
    <mergeCell ref="M85:N85"/>
    <mergeCell ref="O85:P85"/>
    <mergeCell ref="Q85:V85"/>
    <mergeCell ref="D86:I86"/>
    <mergeCell ref="O88:P88"/>
    <mergeCell ref="Q88:V88"/>
    <mergeCell ref="Q89:V89"/>
    <mergeCell ref="O86:P86"/>
    <mergeCell ref="Q86:V86"/>
    <mergeCell ref="K87:L87"/>
    <mergeCell ref="M87:N87"/>
    <mergeCell ref="O87:P87"/>
    <mergeCell ref="Q87:V87"/>
    <mergeCell ref="D88:I88"/>
    <mergeCell ref="O96:P96"/>
    <mergeCell ref="Q96:V96"/>
    <mergeCell ref="K93:L93"/>
    <mergeCell ref="K94:L94"/>
    <mergeCell ref="K95:L95"/>
    <mergeCell ref="M95:N95"/>
    <mergeCell ref="O95:P95"/>
    <mergeCell ref="Q95:V95"/>
    <mergeCell ref="D96:I96"/>
    <mergeCell ref="O93:P93"/>
    <mergeCell ref="Q93:V93"/>
    <mergeCell ref="M94:N94"/>
    <mergeCell ref="O94:P94"/>
    <mergeCell ref="D92:I92"/>
    <mergeCell ref="K92:L92"/>
    <mergeCell ref="M92:N92"/>
    <mergeCell ref="O92:P92"/>
    <mergeCell ref="Q92:V92"/>
    <mergeCell ref="M93:N93"/>
    <mergeCell ref="D94:I94"/>
    <mergeCell ref="Q94:V94"/>
    <mergeCell ref="O84:P84"/>
    <mergeCell ref="Q84:V84"/>
    <mergeCell ref="K82:L82"/>
    <mergeCell ref="M82:N82"/>
    <mergeCell ref="K83:L83"/>
    <mergeCell ref="M83:N83"/>
    <mergeCell ref="O83:P83"/>
    <mergeCell ref="Q83:V83"/>
    <mergeCell ref="D84:I84"/>
    <mergeCell ref="K84:L84"/>
    <mergeCell ref="M84:N84"/>
    <mergeCell ref="O82:P82"/>
    <mergeCell ref="Q82:V82"/>
    <mergeCell ref="K80:L80"/>
    <mergeCell ref="M80:N80"/>
    <mergeCell ref="K81:L81"/>
    <mergeCell ref="M81:N81"/>
    <mergeCell ref="O81:P81"/>
    <mergeCell ref="Q81:V81"/>
    <mergeCell ref="D82:I82"/>
    <mergeCell ref="O80:P80"/>
    <mergeCell ref="Q80:V80"/>
    <mergeCell ref="K78:L78"/>
    <mergeCell ref="M78:N78"/>
    <mergeCell ref="K79:L79"/>
    <mergeCell ref="M79:N79"/>
    <mergeCell ref="O79:P79"/>
    <mergeCell ref="Q79:V79"/>
    <mergeCell ref="D80:I80"/>
    <mergeCell ref="O78:P78"/>
    <mergeCell ref="Q78:V78"/>
    <mergeCell ref="K76:L76"/>
    <mergeCell ref="M76:N76"/>
    <mergeCell ref="K77:L77"/>
    <mergeCell ref="M77:N77"/>
    <mergeCell ref="O77:P77"/>
    <mergeCell ref="Q77:V77"/>
    <mergeCell ref="D78:I78"/>
    <mergeCell ref="O64:P64"/>
    <mergeCell ref="Q64:V64"/>
    <mergeCell ref="Q65:V65"/>
    <mergeCell ref="M66:N66"/>
    <mergeCell ref="O66:P66"/>
    <mergeCell ref="Q66:V66"/>
    <mergeCell ref="K86:L86"/>
    <mergeCell ref="M86:N86"/>
    <mergeCell ref="D62:I62"/>
    <mergeCell ref="D63:I63"/>
    <mergeCell ref="K63:L63"/>
    <mergeCell ref="M63:N63"/>
    <mergeCell ref="O63:P63"/>
    <mergeCell ref="Q63:V63"/>
    <mergeCell ref="D64:I64"/>
    <mergeCell ref="K64:L64"/>
    <mergeCell ref="M64:N64"/>
    <mergeCell ref="K65:L65"/>
    <mergeCell ref="M65:N65"/>
    <mergeCell ref="O65:P65"/>
    <mergeCell ref="D66:I66"/>
    <mergeCell ref="K66:L66"/>
    <mergeCell ref="K71:L71"/>
    <mergeCell ref="D72:I72"/>
    <mergeCell ref="M62:N62"/>
    <mergeCell ref="O62:P62"/>
    <mergeCell ref="D61:I61"/>
    <mergeCell ref="K61:L61"/>
    <mergeCell ref="M61:N61"/>
    <mergeCell ref="O61:P61"/>
    <mergeCell ref="Q61:V61"/>
    <mergeCell ref="K62:L62"/>
    <mergeCell ref="Q62:V62"/>
    <mergeCell ref="O60:P60"/>
    <mergeCell ref="Q60:V60"/>
    <mergeCell ref="D58:I58"/>
    <mergeCell ref="D59:I59"/>
    <mergeCell ref="K59:L59"/>
    <mergeCell ref="M59:N59"/>
    <mergeCell ref="O59:P59"/>
    <mergeCell ref="Q59:V59"/>
    <mergeCell ref="D60:I60"/>
    <mergeCell ref="D74:I74"/>
    <mergeCell ref="K74:L74"/>
    <mergeCell ref="Q74:V74"/>
    <mergeCell ref="O76:P76"/>
    <mergeCell ref="Q76:V76"/>
    <mergeCell ref="M74:N74"/>
    <mergeCell ref="O74:P74"/>
    <mergeCell ref="K75:L75"/>
    <mergeCell ref="M75:N75"/>
    <mergeCell ref="O75:P75"/>
    <mergeCell ref="Q75:V75"/>
    <mergeCell ref="D76:I76"/>
    <mergeCell ref="K69:L69"/>
    <mergeCell ref="M69:N69"/>
    <mergeCell ref="O69:P69"/>
    <mergeCell ref="Q69:V69"/>
    <mergeCell ref="D70:I70"/>
    <mergeCell ref="K70:L70"/>
    <mergeCell ref="K73:L73"/>
    <mergeCell ref="M73:N73"/>
    <mergeCell ref="O73:P73"/>
    <mergeCell ref="Q73:V73"/>
    <mergeCell ref="K72:L72"/>
    <mergeCell ref="M72:N72"/>
    <mergeCell ref="O72:P72"/>
    <mergeCell ref="M70:N70"/>
    <mergeCell ref="O70:P70"/>
    <mergeCell ref="Q70:V70"/>
    <mergeCell ref="M71:N71"/>
    <mergeCell ref="O71:P71"/>
    <mergeCell ref="Q71:V71"/>
    <mergeCell ref="Q72:V72"/>
    <mergeCell ref="K67:L67"/>
    <mergeCell ref="M67:N67"/>
    <mergeCell ref="O67:P67"/>
    <mergeCell ref="Q67:V67"/>
    <mergeCell ref="D68:I68"/>
    <mergeCell ref="K68:L68"/>
    <mergeCell ref="M68:N68"/>
    <mergeCell ref="O68:P68"/>
    <mergeCell ref="Q68:V68"/>
    <mergeCell ref="Z39:AA39"/>
    <mergeCell ref="Z40:AA40"/>
    <mergeCell ref="T37:U37"/>
    <mergeCell ref="X37:Y37"/>
    <mergeCell ref="X38:Y38"/>
    <mergeCell ref="Z38:AA38"/>
    <mergeCell ref="T39:U39"/>
    <mergeCell ref="X39:Y40"/>
    <mergeCell ref="T40:V40"/>
    <mergeCell ref="F37:G37"/>
    <mergeCell ref="D50:F50"/>
    <mergeCell ref="D51:F51"/>
    <mergeCell ref="D52:G52"/>
    <mergeCell ref="D53:G53"/>
    <mergeCell ref="D42:H43"/>
    <mergeCell ref="D44:F44"/>
    <mergeCell ref="D45:F45"/>
    <mergeCell ref="D46:F46"/>
    <mergeCell ref="D47:F47"/>
    <mergeCell ref="D48:F48"/>
    <mergeCell ref="D49:F49"/>
    <mergeCell ref="Z14:AA14"/>
    <mergeCell ref="D12:H13"/>
    <mergeCell ref="J12:P13"/>
    <mergeCell ref="X12:AA12"/>
    <mergeCell ref="X13:Y13"/>
    <mergeCell ref="Z13:AA13"/>
    <mergeCell ref="D14:G14"/>
    <mergeCell ref="J14:K14"/>
    <mergeCell ref="X27:Y27"/>
    <mergeCell ref="T23:U23"/>
    <mergeCell ref="T24:U24"/>
    <mergeCell ref="T25:U25"/>
    <mergeCell ref="T26:U26"/>
    <mergeCell ref="X26:AA26"/>
    <mergeCell ref="T27:U27"/>
    <mergeCell ref="R22:S22"/>
    <mergeCell ref="R23:S23"/>
    <mergeCell ref="R24:S24"/>
    <mergeCell ref="R25:S25"/>
    <mergeCell ref="R26:S26"/>
    <mergeCell ref="R27:S27"/>
    <mergeCell ref="D25:F25"/>
    <mergeCell ref="D26:F26"/>
    <mergeCell ref="D27:F27"/>
    <mergeCell ref="D2:E2"/>
    <mergeCell ref="G2:L2"/>
    <mergeCell ref="D3:E3"/>
    <mergeCell ref="N3:Q5"/>
    <mergeCell ref="H4:I4"/>
    <mergeCell ref="J4:K4"/>
    <mergeCell ref="H5:I5"/>
    <mergeCell ref="R12:V13"/>
    <mergeCell ref="R14:S14"/>
    <mergeCell ref="T14:U14"/>
    <mergeCell ref="K60:L60"/>
    <mergeCell ref="M60:N60"/>
    <mergeCell ref="J5:K5"/>
    <mergeCell ref="S5:X5"/>
    <mergeCell ref="U8:V8"/>
    <mergeCell ref="W8:X8"/>
    <mergeCell ref="N6:Q6"/>
    <mergeCell ref="N7:P7"/>
    <mergeCell ref="S7:T7"/>
    <mergeCell ref="U7:V7"/>
    <mergeCell ref="W7:X7"/>
    <mergeCell ref="N8:P8"/>
    <mergeCell ref="S8:T8"/>
    <mergeCell ref="X14:Y14"/>
    <mergeCell ref="X28:Y28"/>
    <mergeCell ref="T28:U28"/>
    <mergeCell ref="R31:S31"/>
    <mergeCell ref="R33:S33"/>
    <mergeCell ref="R29:S29"/>
    <mergeCell ref="X34:AA34"/>
    <mergeCell ref="X35:Y35"/>
    <mergeCell ref="Z35:AA35"/>
    <mergeCell ref="T29:U29"/>
    <mergeCell ref="X29:Y29"/>
    <mergeCell ref="D23:H24"/>
    <mergeCell ref="T33:U33"/>
    <mergeCell ref="T34:U34"/>
    <mergeCell ref="R35:S35"/>
    <mergeCell ref="T35:U35"/>
    <mergeCell ref="T36:U36"/>
    <mergeCell ref="X36:AA36"/>
    <mergeCell ref="R37:S37"/>
    <mergeCell ref="Z37:AA37"/>
    <mergeCell ref="T30:U30"/>
    <mergeCell ref="X30:Y30"/>
    <mergeCell ref="T31:U31"/>
    <mergeCell ref="T32:U32"/>
    <mergeCell ref="X32:AA33"/>
    <mergeCell ref="D28:F28"/>
    <mergeCell ref="D29:F29"/>
    <mergeCell ref="D30:F30"/>
    <mergeCell ref="D31:F31"/>
    <mergeCell ref="D32:F32"/>
    <mergeCell ref="D33:F33"/>
    <mergeCell ref="D34:F34"/>
    <mergeCell ref="D35:F35"/>
    <mergeCell ref="D36:E37"/>
    <mergeCell ref="F36:G36"/>
    <mergeCell ref="R21:S21"/>
    <mergeCell ref="T21:U21"/>
    <mergeCell ref="T22:U22"/>
    <mergeCell ref="D16:G16"/>
    <mergeCell ref="D17:G17"/>
    <mergeCell ref="D18:G18"/>
    <mergeCell ref="D19:G19"/>
    <mergeCell ref="D20:G20"/>
    <mergeCell ref="D21:G21"/>
    <mergeCell ref="R17:S17"/>
    <mergeCell ref="T17:U17"/>
    <mergeCell ref="Z17:AA17"/>
    <mergeCell ref="R18:S18"/>
    <mergeCell ref="T18:U18"/>
    <mergeCell ref="R19:S19"/>
    <mergeCell ref="T19:U19"/>
    <mergeCell ref="R20:S20"/>
    <mergeCell ref="T20:U20"/>
    <mergeCell ref="D15:G15"/>
    <mergeCell ref="R15:S15"/>
    <mergeCell ref="T15:U15"/>
    <mergeCell ref="Z15:AA15"/>
    <mergeCell ref="R16:S16"/>
    <mergeCell ref="T16:U16"/>
    <mergeCell ref="Z16:AA16"/>
    <mergeCell ref="X15:Y15"/>
    <mergeCell ref="X16:Y16"/>
    <mergeCell ref="D39:F40"/>
    <mergeCell ref="G39:H40"/>
    <mergeCell ref="R39:S39"/>
    <mergeCell ref="R40:S40"/>
    <mergeCell ref="J42:R42"/>
    <mergeCell ref="T42:V42"/>
    <mergeCell ref="D56:V57"/>
    <mergeCell ref="K58:L58"/>
    <mergeCell ref="Q58:V58"/>
    <mergeCell ref="M58:N58"/>
    <mergeCell ref="O58:P58"/>
  </mergeCells>
  <conditionalFormatting sqref="Z39:AA40">
    <cfRule type="cellIs" dxfId="7" priority="1" operator="greaterThanOrEqual">
      <formula>0</formula>
    </cfRule>
    <cfRule type="cellIs" dxfId="6" priority="3" operator="lessThan">
      <formula>0</formula>
    </cfRule>
    <cfRule type="containsText" dxfId="5" priority="4" operator="containsText" text="falta">
      <formula>NOT(ISERROR(SEARCH(("falta"),(Z39))))</formula>
    </cfRule>
  </conditionalFormatting>
  <conditionalFormatting sqref="Z40:AA40">
    <cfRule type="containsText" dxfId="4" priority="2" operator="containsText" text="sobra">
      <formula>NOT(ISERROR(SEARCH(("sobra"),(Z40))))</formula>
    </cfRule>
  </conditionalFormatting>
  <dataValidations count="3">
    <dataValidation type="list" allowBlank="1" showErrorMessage="1" sqref="G45:G51" xr:uid="{00000000-0002-0000-0C00-000000000000}">
      <formula1>"Ahorro,Inversión"</formula1>
    </dataValidation>
    <dataValidation type="list" allowBlank="1" showErrorMessage="1" sqref="K59:K119" xr:uid="{00000000-0002-0000-0C00-000001000000}">
      <formula1>"Transporte,Alimentación,Restaurantes,Delivery,Bares,Ropa,Belleza,Gasolina,Hogar,Tarjeta de crédito,Ocio,Pequeñas compras,Tasas/Impuestos,Viajes/vacaciones,Tecnología,Reparaciones,Salud,Higiene,Cursos/Formación/Trabajo,Mascotas,Familia,Otros,Préstamos"</formula1>
    </dataValidation>
    <dataValidation type="list" allowBlank="1" showErrorMessage="1" sqref="N15:N39 M59:M119" xr:uid="{00000000-0002-0000-0C00-000002000000}">
      <formula1>"Transferencia,Tarjeta de débito,Efectivo,Tarjeta de crédito"</formula1>
    </dataValidation>
  </dataValidation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D1044"/>
  <sheetViews>
    <sheetView workbookViewId="0"/>
  </sheetViews>
  <sheetFormatPr baseColWidth="10" defaultColWidth="12.6328125" defaultRowHeight="15.75" customHeight="1" x14ac:dyDescent="0.25"/>
  <cols>
    <col min="7" max="7" width="13.7265625" customWidth="1"/>
    <col min="14" max="14" width="17.6328125" customWidth="1"/>
  </cols>
  <sheetData>
    <row r="1" spans="1:30" ht="15.7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8"/>
      <c r="O1" s="28"/>
      <c r="P1" s="28"/>
      <c r="Q1" s="28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x14ac:dyDescent="0.3">
      <c r="A2" s="2"/>
      <c r="B2" s="2"/>
      <c r="C2" s="2"/>
      <c r="D2" s="254" t="s">
        <v>45</v>
      </c>
      <c r="E2" s="200"/>
      <c r="F2" s="11"/>
      <c r="G2" s="244" t="s">
        <v>46</v>
      </c>
      <c r="H2" s="245"/>
      <c r="I2" s="245"/>
      <c r="J2" s="245"/>
      <c r="K2" s="245"/>
      <c r="L2" s="246"/>
      <c r="M2" s="29"/>
      <c r="N2" s="11"/>
      <c r="O2" s="11"/>
      <c r="P2" s="11"/>
      <c r="Q2" s="11"/>
      <c r="R2" s="11"/>
      <c r="S2" s="11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5.75" customHeight="1" x14ac:dyDescent="0.4">
      <c r="A3" s="2"/>
      <c r="B3" s="2"/>
      <c r="C3" s="2"/>
      <c r="D3" s="255">
        <f>CTAS!L8</f>
        <v>0</v>
      </c>
      <c r="E3" s="236"/>
      <c r="F3" s="2"/>
      <c r="G3" s="2"/>
      <c r="H3" s="2"/>
      <c r="I3" s="2"/>
      <c r="J3" s="2"/>
      <c r="K3" s="2"/>
      <c r="L3" s="2"/>
      <c r="M3" s="11"/>
      <c r="N3" s="256" t="s">
        <v>11</v>
      </c>
      <c r="O3" s="209"/>
      <c r="P3" s="209"/>
      <c r="Q3" s="129"/>
      <c r="R3" s="30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3">
      <c r="A4" s="2"/>
      <c r="B4" s="2"/>
      <c r="C4" s="2"/>
      <c r="D4" s="28"/>
      <c r="E4" s="28"/>
      <c r="F4" s="2"/>
      <c r="G4" s="28"/>
      <c r="H4" s="259" t="s">
        <v>15</v>
      </c>
      <c r="I4" s="224"/>
      <c r="J4" s="260" t="s">
        <v>47</v>
      </c>
      <c r="K4" s="119"/>
      <c r="L4" s="31" t="s">
        <v>14</v>
      </c>
      <c r="M4" s="32"/>
      <c r="N4" s="257"/>
      <c r="O4" s="197"/>
      <c r="P4" s="197"/>
      <c r="Q4" s="258"/>
      <c r="R4" s="30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x14ac:dyDescent="0.3">
      <c r="A5" s="2"/>
      <c r="B5" s="2"/>
      <c r="C5" s="2"/>
      <c r="D5" s="2"/>
      <c r="E5" s="2"/>
      <c r="F5" s="2"/>
      <c r="G5" s="33" t="s">
        <v>48</v>
      </c>
      <c r="H5" s="261">
        <f>H37</f>
        <v>0</v>
      </c>
      <c r="I5" s="219"/>
      <c r="J5" s="243">
        <f>G39</f>
        <v>0</v>
      </c>
      <c r="K5" s="201"/>
      <c r="L5" s="34">
        <f>H5+J5</f>
        <v>0</v>
      </c>
      <c r="M5" s="32"/>
      <c r="N5" s="257"/>
      <c r="O5" s="197"/>
      <c r="P5" s="197"/>
      <c r="Q5" s="258"/>
      <c r="R5" s="29"/>
      <c r="S5" s="244" t="s">
        <v>49</v>
      </c>
      <c r="T5" s="245"/>
      <c r="U5" s="245"/>
      <c r="V5" s="245"/>
      <c r="W5" s="245"/>
      <c r="X5" s="246"/>
      <c r="Y5" s="30"/>
      <c r="Z5" s="2"/>
      <c r="AA5" s="2"/>
      <c r="AB5" s="2"/>
      <c r="AC5" s="2"/>
      <c r="AD5" s="2"/>
    </row>
    <row r="6" spans="1:30" ht="15.75" customHeight="1" x14ac:dyDescent="0.25">
      <c r="A6" s="2"/>
      <c r="B6" s="2"/>
      <c r="C6" s="2"/>
      <c r="D6" s="35"/>
      <c r="E6" s="35"/>
      <c r="F6" s="2"/>
      <c r="G6" s="35"/>
      <c r="H6" s="2"/>
      <c r="I6" s="36"/>
      <c r="J6" s="37"/>
      <c r="K6" s="37"/>
      <c r="L6" s="37"/>
      <c r="M6" s="38"/>
      <c r="N6" s="248">
        <v>2026</v>
      </c>
      <c r="O6" s="218"/>
      <c r="P6" s="218"/>
      <c r="Q6" s="249"/>
      <c r="R6" s="30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x14ac:dyDescent="0.3">
      <c r="A7" s="2"/>
      <c r="B7" s="2"/>
      <c r="C7" s="2"/>
      <c r="D7" s="2"/>
      <c r="E7" s="2"/>
      <c r="F7" s="2"/>
      <c r="G7" s="2"/>
      <c r="H7" s="39" t="s">
        <v>50</v>
      </c>
      <c r="I7" s="39" t="s">
        <v>51</v>
      </c>
      <c r="J7" s="7" t="s">
        <v>19</v>
      </c>
      <c r="K7" s="7" t="s">
        <v>52</v>
      </c>
      <c r="L7" s="7" t="s">
        <v>14</v>
      </c>
      <c r="M7" s="40"/>
      <c r="N7" s="250" t="s">
        <v>53</v>
      </c>
      <c r="O7" s="224"/>
      <c r="P7" s="227"/>
      <c r="Q7" s="41">
        <v>46357</v>
      </c>
      <c r="R7" s="30"/>
      <c r="S7" s="251" t="s">
        <v>54</v>
      </c>
      <c r="T7" s="219"/>
      <c r="U7" s="252" t="s">
        <v>55</v>
      </c>
      <c r="V7" s="219"/>
      <c r="W7" s="253" t="s">
        <v>56</v>
      </c>
      <c r="X7" s="219"/>
      <c r="Y7" s="2"/>
      <c r="Z7" s="2"/>
      <c r="AA7" s="2"/>
      <c r="AB7" s="2"/>
      <c r="AC7" s="2"/>
      <c r="AD7" s="2"/>
    </row>
    <row r="8" spans="1:30" x14ac:dyDescent="0.3">
      <c r="A8" s="2"/>
      <c r="B8" s="2"/>
      <c r="C8" s="2"/>
      <c r="D8" s="2"/>
      <c r="E8" s="2"/>
      <c r="F8" s="2"/>
      <c r="G8" s="42" t="s">
        <v>55</v>
      </c>
      <c r="H8" s="43">
        <f>M40</f>
        <v>0</v>
      </c>
      <c r="I8" s="44">
        <f>O120</f>
        <v>0</v>
      </c>
      <c r="J8" s="45">
        <f>H52</f>
        <v>0</v>
      </c>
      <c r="K8" s="45">
        <f>H53</f>
        <v>0</v>
      </c>
      <c r="L8" s="46">
        <f>SUM(H8:K8)</f>
        <v>0</v>
      </c>
      <c r="M8" s="40"/>
      <c r="N8" s="250" t="s">
        <v>57</v>
      </c>
      <c r="O8" s="224"/>
      <c r="P8" s="227"/>
      <c r="Q8" s="41">
        <v>46387</v>
      </c>
      <c r="R8" s="30"/>
      <c r="S8" s="247">
        <f>L5</f>
        <v>0</v>
      </c>
      <c r="T8" s="142"/>
      <c r="U8" s="247">
        <f>L8</f>
        <v>0</v>
      </c>
      <c r="V8" s="142"/>
      <c r="W8" s="247">
        <f>S8-U8</f>
        <v>0</v>
      </c>
      <c r="X8" s="142"/>
      <c r="Y8" s="2"/>
      <c r="Z8" s="2"/>
      <c r="AA8" s="2"/>
      <c r="AB8" s="2"/>
      <c r="AC8" s="2"/>
      <c r="AD8" s="2"/>
    </row>
    <row r="9" spans="1:30" ht="15.75" customHeight="1" x14ac:dyDescent="0.25">
      <c r="A9" s="2"/>
      <c r="B9" s="2"/>
      <c r="C9" s="2"/>
      <c r="D9" s="47"/>
      <c r="E9" s="47"/>
      <c r="F9" s="2"/>
      <c r="G9" s="2"/>
      <c r="H9" s="35"/>
      <c r="I9" s="35"/>
      <c r="J9" s="48"/>
      <c r="K9" s="48"/>
      <c r="L9" s="48"/>
      <c r="M9" s="49"/>
      <c r="N9" s="49"/>
      <c r="O9" s="49"/>
      <c r="P9" s="49"/>
      <c r="Q9" s="49"/>
      <c r="R9" s="49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15.75" customHeight="1" x14ac:dyDescent="0.25">
      <c r="A10" s="2"/>
      <c r="B10" s="2"/>
      <c r="C10" s="2"/>
      <c r="D10" s="35"/>
      <c r="E10" s="35"/>
      <c r="F10" s="2"/>
      <c r="G10" s="2"/>
      <c r="H10" s="2"/>
      <c r="I10" s="2"/>
      <c r="J10" s="49"/>
      <c r="K10" s="49"/>
      <c r="L10" s="49"/>
      <c r="M10" s="49"/>
      <c r="N10" s="49"/>
      <c r="O10" s="49"/>
      <c r="P10" s="49"/>
      <c r="Q10" s="49"/>
      <c r="R10" s="49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15.75" customHeight="1" x14ac:dyDescent="0.25">
      <c r="A11" s="2"/>
      <c r="B11" s="2"/>
      <c r="C11" s="2"/>
      <c r="D11" s="28"/>
      <c r="E11" s="28"/>
      <c r="F11" s="28"/>
      <c r="G11" s="28"/>
      <c r="H11" s="28"/>
      <c r="I11" s="2"/>
      <c r="J11" s="50"/>
      <c r="K11" s="50"/>
      <c r="L11" s="50"/>
      <c r="M11" s="50"/>
      <c r="N11" s="50"/>
      <c r="O11" s="50"/>
      <c r="P11" s="50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15.75" customHeight="1" x14ac:dyDescent="0.35">
      <c r="A12" s="2"/>
      <c r="B12" s="2"/>
      <c r="C12" s="11"/>
      <c r="D12" s="215" t="s">
        <v>58</v>
      </c>
      <c r="E12" s="209"/>
      <c r="F12" s="209"/>
      <c r="G12" s="209"/>
      <c r="H12" s="129"/>
      <c r="I12" s="29"/>
      <c r="J12" s="216" t="s">
        <v>16</v>
      </c>
      <c r="K12" s="209"/>
      <c r="L12" s="209"/>
      <c r="M12" s="209"/>
      <c r="N12" s="209"/>
      <c r="O12" s="209"/>
      <c r="P12" s="129"/>
      <c r="Q12" s="30"/>
      <c r="R12" s="208" t="s">
        <v>17</v>
      </c>
      <c r="S12" s="209"/>
      <c r="T12" s="209"/>
      <c r="U12" s="209"/>
      <c r="V12" s="129"/>
      <c r="X12" s="217" t="s">
        <v>18</v>
      </c>
      <c r="Y12" s="218"/>
      <c r="Z12" s="218"/>
      <c r="AA12" s="219"/>
      <c r="AB12" s="2"/>
      <c r="AC12" s="2"/>
      <c r="AD12" s="2"/>
    </row>
    <row r="13" spans="1:30" ht="15.75" customHeight="1" x14ac:dyDescent="0.25">
      <c r="A13" s="2"/>
      <c r="B13" s="2"/>
      <c r="C13" s="11"/>
      <c r="D13" s="130"/>
      <c r="E13" s="200"/>
      <c r="F13" s="200"/>
      <c r="G13" s="200"/>
      <c r="H13" s="131"/>
      <c r="I13" s="29"/>
      <c r="J13" s="130"/>
      <c r="K13" s="200"/>
      <c r="L13" s="200"/>
      <c r="M13" s="200"/>
      <c r="N13" s="200"/>
      <c r="O13" s="200"/>
      <c r="P13" s="131"/>
      <c r="Q13" s="30"/>
      <c r="R13" s="130"/>
      <c r="S13" s="200"/>
      <c r="T13" s="200"/>
      <c r="U13" s="200"/>
      <c r="V13" s="131"/>
      <c r="W13" s="2"/>
      <c r="X13" s="220" t="s">
        <v>59</v>
      </c>
      <c r="Y13" s="221"/>
      <c r="Z13" s="222">
        <f>M40</f>
        <v>0</v>
      </c>
      <c r="AA13" s="198"/>
      <c r="AB13" s="2"/>
      <c r="AC13" s="2"/>
      <c r="AD13" s="2"/>
    </row>
    <row r="14" spans="1:30" ht="15.75" customHeight="1" x14ac:dyDescent="0.25">
      <c r="A14" s="2"/>
      <c r="B14" s="2"/>
      <c r="C14" s="11"/>
      <c r="D14" s="223" t="s">
        <v>62</v>
      </c>
      <c r="E14" s="224"/>
      <c r="F14" s="224"/>
      <c r="G14" s="225"/>
      <c r="H14" s="51" t="s">
        <v>61</v>
      </c>
      <c r="I14" s="29"/>
      <c r="J14" s="266" t="s">
        <v>62</v>
      </c>
      <c r="K14" s="119"/>
      <c r="L14" s="52" t="s">
        <v>63</v>
      </c>
      <c r="M14" s="52" t="s">
        <v>64</v>
      </c>
      <c r="N14" s="52" t="s">
        <v>65</v>
      </c>
      <c r="O14" s="52" t="s">
        <v>104</v>
      </c>
      <c r="P14" s="52" t="s">
        <v>67</v>
      </c>
      <c r="Q14" s="29"/>
      <c r="R14" s="210" t="s">
        <v>68</v>
      </c>
      <c r="S14" s="119"/>
      <c r="T14" s="210" t="s">
        <v>69</v>
      </c>
      <c r="U14" s="119"/>
      <c r="V14" s="53" t="s">
        <v>70</v>
      </c>
      <c r="W14" s="29"/>
      <c r="X14" s="262" t="s">
        <v>71</v>
      </c>
      <c r="Y14" s="263"/>
      <c r="Z14" s="264">
        <f>O120</f>
        <v>0</v>
      </c>
      <c r="AA14" s="265"/>
      <c r="AB14" s="30"/>
      <c r="AC14" s="2"/>
      <c r="AD14" s="2"/>
    </row>
    <row r="15" spans="1:30" ht="15.75" customHeight="1" x14ac:dyDescent="0.25">
      <c r="A15" s="2"/>
      <c r="B15" s="2"/>
      <c r="C15" s="11"/>
      <c r="D15" s="226"/>
      <c r="E15" s="224"/>
      <c r="F15" s="224"/>
      <c r="G15" s="227"/>
      <c r="H15" s="54">
        <v>0</v>
      </c>
      <c r="I15" s="29"/>
      <c r="J15" s="117"/>
      <c r="K15" s="4"/>
      <c r="L15" s="4"/>
      <c r="M15" s="4"/>
      <c r="N15" s="4"/>
      <c r="O15" s="4"/>
      <c r="P15" s="56">
        <v>0</v>
      </c>
      <c r="Q15" s="29"/>
      <c r="R15" s="231" t="s">
        <v>22</v>
      </c>
      <c r="S15" s="232"/>
      <c r="T15" s="233">
        <f t="shared" ref="T15:T37" si="0">SUMIF($K$59:$L$119,R15,$O$59:$P$119)</f>
        <v>0</v>
      </c>
      <c r="U15" s="232"/>
      <c r="V15" s="57" t="e">
        <f t="shared" ref="V15:V37" si="1">T15*1/$T$40</f>
        <v>#DIV/0!</v>
      </c>
      <c r="W15" s="30"/>
      <c r="X15" s="211" t="s">
        <v>73</v>
      </c>
      <c r="Y15" s="212"/>
      <c r="Z15" s="213">
        <f t="shared" ref="Z15:Z16" si="2">H52</f>
        <v>0</v>
      </c>
      <c r="AA15" s="214"/>
      <c r="AB15" s="2"/>
      <c r="AC15" s="2"/>
      <c r="AD15" s="2"/>
    </row>
    <row r="16" spans="1:30" ht="15.75" customHeight="1" x14ac:dyDescent="0.25">
      <c r="A16" s="2"/>
      <c r="B16" s="2"/>
      <c r="C16" s="2"/>
      <c r="D16" s="240"/>
      <c r="E16" s="224"/>
      <c r="F16" s="224"/>
      <c r="G16" s="241"/>
      <c r="H16" s="58">
        <v>0</v>
      </c>
      <c r="I16" s="11"/>
      <c r="J16" s="66"/>
      <c r="K16" s="59"/>
      <c r="L16" s="59"/>
      <c r="M16" s="59"/>
      <c r="N16" s="59"/>
      <c r="O16" s="59"/>
      <c r="P16" s="61">
        <v>0</v>
      </c>
      <c r="Q16" s="29"/>
      <c r="R16" s="234" t="s">
        <v>23</v>
      </c>
      <c r="S16" s="142"/>
      <c r="T16" s="235">
        <f t="shared" si="0"/>
        <v>0</v>
      </c>
      <c r="U16" s="236"/>
      <c r="V16" s="62" t="e">
        <f t="shared" si="1"/>
        <v>#DIV/0!</v>
      </c>
      <c r="W16" s="30"/>
      <c r="X16" s="237" t="s">
        <v>74</v>
      </c>
      <c r="Y16" s="238"/>
      <c r="Z16" s="228">
        <f t="shared" si="2"/>
        <v>0</v>
      </c>
      <c r="AA16" s="198"/>
      <c r="AB16" s="2"/>
      <c r="AC16" s="2"/>
      <c r="AD16" s="2"/>
    </row>
    <row r="17" spans="1:30" x14ac:dyDescent="0.3">
      <c r="A17" s="2"/>
      <c r="B17" s="2"/>
      <c r="C17" s="2"/>
      <c r="D17" s="226"/>
      <c r="E17" s="224"/>
      <c r="F17" s="224"/>
      <c r="G17" s="227"/>
      <c r="H17" s="54">
        <v>0</v>
      </c>
      <c r="I17" s="11"/>
      <c r="J17" s="63"/>
      <c r="K17" s="3"/>
      <c r="L17" s="3"/>
      <c r="M17" s="3"/>
      <c r="N17" s="3"/>
      <c r="O17" s="3"/>
      <c r="P17" s="64">
        <v>0</v>
      </c>
      <c r="Q17" s="29"/>
      <c r="R17" s="231" t="s">
        <v>24</v>
      </c>
      <c r="S17" s="232"/>
      <c r="T17" s="233">
        <f t="shared" si="0"/>
        <v>0</v>
      </c>
      <c r="U17" s="232"/>
      <c r="V17" s="57" t="e">
        <f t="shared" si="1"/>
        <v>#DIV/0!</v>
      </c>
      <c r="W17" s="30"/>
      <c r="X17" s="65" t="s">
        <v>14</v>
      </c>
      <c r="Y17" s="65"/>
      <c r="Z17" s="229">
        <f>SUM(Z13:Z16)</f>
        <v>0</v>
      </c>
      <c r="AA17" s="230"/>
      <c r="AB17" s="2"/>
      <c r="AC17" s="2"/>
      <c r="AD17" s="2"/>
    </row>
    <row r="18" spans="1:30" ht="15.75" customHeight="1" x14ac:dyDescent="0.25">
      <c r="A18" s="2"/>
      <c r="B18" s="2"/>
      <c r="C18" s="2"/>
      <c r="D18" s="240"/>
      <c r="E18" s="224"/>
      <c r="F18" s="224"/>
      <c r="G18" s="241"/>
      <c r="H18" s="58">
        <v>0</v>
      </c>
      <c r="I18" s="11"/>
      <c r="J18" s="66"/>
      <c r="K18" s="59"/>
      <c r="L18" s="59"/>
      <c r="M18" s="59"/>
      <c r="N18" s="59"/>
      <c r="O18" s="59"/>
      <c r="P18" s="61">
        <v>0</v>
      </c>
      <c r="Q18" s="29"/>
      <c r="R18" s="239" t="s">
        <v>25</v>
      </c>
      <c r="S18" s="236"/>
      <c r="T18" s="235">
        <f t="shared" si="0"/>
        <v>0</v>
      </c>
      <c r="U18" s="236"/>
      <c r="V18" s="62" t="e">
        <f t="shared" si="1"/>
        <v>#DIV/0!</v>
      </c>
      <c r="W18" s="30"/>
      <c r="X18" s="2"/>
      <c r="Y18" s="2"/>
      <c r="Z18" s="2"/>
      <c r="AA18" s="2"/>
      <c r="AB18" s="2"/>
      <c r="AC18" s="2"/>
      <c r="AD18" s="2"/>
    </row>
    <row r="19" spans="1:30" ht="15.75" customHeight="1" x14ac:dyDescent="0.25">
      <c r="A19" s="2"/>
      <c r="B19" s="2"/>
      <c r="C19" s="2"/>
      <c r="D19" s="226"/>
      <c r="E19" s="224"/>
      <c r="F19" s="224"/>
      <c r="G19" s="227"/>
      <c r="H19" s="54">
        <v>0</v>
      </c>
      <c r="I19" s="11"/>
      <c r="J19" s="63"/>
      <c r="K19" s="3"/>
      <c r="L19" s="3"/>
      <c r="M19" s="3"/>
      <c r="N19" s="3"/>
      <c r="O19" s="3"/>
      <c r="P19" s="64">
        <v>0</v>
      </c>
      <c r="Q19" s="29"/>
      <c r="R19" s="231" t="s">
        <v>26</v>
      </c>
      <c r="S19" s="232"/>
      <c r="T19" s="233">
        <f t="shared" si="0"/>
        <v>0</v>
      </c>
      <c r="U19" s="232"/>
      <c r="V19" s="57" t="e">
        <f t="shared" si="1"/>
        <v>#DIV/0!</v>
      </c>
      <c r="W19" s="30"/>
      <c r="X19" s="2"/>
      <c r="Y19" s="2"/>
      <c r="Z19" s="2"/>
      <c r="AA19" s="2"/>
      <c r="AB19" s="2"/>
      <c r="AC19" s="2"/>
      <c r="AD19" s="2"/>
    </row>
    <row r="20" spans="1:30" ht="15.75" customHeight="1" x14ac:dyDescent="0.25">
      <c r="A20" s="2"/>
      <c r="B20" s="2"/>
      <c r="C20" s="2"/>
      <c r="D20" s="240"/>
      <c r="E20" s="224"/>
      <c r="F20" s="224"/>
      <c r="G20" s="241"/>
      <c r="H20" s="58">
        <v>0</v>
      </c>
      <c r="I20" s="11"/>
      <c r="J20" s="66"/>
      <c r="K20" s="59"/>
      <c r="L20" s="59"/>
      <c r="M20" s="59"/>
      <c r="N20" s="59"/>
      <c r="O20" s="59"/>
      <c r="P20" s="61">
        <v>0</v>
      </c>
      <c r="Q20" s="29"/>
      <c r="R20" s="239" t="s">
        <v>27</v>
      </c>
      <c r="S20" s="236"/>
      <c r="T20" s="235">
        <f t="shared" si="0"/>
        <v>0</v>
      </c>
      <c r="U20" s="236"/>
      <c r="V20" s="62" t="e">
        <f t="shared" si="1"/>
        <v>#DIV/0!</v>
      </c>
      <c r="W20" s="30"/>
      <c r="X20" s="2"/>
      <c r="Y20" s="2"/>
      <c r="Z20" s="2"/>
      <c r="AA20" s="2"/>
      <c r="AB20" s="2"/>
      <c r="AC20" s="2"/>
      <c r="AD20" s="2"/>
    </row>
    <row r="21" spans="1:30" ht="15.75" customHeight="1" x14ac:dyDescent="0.25">
      <c r="A21" s="2"/>
      <c r="B21" s="2"/>
      <c r="C21" s="2"/>
      <c r="D21" s="226"/>
      <c r="E21" s="224"/>
      <c r="F21" s="224"/>
      <c r="G21" s="227"/>
      <c r="H21" s="54">
        <v>0</v>
      </c>
      <c r="I21" s="11"/>
      <c r="J21" s="63"/>
      <c r="K21" s="3"/>
      <c r="L21" s="3"/>
      <c r="M21" s="3"/>
      <c r="N21" s="3"/>
      <c r="O21" s="3"/>
      <c r="P21" s="64">
        <v>0</v>
      </c>
      <c r="Q21" s="29"/>
      <c r="R21" s="231" t="s">
        <v>28</v>
      </c>
      <c r="S21" s="232"/>
      <c r="T21" s="233">
        <f t="shared" si="0"/>
        <v>0</v>
      </c>
      <c r="U21" s="232"/>
      <c r="V21" s="57" t="e">
        <f t="shared" si="1"/>
        <v>#DIV/0!</v>
      </c>
      <c r="W21" s="30"/>
      <c r="X21" s="2"/>
      <c r="Y21" s="2"/>
      <c r="Z21" s="2"/>
      <c r="AA21" s="2"/>
      <c r="AB21" s="2"/>
      <c r="AC21" s="2"/>
      <c r="AD21" s="2"/>
    </row>
    <row r="22" spans="1:30" ht="15.75" customHeight="1" x14ac:dyDescent="0.25">
      <c r="A22" s="2"/>
      <c r="B22" s="2"/>
      <c r="C22" s="2"/>
      <c r="D22" s="28"/>
      <c r="E22" s="28"/>
      <c r="F22" s="28"/>
      <c r="G22" s="28"/>
      <c r="H22" s="28"/>
      <c r="I22" s="11"/>
      <c r="J22" s="66"/>
      <c r="K22" s="59"/>
      <c r="L22" s="59"/>
      <c r="M22" s="59"/>
      <c r="N22" s="59"/>
      <c r="O22" s="59"/>
      <c r="P22" s="61">
        <v>0</v>
      </c>
      <c r="Q22" s="29"/>
      <c r="R22" s="239" t="s">
        <v>29</v>
      </c>
      <c r="S22" s="236"/>
      <c r="T22" s="235">
        <f t="shared" si="0"/>
        <v>0</v>
      </c>
      <c r="U22" s="236"/>
      <c r="V22" s="62" t="e">
        <f t="shared" si="1"/>
        <v>#DIV/0!</v>
      </c>
      <c r="W22" s="30"/>
      <c r="X22" s="2"/>
      <c r="Y22" s="2"/>
      <c r="Z22" s="2"/>
      <c r="AA22" s="2"/>
      <c r="AB22" s="2"/>
      <c r="AC22" s="2"/>
      <c r="AD22" s="2"/>
    </row>
    <row r="23" spans="1:30" ht="15.75" customHeight="1" x14ac:dyDescent="0.25">
      <c r="A23" s="2"/>
      <c r="B23" s="2"/>
      <c r="C23" s="11"/>
      <c r="D23" s="242" t="s">
        <v>15</v>
      </c>
      <c r="E23" s="209"/>
      <c r="F23" s="209"/>
      <c r="G23" s="209"/>
      <c r="H23" s="129"/>
      <c r="I23" s="29"/>
      <c r="J23" s="63"/>
      <c r="K23" s="3"/>
      <c r="L23" s="3"/>
      <c r="M23" s="3"/>
      <c r="N23" s="3"/>
      <c r="O23" s="3"/>
      <c r="P23" s="64">
        <v>0</v>
      </c>
      <c r="Q23" s="29"/>
      <c r="R23" s="231" t="s">
        <v>30</v>
      </c>
      <c r="S23" s="232"/>
      <c r="T23" s="233">
        <f t="shared" si="0"/>
        <v>0</v>
      </c>
      <c r="U23" s="232"/>
      <c r="V23" s="57" t="e">
        <f t="shared" si="1"/>
        <v>#DIV/0!</v>
      </c>
      <c r="W23" s="30"/>
      <c r="X23" s="2"/>
      <c r="Y23" s="2"/>
      <c r="Z23" s="2"/>
      <c r="AA23" s="2"/>
      <c r="AB23" s="2"/>
      <c r="AC23" s="2"/>
      <c r="AD23" s="2"/>
    </row>
    <row r="24" spans="1:30" ht="15.75" customHeight="1" x14ac:dyDescent="0.25">
      <c r="A24" s="2"/>
      <c r="B24" s="2"/>
      <c r="C24" s="11"/>
      <c r="D24" s="130"/>
      <c r="E24" s="200"/>
      <c r="F24" s="200"/>
      <c r="G24" s="200"/>
      <c r="H24" s="131"/>
      <c r="I24" s="29"/>
      <c r="J24" s="66"/>
      <c r="K24" s="59"/>
      <c r="L24" s="59"/>
      <c r="M24" s="59"/>
      <c r="N24" s="59"/>
      <c r="O24" s="59"/>
      <c r="P24" s="61">
        <v>0</v>
      </c>
      <c r="Q24" s="29"/>
      <c r="R24" s="239" t="s">
        <v>31</v>
      </c>
      <c r="S24" s="236"/>
      <c r="T24" s="235">
        <f t="shared" si="0"/>
        <v>0</v>
      </c>
      <c r="U24" s="236"/>
      <c r="V24" s="62" t="e">
        <f t="shared" si="1"/>
        <v>#DIV/0!</v>
      </c>
      <c r="W24" s="30"/>
      <c r="X24" s="67"/>
      <c r="Y24" s="67"/>
      <c r="Z24" s="67"/>
      <c r="AA24" s="67"/>
      <c r="AB24" s="2"/>
      <c r="AC24" s="2"/>
      <c r="AD24" s="2"/>
    </row>
    <row r="25" spans="1:30" ht="15.75" customHeight="1" x14ac:dyDescent="0.25">
      <c r="A25" s="2"/>
      <c r="B25" s="2"/>
      <c r="C25" s="11"/>
      <c r="D25" s="275" t="s">
        <v>62</v>
      </c>
      <c r="E25" s="224"/>
      <c r="F25" s="119"/>
      <c r="G25" s="68" t="s">
        <v>75</v>
      </c>
      <c r="H25" s="69" t="s">
        <v>76</v>
      </c>
      <c r="I25" s="29"/>
      <c r="J25" s="63"/>
      <c r="K25" s="3"/>
      <c r="L25" s="3"/>
      <c r="M25" s="3"/>
      <c r="N25" s="3"/>
      <c r="O25" s="3"/>
      <c r="P25" s="64">
        <v>0</v>
      </c>
      <c r="Q25" s="29"/>
      <c r="R25" s="231" t="s">
        <v>32</v>
      </c>
      <c r="S25" s="232"/>
      <c r="T25" s="233">
        <f t="shared" si="0"/>
        <v>0</v>
      </c>
      <c r="U25" s="232"/>
      <c r="V25" s="57" t="e">
        <f t="shared" si="1"/>
        <v>#DIV/0!</v>
      </c>
      <c r="W25" s="2"/>
      <c r="X25" s="2"/>
      <c r="Y25" s="2"/>
      <c r="Z25" s="2"/>
      <c r="AA25" s="2"/>
      <c r="AB25" s="2"/>
      <c r="AC25" s="2"/>
      <c r="AD25" s="2"/>
    </row>
    <row r="26" spans="1:30" ht="15.75" customHeight="1" x14ac:dyDescent="0.25">
      <c r="A26" s="2"/>
      <c r="B26" s="2"/>
      <c r="C26" s="11"/>
      <c r="D26" s="276"/>
      <c r="E26" s="277"/>
      <c r="F26" s="142"/>
      <c r="G26" s="70"/>
      <c r="H26" s="71"/>
      <c r="I26" s="29"/>
      <c r="J26" s="66"/>
      <c r="K26" s="59"/>
      <c r="L26" s="59"/>
      <c r="M26" s="59"/>
      <c r="N26" s="59"/>
      <c r="O26" s="59"/>
      <c r="P26" s="61">
        <v>0</v>
      </c>
      <c r="Q26" s="29"/>
      <c r="R26" s="239" t="s">
        <v>33</v>
      </c>
      <c r="S26" s="236"/>
      <c r="T26" s="235">
        <f t="shared" si="0"/>
        <v>0</v>
      </c>
      <c r="U26" s="236"/>
      <c r="V26" s="62" t="e">
        <f t="shared" si="1"/>
        <v>#DIV/0!</v>
      </c>
      <c r="W26" s="29"/>
      <c r="X26" s="278" t="s">
        <v>77</v>
      </c>
      <c r="Y26" s="224"/>
      <c r="Z26" s="224"/>
      <c r="AA26" s="119"/>
      <c r="AB26" s="30"/>
      <c r="AC26" s="2"/>
      <c r="AD26" s="2"/>
    </row>
    <row r="27" spans="1:30" x14ac:dyDescent="0.3">
      <c r="A27" s="2"/>
      <c r="B27" s="2"/>
      <c r="C27" s="11"/>
      <c r="D27" s="279"/>
      <c r="E27" s="245"/>
      <c r="F27" s="280"/>
      <c r="G27" s="72"/>
      <c r="H27" s="73"/>
      <c r="I27" s="29"/>
      <c r="J27" s="63"/>
      <c r="K27" s="3"/>
      <c r="L27" s="3"/>
      <c r="M27" s="3"/>
      <c r="N27" s="3"/>
      <c r="O27" s="3"/>
      <c r="P27" s="64">
        <v>0</v>
      </c>
      <c r="Q27" s="29"/>
      <c r="R27" s="231" t="s">
        <v>34</v>
      </c>
      <c r="S27" s="232"/>
      <c r="T27" s="233">
        <f t="shared" si="0"/>
        <v>0</v>
      </c>
      <c r="U27" s="232"/>
      <c r="V27" s="57" t="e">
        <f t="shared" si="1"/>
        <v>#DIV/0!</v>
      </c>
      <c r="W27" s="29"/>
      <c r="X27" s="270" t="s">
        <v>78</v>
      </c>
      <c r="Y27" s="119"/>
      <c r="Z27" s="74">
        <f>SUMIF(M59:N119,"Tarjeta de débito",O59:P119)+SUMIF(N15:N39,"Tarjeta de débito",M15:M39)</f>
        <v>0</v>
      </c>
      <c r="AA27" s="75" t="e">
        <f t="shared" ref="AA27:AA30" si="3">Z27*1/$U$8</f>
        <v>#DIV/0!</v>
      </c>
      <c r="AB27" s="30"/>
      <c r="AC27" s="2"/>
      <c r="AD27" s="2"/>
    </row>
    <row r="28" spans="1:30" x14ac:dyDescent="0.3">
      <c r="A28" s="2"/>
      <c r="B28" s="2"/>
      <c r="C28" s="11"/>
      <c r="D28" s="286"/>
      <c r="E28" s="245"/>
      <c r="F28" s="236"/>
      <c r="G28" s="76"/>
      <c r="H28" s="77"/>
      <c r="I28" s="29"/>
      <c r="J28" s="66"/>
      <c r="K28" s="59"/>
      <c r="L28" s="59"/>
      <c r="M28" s="59"/>
      <c r="N28" s="59"/>
      <c r="O28" s="59"/>
      <c r="P28" s="61">
        <v>0</v>
      </c>
      <c r="Q28" s="29"/>
      <c r="R28" s="78" t="s">
        <v>35</v>
      </c>
      <c r="S28" s="79"/>
      <c r="T28" s="235">
        <f t="shared" si="0"/>
        <v>0</v>
      </c>
      <c r="U28" s="236"/>
      <c r="V28" s="62" t="e">
        <f t="shared" si="1"/>
        <v>#DIV/0!</v>
      </c>
      <c r="W28" s="29"/>
      <c r="X28" s="281" t="s">
        <v>31</v>
      </c>
      <c r="Y28" s="119"/>
      <c r="Z28" s="80">
        <f>SUMIF(M59:N119,"Tarjeta de crédito",O59:P119)+SUMIF(N15:N39,"Tarjeta de crédito",M15:M39)</f>
        <v>0</v>
      </c>
      <c r="AA28" s="75" t="e">
        <f t="shared" si="3"/>
        <v>#DIV/0!</v>
      </c>
      <c r="AB28" s="30"/>
      <c r="AC28" s="2"/>
      <c r="AD28" s="2"/>
    </row>
    <row r="29" spans="1:30" x14ac:dyDescent="0.3">
      <c r="A29" s="2"/>
      <c r="B29" s="2"/>
      <c r="C29" s="11"/>
      <c r="D29" s="279"/>
      <c r="E29" s="245"/>
      <c r="F29" s="280"/>
      <c r="G29" s="72"/>
      <c r="H29" s="73"/>
      <c r="I29" s="29"/>
      <c r="J29" s="63"/>
      <c r="K29" s="3"/>
      <c r="L29" s="3"/>
      <c r="M29" s="3"/>
      <c r="N29" s="3"/>
      <c r="O29" s="3"/>
      <c r="P29" s="64">
        <v>0</v>
      </c>
      <c r="Q29" s="29"/>
      <c r="R29" s="231" t="s">
        <v>79</v>
      </c>
      <c r="S29" s="232"/>
      <c r="T29" s="233">
        <f t="shared" si="0"/>
        <v>0</v>
      </c>
      <c r="U29" s="232"/>
      <c r="V29" s="57" t="e">
        <f t="shared" si="1"/>
        <v>#DIV/0!</v>
      </c>
      <c r="W29" s="29"/>
      <c r="X29" s="282" t="s">
        <v>80</v>
      </c>
      <c r="Y29" s="119"/>
      <c r="Z29" s="80">
        <f>SUMIF(M59:N119,"Efectivo",O59:P119)+SUMIF(N15:N39,"Efectivo",M15:M39)</f>
        <v>0</v>
      </c>
      <c r="AA29" s="75" t="e">
        <f t="shared" si="3"/>
        <v>#DIV/0!</v>
      </c>
      <c r="AB29" s="30"/>
      <c r="AC29" s="2"/>
      <c r="AD29" s="2"/>
    </row>
    <row r="30" spans="1:30" x14ac:dyDescent="0.3">
      <c r="A30" s="2"/>
      <c r="B30" s="2"/>
      <c r="C30" s="11"/>
      <c r="D30" s="286"/>
      <c r="E30" s="245"/>
      <c r="F30" s="236"/>
      <c r="G30" s="76"/>
      <c r="H30" s="77"/>
      <c r="I30" s="29"/>
      <c r="J30" s="66"/>
      <c r="K30" s="59"/>
      <c r="L30" s="59"/>
      <c r="M30" s="59"/>
      <c r="N30" s="59"/>
      <c r="O30" s="59"/>
      <c r="P30" s="61">
        <v>0</v>
      </c>
      <c r="Q30" s="29"/>
      <c r="R30" s="78" t="s">
        <v>37</v>
      </c>
      <c r="S30" s="79"/>
      <c r="T30" s="235">
        <f t="shared" si="0"/>
        <v>0</v>
      </c>
      <c r="U30" s="236"/>
      <c r="V30" s="62" t="e">
        <f t="shared" si="1"/>
        <v>#DIV/0!</v>
      </c>
      <c r="W30" s="29"/>
      <c r="X30" s="283" t="s">
        <v>72</v>
      </c>
      <c r="Y30" s="119"/>
      <c r="Z30" s="74">
        <f>SUMIF(M59:N119,"Transferencia",O59:P119)+SUMIF(N15:N39,"Transferencia",M15:M39)</f>
        <v>0</v>
      </c>
      <c r="AA30" s="75" t="e">
        <f t="shared" si="3"/>
        <v>#DIV/0!</v>
      </c>
      <c r="AB30" s="30"/>
      <c r="AC30" s="2"/>
      <c r="AD30" s="2"/>
    </row>
    <row r="31" spans="1:30" ht="15.75" customHeight="1" x14ac:dyDescent="0.25">
      <c r="A31" s="2"/>
      <c r="B31" s="2"/>
      <c r="C31" s="11"/>
      <c r="D31" s="279"/>
      <c r="E31" s="245"/>
      <c r="F31" s="280"/>
      <c r="G31" s="72"/>
      <c r="H31" s="73"/>
      <c r="I31" s="29"/>
      <c r="J31" s="63"/>
      <c r="K31" s="3"/>
      <c r="L31" s="3"/>
      <c r="M31" s="3"/>
      <c r="N31" s="3"/>
      <c r="O31" s="3"/>
      <c r="P31" s="64">
        <v>0</v>
      </c>
      <c r="Q31" s="29"/>
      <c r="R31" s="231" t="s">
        <v>38</v>
      </c>
      <c r="S31" s="232"/>
      <c r="T31" s="233">
        <f t="shared" si="0"/>
        <v>0</v>
      </c>
      <c r="U31" s="232"/>
      <c r="V31" s="57" t="e">
        <f t="shared" si="1"/>
        <v>#DIV/0!</v>
      </c>
      <c r="W31" s="2"/>
      <c r="X31" s="28"/>
      <c r="Y31" s="28"/>
      <c r="Z31" s="28"/>
      <c r="AA31" s="28"/>
      <c r="AB31" s="2"/>
      <c r="AC31" s="2"/>
      <c r="AD31" s="2"/>
    </row>
    <row r="32" spans="1:30" ht="15.75" customHeight="1" x14ac:dyDescent="0.25">
      <c r="A32" s="2"/>
      <c r="B32" s="2"/>
      <c r="C32" s="11"/>
      <c r="D32" s="286"/>
      <c r="E32" s="245"/>
      <c r="F32" s="236"/>
      <c r="G32" s="76"/>
      <c r="H32" s="77"/>
      <c r="I32" s="29"/>
      <c r="J32" s="81"/>
      <c r="K32" s="82"/>
      <c r="L32" s="82"/>
      <c r="M32" s="82"/>
      <c r="N32" s="82"/>
      <c r="O32" s="82"/>
      <c r="P32" s="83">
        <v>0</v>
      </c>
      <c r="Q32" s="29"/>
      <c r="R32" s="78" t="s">
        <v>39</v>
      </c>
      <c r="S32" s="79"/>
      <c r="T32" s="235">
        <f t="shared" si="0"/>
        <v>0</v>
      </c>
      <c r="U32" s="236"/>
      <c r="V32" s="62" t="e">
        <f t="shared" si="1"/>
        <v>#DIV/0!</v>
      </c>
      <c r="W32" s="29"/>
      <c r="X32" s="284" t="s">
        <v>81</v>
      </c>
      <c r="Y32" s="209"/>
      <c r="Z32" s="209"/>
      <c r="AA32" s="129"/>
      <c r="AB32" s="30"/>
      <c r="AC32" s="2"/>
      <c r="AD32" s="2"/>
    </row>
    <row r="33" spans="1:30" ht="15.75" customHeight="1" x14ac:dyDescent="0.25">
      <c r="A33" s="2"/>
      <c r="B33" s="2"/>
      <c r="C33" s="11"/>
      <c r="D33" s="279"/>
      <c r="E33" s="245"/>
      <c r="F33" s="280"/>
      <c r="G33" s="72"/>
      <c r="H33" s="73"/>
      <c r="I33" s="29"/>
      <c r="J33" s="84"/>
      <c r="K33" s="85"/>
      <c r="L33" s="85"/>
      <c r="M33" s="85"/>
      <c r="N33" s="85"/>
      <c r="O33" s="85"/>
      <c r="P33" s="86">
        <v>0</v>
      </c>
      <c r="Q33" s="29"/>
      <c r="R33" s="231" t="s">
        <v>40</v>
      </c>
      <c r="S33" s="232"/>
      <c r="T33" s="233">
        <f t="shared" si="0"/>
        <v>0</v>
      </c>
      <c r="U33" s="232"/>
      <c r="V33" s="57" t="e">
        <f t="shared" si="1"/>
        <v>#DIV/0!</v>
      </c>
      <c r="W33" s="29"/>
      <c r="X33" s="130"/>
      <c r="Y33" s="200"/>
      <c r="Z33" s="200"/>
      <c r="AA33" s="131"/>
      <c r="AB33" s="30"/>
      <c r="AC33" s="2"/>
      <c r="AD33" s="2"/>
    </row>
    <row r="34" spans="1:30" x14ac:dyDescent="0.3">
      <c r="A34" s="2"/>
      <c r="B34" s="2"/>
      <c r="C34" s="11"/>
      <c r="D34" s="287"/>
      <c r="E34" s="245"/>
      <c r="F34" s="236"/>
      <c r="G34" s="87"/>
      <c r="H34" s="88"/>
      <c r="I34" s="29"/>
      <c r="J34" s="81"/>
      <c r="K34" s="82"/>
      <c r="L34" s="82"/>
      <c r="M34" s="82"/>
      <c r="N34" s="82"/>
      <c r="O34" s="82"/>
      <c r="P34" s="83">
        <v>0</v>
      </c>
      <c r="Q34" s="29"/>
      <c r="R34" s="78" t="s">
        <v>41</v>
      </c>
      <c r="S34" s="79"/>
      <c r="T34" s="235">
        <f t="shared" si="0"/>
        <v>0</v>
      </c>
      <c r="U34" s="236"/>
      <c r="V34" s="62" t="e">
        <f t="shared" si="1"/>
        <v>#DIV/0!</v>
      </c>
      <c r="W34" s="29"/>
      <c r="X34" s="285" t="s">
        <v>82</v>
      </c>
      <c r="Y34" s="224"/>
      <c r="Z34" s="224"/>
      <c r="AA34" s="119"/>
      <c r="AB34" s="30"/>
      <c r="AC34" s="2"/>
      <c r="AD34" s="2"/>
    </row>
    <row r="35" spans="1:30" ht="15.75" customHeight="1" x14ac:dyDescent="0.25">
      <c r="A35" s="2"/>
      <c r="B35" s="2"/>
      <c r="C35" s="11"/>
      <c r="D35" s="304"/>
      <c r="E35" s="194"/>
      <c r="F35" s="305"/>
      <c r="G35" s="89"/>
      <c r="H35" s="90"/>
      <c r="I35" s="29"/>
      <c r="J35" s="84"/>
      <c r="K35" s="85"/>
      <c r="L35" s="85"/>
      <c r="M35" s="85"/>
      <c r="N35" s="85"/>
      <c r="O35" s="85"/>
      <c r="P35" s="86">
        <v>0</v>
      </c>
      <c r="Q35" s="29"/>
      <c r="R35" s="231" t="s">
        <v>42</v>
      </c>
      <c r="S35" s="232"/>
      <c r="T35" s="233">
        <f t="shared" si="0"/>
        <v>0</v>
      </c>
      <c r="U35" s="232"/>
      <c r="V35" s="57" t="e">
        <f t="shared" si="1"/>
        <v>#DIV/0!</v>
      </c>
      <c r="W35" s="29"/>
      <c r="X35" s="294" t="s">
        <v>83</v>
      </c>
      <c r="Y35" s="295"/>
      <c r="Z35" s="296">
        <f>W8</f>
        <v>0</v>
      </c>
      <c r="AA35" s="258"/>
      <c r="AB35" s="30"/>
      <c r="AC35" s="2"/>
      <c r="AD35" s="2"/>
    </row>
    <row r="36" spans="1:30" x14ac:dyDescent="0.3">
      <c r="A36" s="2"/>
      <c r="B36" s="2"/>
      <c r="C36" s="11"/>
      <c r="D36" s="306" t="s">
        <v>84</v>
      </c>
      <c r="E36" s="129"/>
      <c r="F36" s="307" t="s">
        <v>85</v>
      </c>
      <c r="G36" s="308"/>
      <c r="H36" s="91">
        <f>SUM(G26:G35)</f>
        <v>0</v>
      </c>
      <c r="I36" s="29"/>
      <c r="J36" s="81"/>
      <c r="K36" s="82"/>
      <c r="L36" s="82"/>
      <c r="M36" s="82"/>
      <c r="N36" s="82"/>
      <c r="O36" s="82"/>
      <c r="P36" s="83">
        <v>0</v>
      </c>
      <c r="Q36" s="29"/>
      <c r="R36" s="78" t="s">
        <v>43</v>
      </c>
      <c r="S36" s="79"/>
      <c r="T36" s="235">
        <f t="shared" si="0"/>
        <v>0</v>
      </c>
      <c r="U36" s="236"/>
      <c r="V36" s="62" t="e">
        <f t="shared" si="1"/>
        <v>#DIV/0!</v>
      </c>
      <c r="W36" s="29"/>
      <c r="X36" s="285" t="s">
        <v>86</v>
      </c>
      <c r="Y36" s="224"/>
      <c r="Z36" s="224"/>
      <c r="AA36" s="119"/>
      <c r="AB36" s="30"/>
      <c r="AC36" s="2"/>
      <c r="AD36" s="2"/>
    </row>
    <row r="37" spans="1:30" ht="13" x14ac:dyDescent="0.3">
      <c r="A37" s="2"/>
      <c r="B37" s="2"/>
      <c r="C37" s="11"/>
      <c r="D37" s="130"/>
      <c r="E37" s="131"/>
      <c r="F37" s="309" t="s">
        <v>87</v>
      </c>
      <c r="G37" s="310"/>
      <c r="H37" s="92">
        <f>SUM(H26:H35)</f>
        <v>0</v>
      </c>
      <c r="I37" s="29"/>
      <c r="J37" s="84"/>
      <c r="K37" s="85"/>
      <c r="L37" s="85"/>
      <c r="M37" s="85"/>
      <c r="N37" s="85"/>
      <c r="O37" s="85"/>
      <c r="P37" s="86">
        <v>0</v>
      </c>
      <c r="Q37" s="29"/>
      <c r="R37" s="231" t="s">
        <v>88</v>
      </c>
      <c r="S37" s="232"/>
      <c r="T37" s="233">
        <f t="shared" si="0"/>
        <v>0</v>
      </c>
      <c r="U37" s="232"/>
      <c r="V37" s="57" t="e">
        <f t="shared" si="1"/>
        <v>#DIV/0!</v>
      </c>
      <c r="W37" s="29"/>
      <c r="X37" s="297" t="s">
        <v>89</v>
      </c>
      <c r="Y37" s="298"/>
      <c r="Z37" s="299"/>
      <c r="AA37" s="300"/>
      <c r="AB37" s="30"/>
      <c r="AC37" s="2"/>
      <c r="AD37" s="2"/>
    </row>
    <row r="38" spans="1:30" ht="12.5" x14ac:dyDescent="0.25">
      <c r="A38" s="2"/>
      <c r="B38" s="2"/>
      <c r="C38" s="2"/>
      <c r="D38" s="36"/>
      <c r="E38" s="36"/>
      <c r="F38" s="36"/>
      <c r="G38" s="36"/>
      <c r="H38" s="36"/>
      <c r="I38" s="11"/>
      <c r="J38" s="81"/>
      <c r="K38" s="82"/>
      <c r="L38" s="82"/>
      <c r="M38" s="82"/>
      <c r="N38" s="82"/>
      <c r="O38" s="82"/>
      <c r="P38" s="83">
        <v>0</v>
      </c>
      <c r="Q38" s="29"/>
      <c r="R38" s="93"/>
      <c r="S38" s="2"/>
      <c r="T38" s="2"/>
      <c r="U38" s="2"/>
      <c r="V38" s="94"/>
      <c r="W38" s="29"/>
      <c r="X38" s="301" t="s">
        <v>80</v>
      </c>
      <c r="Y38" s="302"/>
      <c r="Z38" s="288"/>
      <c r="AA38" s="289"/>
      <c r="AB38" s="30"/>
      <c r="AC38" s="2"/>
      <c r="AD38" s="2"/>
    </row>
    <row r="39" spans="1:30" ht="13" x14ac:dyDescent="0.25">
      <c r="A39" s="2"/>
      <c r="B39" s="2"/>
      <c r="C39" s="11"/>
      <c r="D39" s="311" t="s">
        <v>90</v>
      </c>
      <c r="E39" s="209"/>
      <c r="F39" s="209"/>
      <c r="G39" s="312"/>
      <c r="H39" s="129"/>
      <c r="I39" s="29"/>
      <c r="J39" s="84"/>
      <c r="K39" s="85"/>
      <c r="L39" s="85"/>
      <c r="M39" s="85"/>
      <c r="N39" s="85"/>
      <c r="O39" s="85"/>
      <c r="P39" s="86">
        <v>0</v>
      </c>
      <c r="Q39" s="29"/>
      <c r="R39" s="271"/>
      <c r="S39" s="232"/>
      <c r="T39" s="274"/>
      <c r="U39" s="232"/>
      <c r="V39" s="95"/>
      <c r="W39" s="29"/>
      <c r="X39" s="303" t="s">
        <v>91</v>
      </c>
      <c r="Y39" s="129"/>
      <c r="Z39" s="290">
        <f>(Z38+Z37)-Z35</f>
        <v>0</v>
      </c>
      <c r="AA39" s="119"/>
      <c r="AB39" s="30"/>
      <c r="AC39" s="2"/>
      <c r="AD39" s="2"/>
    </row>
    <row r="40" spans="1:30" ht="13" x14ac:dyDescent="0.3">
      <c r="A40" s="2"/>
      <c r="B40" s="2"/>
      <c r="C40" s="11"/>
      <c r="D40" s="130"/>
      <c r="E40" s="200"/>
      <c r="F40" s="200"/>
      <c r="G40" s="130"/>
      <c r="H40" s="131"/>
      <c r="I40" s="29"/>
      <c r="J40" s="96" t="s">
        <v>14</v>
      </c>
      <c r="K40" s="97"/>
      <c r="L40" s="97">
        <f t="shared" ref="L40:M40" si="4">SUM(L15:L39)</f>
        <v>0</v>
      </c>
      <c r="M40" s="97">
        <f t="shared" si="4"/>
        <v>0</v>
      </c>
      <c r="N40" s="97"/>
      <c r="O40" s="97"/>
      <c r="P40" s="98"/>
      <c r="Q40" s="29"/>
      <c r="R40" s="272" t="s">
        <v>14</v>
      </c>
      <c r="S40" s="273"/>
      <c r="T40" s="291">
        <f>SUM(T15:U39)</f>
        <v>0</v>
      </c>
      <c r="U40" s="224"/>
      <c r="V40" s="119"/>
      <c r="W40" s="29"/>
      <c r="X40" s="130"/>
      <c r="Y40" s="131"/>
      <c r="Z40" s="290" t="str">
        <f>IF(Z39&lt;0,"Te falta dinero o anotar algo", "Te sobra dinero o anotar algo")</f>
        <v>Te sobra dinero o anotar algo</v>
      </c>
      <c r="AA40" s="119"/>
      <c r="AB40" s="30"/>
      <c r="AC40" s="2"/>
      <c r="AD40" s="2"/>
    </row>
    <row r="41" spans="1:30" ht="12.5" x14ac:dyDescent="0.25">
      <c r="A41" s="2"/>
      <c r="B41" s="2"/>
      <c r="C41" s="2"/>
      <c r="D41" s="35"/>
      <c r="E41" s="35"/>
      <c r="F41" s="35"/>
      <c r="G41" s="35"/>
      <c r="H41" s="35"/>
      <c r="I41" s="2"/>
      <c r="J41" s="99"/>
      <c r="K41" s="99"/>
      <c r="L41" s="99"/>
      <c r="M41" s="99"/>
      <c r="N41" s="99"/>
      <c r="O41" s="99"/>
      <c r="P41" s="99"/>
      <c r="Q41" s="28"/>
      <c r="R41" s="36"/>
      <c r="S41" s="36"/>
      <c r="T41" s="36"/>
      <c r="U41" s="36"/>
      <c r="V41" s="36"/>
      <c r="W41" s="2"/>
      <c r="X41" s="35"/>
      <c r="Y41" s="35"/>
      <c r="Z41" s="35"/>
      <c r="AA41" s="35"/>
      <c r="AB41" s="2"/>
      <c r="AC41" s="2"/>
      <c r="AD41" s="2"/>
    </row>
    <row r="42" spans="1:30" ht="13" x14ac:dyDescent="0.3">
      <c r="A42" s="2"/>
      <c r="B42" s="2"/>
      <c r="C42" s="2"/>
      <c r="D42" s="313" t="s">
        <v>92</v>
      </c>
      <c r="E42" s="209"/>
      <c r="F42" s="209"/>
      <c r="G42" s="209"/>
      <c r="H42" s="129"/>
      <c r="I42" s="11"/>
      <c r="J42" s="292" t="s">
        <v>93</v>
      </c>
      <c r="K42" s="224"/>
      <c r="L42" s="224"/>
      <c r="M42" s="224"/>
      <c r="N42" s="224"/>
      <c r="O42" s="224"/>
      <c r="P42" s="224"/>
      <c r="Q42" s="224"/>
      <c r="R42" s="224"/>
      <c r="S42" s="100">
        <f>M40+O120</f>
        <v>0</v>
      </c>
      <c r="T42" s="293"/>
      <c r="U42" s="224"/>
      <c r="V42" s="119"/>
      <c r="W42" s="30"/>
      <c r="X42" s="2"/>
      <c r="Y42" s="2"/>
      <c r="Z42" s="2"/>
      <c r="AA42" s="2"/>
      <c r="AB42" s="2"/>
      <c r="AC42" s="2"/>
      <c r="AD42" s="2"/>
    </row>
    <row r="43" spans="1:30" ht="12.5" x14ac:dyDescent="0.25">
      <c r="A43" s="2"/>
      <c r="B43" s="2"/>
      <c r="C43" s="2"/>
      <c r="D43" s="130"/>
      <c r="E43" s="200"/>
      <c r="F43" s="200"/>
      <c r="G43" s="200"/>
      <c r="H43" s="131"/>
      <c r="I43" s="2"/>
      <c r="J43" s="4"/>
      <c r="K43" s="4"/>
      <c r="L43" s="4"/>
      <c r="M43" s="4"/>
      <c r="N43" s="4"/>
      <c r="O43" s="4"/>
      <c r="P43" s="4"/>
      <c r="Q43" s="35"/>
      <c r="R43" s="35"/>
      <c r="S43" s="35"/>
      <c r="T43" s="35"/>
      <c r="U43" s="35"/>
      <c r="V43" s="35"/>
      <c r="W43" s="2"/>
      <c r="X43" s="2"/>
      <c r="Y43" s="2"/>
      <c r="Z43" s="2"/>
      <c r="AA43" s="2"/>
      <c r="AB43" s="2"/>
      <c r="AC43" s="2"/>
      <c r="AD43" s="2"/>
    </row>
    <row r="44" spans="1:30" ht="13" x14ac:dyDescent="0.25">
      <c r="A44" s="2"/>
      <c r="B44" s="2"/>
      <c r="C44" s="2"/>
      <c r="D44" s="324" t="s">
        <v>62</v>
      </c>
      <c r="E44" s="224"/>
      <c r="F44" s="325"/>
      <c r="G44" s="101" t="s">
        <v>94</v>
      </c>
      <c r="H44" s="102" t="s">
        <v>95</v>
      </c>
      <c r="I44" s="2"/>
      <c r="J44" s="3"/>
      <c r="K44" s="3"/>
      <c r="L44" s="3"/>
      <c r="M44" s="3"/>
      <c r="N44" s="3"/>
      <c r="O44" s="3"/>
      <c r="P44" s="3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2.5" x14ac:dyDescent="0.25">
      <c r="A45" s="2"/>
      <c r="B45" s="2"/>
      <c r="C45" s="11"/>
      <c r="D45" s="326"/>
      <c r="E45" s="327"/>
      <c r="F45" s="230"/>
      <c r="G45" s="103"/>
      <c r="H45" s="104"/>
      <c r="I45" s="30"/>
      <c r="J45" s="3"/>
      <c r="K45" s="3"/>
      <c r="L45" s="3"/>
      <c r="M45" s="3"/>
      <c r="N45" s="3"/>
      <c r="O45" s="3"/>
      <c r="P45" s="3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2.5" x14ac:dyDescent="0.25">
      <c r="A46" s="2"/>
      <c r="B46" s="2"/>
      <c r="C46" s="11"/>
      <c r="D46" s="328"/>
      <c r="E46" s="245"/>
      <c r="F46" s="329"/>
      <c r="G46" s="105"/>
      <c r="H46" s="106"/>
      <c r="I46" s="30"/>
      <c r="J46" s="3"/>
      <c r="K46" s="3"/>
      <c r="L46" s="3"/>
      <c r="M46" s="3"/>
      <c r="N46" s="3"/>
      <c r="O46" s="3"/>
      <c r="P46" s="3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2.5" x14ac:dyDescent="0.25">
      <c r="A47" s="2"/>
      <c r="B47" s="2"/>
      <c r="C47" s="11"/>
      <c r="D47" s="330"/>
      <c r="E47" s="245"/>
      <c r="F47" s="236"/>
      <c r="G47" s="2"/>
      <c r="H47" s="94"/>
      <c r="I47" s="30"/>
      <c r="J47" s="3"/>
      <c r="K47" s="3"/>
      <c r="L47" s="3"/>
      <c r="M47" s="3"/>
      <c r="N47" s="3"/>
      <c r="O47" s="3"/>
      <c r="P47" s="3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2.5" x14ac:dyDescent="0.25">
      <c r="A48" s="2"/>
      <c r="B48" s="2"/>
      <c r="C48" s="11"/>
      <c r="D48" s="328"/>
      <c r="E48" s="245"/>
      <c r="F48" s="329"/>
      <c r="G48" s="105"/>
      <c r="H48" s="106"/>
      <c r="I48" s="30"/>
      <c r="J48" s="3"/>
      <c r="K48" s="3"/>
      <c r="L48" s="3"/>
      <c r="M48" s="3"/>
      <c r="N48" s="3"/>
      <c r="O48" s="3"/>
      <c r="P48" s="3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2.5" x14ac:dyDescent="0.25">
      <c r="A49" s="2"/>
      <c r="B49" s="2"/>
      <c r="C49" s="11"/>
      <c r="D49" s="330"/>
      <c r="E49" s="245"/>
      <c r="F49" s="236"/>
      <c r="G49" s="2"/>
      <c r="H49" s="94"/>
      <c r="I49" s="30"/>
      <c r="J49" s="3"/>
      <c r="K49" s="3"/>
      <c r="L49" s="3"/>
      <c r="M49" s="3"/>
      <c r="N49" s="3"/>
      <c r="O49" s="3"/>
      <c r="P49" s="3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2.5" x14ac:dyDescent="0.25">
      <c r="A50" s="2"/>
      <c r="B50" s="2"/>
      <c r="C50" s="11"/>
      <c r="D50" s="328"/>
      <c r="E50" s="245"/>
      <c r="F50" s="329"/>
      <c r="G50" s="105"/>
      <c r="H50" s="106"/>
      <c r="I50" s="30"/>
      <c r="J50" s="3"/>
      <c r="K50" s="3"/>
      <c r="L50" s="3"/>
      <c r="M50" s="3"/>
      <c r="N50" s="3"/>
      <c r="O50" s="3"/>
      <c r="P50" s="3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2.5" x14ac:dyDescent="0.25">
      <c r="A51" s="2"/>
      <c r="B51" s="2"/>
      <c r="C51" s="11"/>
      <c r="D51" s="331"/>
      <c r="E51" s="218"/>
      <c r="F51" s="219"/>
      <c r="G51" s="47"/>
      <c r="H51" s="107"/>
      <c r="I51" s="30"/>
      <c r="J51" s="3"/>
      <c r="K51" s="3"/>
      <c r="L51" s="3"/>
      <c r="M51" s="3"/>
      <c r="N51" s="3"/>
      <c r="O51" s="3"/>
      <c r="P51" s="3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3" x14ac:dyDescent="0.3">
      <c r="A52" s="2"/>
      <c r="B52" s="2"/>
      <c r="C52" s="11"/>
      <c r="D52" s="332" t="s">
        <v>96</v>
      </c>
      <c r="E52" s="224"/>
      <c r="F52" s="224"/>
      <c r="G52" s="325"/>
      <c r="H52" s="108">
        <f>SUMIF(G45:G51, "Ahorro", H45:H51)</f>
        <v>0</v>
      </c>
      <c r="I52" s="30"/>
      <c r="J52" s="3"/>
      <c r="K52" s="3"/>
      <c r="L52" s="3"/>
      <c r="M52" s="3"/>
      <c r="N52" s="3"/>
      <c r="O52" s="3"/>
      <c r="P52" s="3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3" x14ac:dyDescent="0.3">
      <c r="A53" s="2"/>
      <c r="B53" s="2"/>
      <c r="C53" s="11"/>
      <c r="D53" s="332" t="s">
        <v>97</v>
      </c>
      <c r="E53" s="224"/>
      <c r="F53" s="224"/>
      <c r="G53" s="325"/>
      <c r="H53" s="108">
        <f>SUMIF(G45:G51, "Inversión", H45:H51)</f>
        <v>0</v>
      </c>
      <c r="I53" s="30"/>
      <c r="J53" s="3"/>
      <c r="K53" s="3"/>
      <c r="L53" s="3"/>
      <c r="M53" s="3"/>
      <c r="N53" s="3"/>
      <c r="O53" s="3"/>
      <c r="P53" s="3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2.5" x14ac:dyDescent="0.25">
      <c r="A54" s="2"/>
      <c r="B54" s="2"/>
      <c r="C54" s="2"/>
      <c r="D54" s="35"/>
      <c r="E54" s="35"/>
      <c r="F54" s="35"/>
      <c r="G54" s="35"/>
      <c r="H54" s="35"/>
      <c r="I54" s="2"/>
      <c r="J54" s="3"/>
      <c r="K54" s="3"/>
      <c r="L54" s="3"/>
      <c r="M54" s="3"/>
      <c r="N54" s="3"/>
      <c r="O54" s="3"/>
      <c r="P54" s="3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2.5" x14ac:dyDescent="0.25">
      <c r="A55" s="2"/>
      <c r="B55" s="2"/>
      <c r="C55" s="2"/>
      <c r="D55" s="28"/>
      <c r="E55" s="28"/>
      <c r="F55" s="28"/>
      <c r="G55" s="28"/>
      <c r="H55" s="28"/>
      <c r="I55" s="28"/>
      <c r="J55" s="5"/>
      <c r="K55" s="5"/>
      <c r="L55" s="5"/>
      <c r="M55" s="5"/>
      <c r="N55" s="5"/>
      <c r="O55" s="5"/>
      <c r="P55" s="5"/>
      <c r="Q55" s="28"/>
      <c r="R55" s="28"/>
      <c r="S55" s="28"/>
      <c r="T55" s="28"/>
      <c r="U55" s="28"/>
      <c r="V55" s="28"/>
      <c r="W55" s="2"/>
      <c r="X55" s="2"/>
      <c r="Y55" s="2"/>
      <c r="Z55" s="2"/>
      <c r="AA55" s="2"/>
      <c r="AB55" s="2"/>
      <c r="AC55" s="2"/>
      <c r="AD55" s="2"/>
    </row>
    <row r="56" spans="1:30" ht="12.5" x14ac:dyDescent="0.25">
      <c r="A56" s="2"/>
      <c r="B56" s="2"/>
      <c r="C56" s="11"/>
      <c r="D56" s="208" t="s">
        <v>98</v>
      </c>
      <c r="E56" s="209"/>
      <c r="F56" s="209"/>
      <c r="G56" s="209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9"/>
      <c r="S56" s="209"/>
      <c r="T56" s="209"/>
      <c r="U56" s="209"/>
      <c r="V56" s="129"/>
      <c r="W56" s="30"/>
      <c r="X56" s="2"/>
      <c r="Y56" s="2"/>
      <c r="Z56" s="2"/>
      <c r="AA56" s="2"/>
      <c r="AB56" s="2"/>
      <c r="AC56" s="2"/>
      <c r="AD56" s="2"/>
    </row>
    <row r="57" spans="1:30" ht="12.5" x14ac:dyDescent="0.25">
      <c r="A57" s="2"/>
      <c r="B57" s="2"/>
      <c r="C57" s="11"/>
      <c r="D57" s="333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277"/>
      <c r="P57" s="277"/>
      <c r="Q57" s="277"/>
      <c r="R57" s="277"/>
      <c r="S57" s="277"/>
      <c r="T57" s="277"/>
      <c r="U57" s="277"/>
      <c r="V57" s="334"/>
      <c r="W57" s="30"/>
      <c r="X57" s="2"/>
      <c r="Y57" s="2"/>
      <c r="Z57" s="2"/>
      <c r="AA57" s="2"/>
      <c r="AB57" s="2"/>
      <c r="AC57" s="2"/>
      <c r="AD57" s="2"/>
    </row>
    <row r="58" spans="1:30" ht="13" x14ac:dyDescent="0.3">
      <c r="A58" s="2"/>
      <c r="B58" s="2"/>
      <c r="C58" s="11"/>
      <c r="D58" s="335" t="s">
        <v>62</v>
      </c>
      <c r="E58" s="224"/>
      <c r="F58" s="224"/>
      <c r="G58" s="224"/>
      <c r="H58" s="224"/>
      <c r="I58" s="119"/>
      <c r="J58" s="109" t="s">
        <v>99</v>
      </c>
      <c r="K58" s="319" t="s">
        <v>68</v>
      </c>
      <c r="L58" s="119"/>
      <c r="M58" s="319" t="s">
        <v>100</v>
      </c>
      <c r="N58" s="119"/>
      <c r="O58" s="319" t="s">
        <v>95</v>
      </c>
      <c r="P58" s="119"/>
      <c r="Q58" s="319" t="s">
        <v>101</v>
      </c>
      <c r="R58" s="224"/>
      <c r="S58" s="224"/>
      <c r="T58" s="224"/>
      <c r="U58" s="224"/>
      <c r="V58" s="119"/>
      <c r="W58" s="30"/>
      <c r="X58" s="2"/>
      <c r="Y58" s="2"/>
      <c r="Z58" s="2"/>
      <c r="AA58" s="2"/>
      <c r="AB58" s="2"/>
      <c r="AC58" s="2"/>
      <c r="AD58" s="2"/>
    </row>
    <row r="59" spans="1:30" ht="12.5" x14ac:dyDescent="0.25">
      <c r="A59" s="2"/>
      <c r="B59" s="2"/>
      <c r="C59" s="11"/>
      <c r="D59" s="336"/>
      <c r="E59" s="277"/>
      <c r="F59" s="277"/>
      <c r="G59" s="277"/>
      <c r="H59" s="277"/>
      <c r="I59" s="142"/>
      <c r="J59" s="4"/>
      <c r="K59" s="314"/>
      <c r="L59" s="142"/>
      <c r="M59" s="314"/>
      <c r="N59" s="142"/>
      <c r="O59" s="315"/>
      <c r="P59" s="142"/>
      <c r="Q59" s="247"/>
      <c r="R59" s="277"/>
      <c r="S59" s="277"/>
      <c r="T59" s="277"/>
      <c r="U59" s="277"/>
      <c r="V59" s="334"/>
      <c r="W59" s="30"/>
      <c r="X59" s="2"/>
      <c r="Y59" s="2"/>
      <c r="Z59" s="2"/>
      <c r="AA59" s="2"/>
      <c r="AB59" s="2"/>
      <c r="AC59" s="2"/>
      <c r="AD59" s="2"/>
    </row>
    <row r="60" spans="1:30" ht="12.5" x14ac:dyDescent="0.25">
      <c r="A60" s="2"/>
      <c r="B60" s="2"/>
      <c r="C60" s="11"/>
      <c r="D60" s="337"/>
      <c r="E60" s="277"/>
      <c r="F60" s="277"/>
      <c r="G60" s="277"/>
      <c r="H60" s="277"/>
      <c r="I60" s="338"/>
      <c r="J60" s="111"/>
      <c r="K60" s="316"/>
      <c r="L60" s="232"/>
      <c r="M60" s="316"/>
      <c r="N60" s="232"/>
      <c r="O60" s="317"/>
      <c r="P60" s="232"/>
      <c r="Q60" s="274"/>
      <c r="R60" s="245"/>
      <c r="S60" s="245"/>
      <c r="T60" s="245"/>
      <c r="U60" s="245"/>
      <c r="V60" s="246"/>
      <c r="W60" s="30"/>
      <c r="X60" s="2"/>
      <c r="Y60" s="2"/>
      <c r="Z60" s="2"/>
      <c r="AA60" s="2"/>
      <c r="AB60" s="2"/>
      <c r="AC60" s="2"/>
      <c r="AD60" s="2"/>
    </row>
    <row r="61" spans="1:30" ht="12.5" x14ac:dyDescent="0.25">
      <c r="A61" s="2"/>
      <c r="B61" s="2"/>
      <c r="C61" s="11"/>
      <c r="D61" s="336"/>
      <c r="E61" s="277"/>
      <c r="F61" s="277"/>
      <c r="G61" s="277"/>
      <c r="H61" s="277"/>
      <c r="I61" s="142"/>
      <c r="J61" s="3"/>
      <c r="K61" s="314"/>
      <c r="L61" s="142"/>
      <c r="M61" s="314"/>
      <c r="N61" s="142"/>
      <c r="O61" s="320"/>
      <c r="P61" s="236"/>
      <c r="Q61" s="318"/>
      <c r="R61" s="245"/>
      <c r="S61" s="245"/>
      <c r="T61" s="245"/>
      <c r="U61" s="245"/>
      <c r="V61" s="246"/>
      <c r="W61" s="30"/>
      <c r="X61" s="2"/>
      <c r="Y61" s="2"/>
      <c r="Z61" s="2"/>
      <c r="AA61" s="2"/>
      <c r="AB61" s="2"/>
      <c r="AC61" s="2"/>
      <c r="AD61" s="2"/>
    </row>
    <row r="62" spans="1:30" ht="12.5" x14ac:dyDescent="0.25">
      <c r="A62" s="2"/>
      <c r="B62" s="2"/>
      <c r="C62" s="11"/>
      <c r="D62" s="337"/>
      <c r="E62" s="277"/>
      <c r="F62" s="277"/>
      <c r="G62" s="277"/>
      <c r="H62" s="277"/>
      <c r="I62" s="338"/>
      <c r="J62" s="111"/>
      <c r="K62" s="316"/>
      <c r="L62" s="232"/>
      <c r="M62" s="316"/>
      <c r="N62" s="232"/>
      <c r="O62" s="317"/>
      <c r="P62" s="232"/>
      <c r="Q62" s="274"/>
      <c r="R62" s="245"/>
      <c r="S62" s="245"/>
      <c r="T62" s="245"/>
      <c r="U62" s="245"/>
      <c r="V62" s="246"/>
      <c r="W62" s="30"/>
      <c r="X62" s="2"/>
      <c r="Y62" s="2"/>
      <c r="Z62" s="2"/>
      <c r="AA62" s="2"/>
      <c r="AB62" s="2"/>
      <c r="AC62" s="2"/>
      <c r="AD62" s="2"/>
    </row>
    <row r="63" spans="1:30" ht="12.5" x14ac:dyDescent="0.25">
      <c r="A63" s="2"/>
      <c r="B63" s="2"/>
      <c r="C63" s="11"/>
      <c r="D63" s="336"/>
      <c r="E63" s="277"/>
      <c r="F63" s="277"/>
      <c r="G63" s="277"/>
      <c r="H63" s="277"/>
      <c r="I63" s="142"/>
      <c r="J63" s="3"/>
      <c r="K63" s="314"/>
      <c r="L63" s="142"/>
      <c r="M63" s="314"/>
      <c r="N63" s="142"/>
      <c r="O63" s="320"/>
      <c r="P63" s="236"/>
      <c r="Q63" s="318"/>
      <c r="R63" s="245"/>
      <c r="S63" s="245"/>
      <c r="T63" s="245"/>
      <c r="U63" s="245"/>
      <c r="V63" s="246"/>
      <c r="W63" s="30"/>
      <c r="X63" s="2"/>
      <c r="Y63" s="2"/>
      <c r="Z63" s="2"/>
      <c r="AA63" s="2"/>
      <c r="AB63" s="2"/>
      <c r="AC63" s="2"/>
      <c r="AD63" s="2"/>
    </row>
    <row r="64" spans="1:30" ht="14" x14ac:dyDescent="0.3">
      <c r="A64" s="2"/>
      <c r="B64" s="2"/>
      <c r="C64" s="11"/>
      <c r="D64" s="337"/>
      <c r="E64" s="277"/>
      <c r="F64" s="277"/>
      <c r="G64" s="277"/>
      <c r="H64" s="277"/>
      <c r="I64" s="338"/>
      <c r="J64" s="111"/>
      <c r="K64" s="316"/>
      <c r="L64" s="232"/>
      <c r="M64" s="316"/>
      <c r="N64" s="232"/>
      <c r="O64" s="321"/>
      <c r="P64" s="232"/>
      <c r="Q64" s="274"/>
      <c r="R64" s="245"/>
      <c r="S64" s="245"/>
      <c r="T64" s="245"/>
      <c r="U64" s="245"/>
      <c r="V64" s="246"/>
      <c r="W64" s="30"/>
      <c r="X64" s="2"/>
      <c r="Y64" s="2"/>
      <c r="Z64" s="2"/>
      <c r="AA64" s="2"/>
      <c r="AB64" s="2"/>
      <c r="AC64" s="2"/>
      <c r="AD64" s="2"/>
    </row>
    <row r="65" spans="1:30" ht="12.5" x14ac:dyDescent="0.25">
      <c r="A65" s="2"/>
      <c r="B65" s="2"/>
      <c r="C65" s="11"/>
      <c r="D65" s="93"/>
      <c r="E65" s="2"/>
      <c r="F65" s="2"/>
      <c r="G65" s="2"/>
      <c r="H65" s="2"/>
      <c r="I65" s="2"/>
      <c r="J65" s="3"/>
      <c r="K65" s="314"/>
      <c r="L65" s="142"/>
      <c r="M65" s="314"/>
      <c r="N65" s="142"/>
      <c r="O65" s="320"/>
      <c r="P65" s="236"/>
      <c r="Q65" s="318"/>
      <c r="R65" s="245"/>
      <c r="S65" s="245"/>
      <c r="T65" s="245"/>
      <c r="U65" s="245"/>
      <c r="V65" s="246"/>
      <c r="W65" s="30"/>
      <c r="X65" s="2"/>
      <c r="Y65" s="2"/>
      <c r="Z65" s="2"/>
      <c r="AA65" s="2"/>
      <c r="AB65" s="2"/>
      <c r="AC65" s="2"/>
      <c r="AD65" s="2"/>
    </row>
    <row r="66" spans="1:30" ht="12.5" x14ac:dyDescent="0.25">
      <c r="A66" s="2"/>
      <c r="B66" s="2"/>
      <c r="C66" s="11"/>
      <c r="D66" s="337"/>
      <c r="E66" s="277"/>
      <c r="F66" s="277"/>
      <c r="G66" s="277"/>
      <c r="H66" s="277"/>
      <c r="I66" s="338"/>
      <c r="J66" s="111"/>
      <c r="K66" s="316"/>
      <c r="L66" s="232"/>
      <c r="M66" s="316"/>
      <c r="N66" s="232"/>
      <c r="O66" s="317"/>
      <c r="P66" s="232"/>
      <c r="Q66" s="274"/>
      <c r="R66" s="245"/>
      <c r="S66" s="245"/>
      <c r="T66" s="245"/>
      <c r="U66" s="245"/>
      <c r="V66" s="246"/>
      <c r="W66" s="30"/>
      <c r="X66" s="2"/>
      <c r="Y66" s="2"/>
      <c r="Z66" s="2"/>
      <c r="AA66" s="2"/>
      <c r="AB66" s="2"/>
      <c r="AC66" s="2"/>
      <c r="AD66" s="2"/>
    </row>
    <row r="67" spans="1:30" ht="12.5" x14ac:dyDescent="0.25">
      <c r="A67" s="2"/>
      <c r="B67" s="2"/>
      <c r="C67" s="11"/>
      <c r="D67" s="93"/>
      <c r="E67" s="2"/>
      <c r="F67" s="2"/>
      <c r="G67" s="2"/>
      <c r="H67" s="2"/>
      <c r="I67" s="2"/>
      <c r="J67" s="3"/>
      <c r="K67" s="314"/>
      <c r="L67" s="142"/>
      <c r="M67" s="314"/>
      <c r="N67" s="142"/>
      <c r="O67" s="320"/>
      <c r="P67" s="236"/>
      <c r="Q67" s="318"/>
      <c r="R67" s="245"/>
      <c r="S67" s="245"/>
      <c r="T67" s="245"/>
      <c r="U67" s="245"/>
      <c r="V67" s="246"/>
      <c r="W67" s="30"/>
      <c r="X67" s="2"/>
      <c r="Y67" s="2"/>
      <c r="Z67" s="2"/>
      <c r="AA67" s="2"/>
      <c r="AB67" s="2"/>
      <c r="AC67" s="2"/>
      <c r="AD67" s="2"/>
    </row>
    <row r="68" spans="1:30" ht="12.5" x14ac:dyDescent="0.25">
      <c r="A68" s="2"/>
      <c r="B68" s="2"/>
      <c r="C68" s="11"/>
      <c r="D68" s="337"/>
      <c r="E68" s="277"/>
      <c r="F68" s="277"/>
      <c r="G68" s="277"/>
      <c r="H68" s="277"/>
      <c r="I68" s="338"/>
      <c r="J68" s="111"/>
      <c r="K68" s="316"/>
      <c r="L68" s="232"/>
      <c r="M68" s="316"/>
      <c r="N68" s="232"/>
      <c r="O68" s="317"/>
      <c r="P68" s="232"/>
      <c r="Q68" s="274"/>
      <c r="R68" s="245"/>
      <c r="S68" s="245"/>
      <c r="T68" s="245"/>
      <c r="U68" s="245"/>
      <c r="V68" s="246"/>
      <c r="W68" s="30"/>
      <c r="X68" s="2"/>
      <c r="Y68" s="2"/>
      <c r="Z68" s="2"/>
      <c r="AA68" s="2"/>
      <c r="AB68" s="2"/>
      <c r="AC68" s="2"/>
      <c r="AD68" s="2"/>
    </row>
    <row r="69" spans="1:30" ht="12.5" x14ac:dyDescent="0.25">
      <c r="A69" s="2"/>
      <c r="B69" s="2"/>
      <c r="C69" s="11"/>
      <c r="D69" s="93"/>
      <c r="E69" s="2"/>
      <c r="F69" s="2"/>
      <c r="G69" s="2"/>
      <c r="H69" s="2"/>
      <c r="I69" s="2"/>
      <c r="J69" s="3"/>
      <c r="K69" s="314"/>
      <c r="L69" s="142"/>
      <c r="M69" s="314"/>
      <c r="N69" s="142"/>
      <c r="O69" s="320"/>
      <c r="P69" s="236"/>
      <c r="Q69" s="318"/>
      <c r="R69" s="245"/>
      <c r="S69" s="245"/>
      <c r="T69" s="245"/>
      <c r="U69" s="245"/>
      <c r="V69" s="246"/>
      <c r="W69" s="30"/>
      <c r="X69" s="2"/>
      <c r="Y69" s="2"/>
      <c r="Z69" s="2"/>
      <c r="AA69" s="2"/>
      <c r="AB69" s="2"/>
      <c r="AC69" s="2"/>
      <c r="AD69" s="2"/>
    </row>
    <row r="70" spans="1:30" ht="12.5" x14ac:dyDescent="0.25">
      <c r="A70" s="2"/>
      <c r="B70" s="2"/>
      <c r="C70" s="11"/>
      <c r="D70" s="337"/>
      <c r="E70" s="277"/>
      <c r="F70" s="277"/>
      <c r="G70" s="277"/>
      <c r="H70" s="277"/>
      <c r="I70" s="338"/>
      <c r="J70" s="111"/>
      <c r="K70" s="316"/>
      <c r="L70" s="232"/>
      <c r="M70" s="316"/>
      <c r="N70" s="232"/>
      <c r="O70" s="317"/>
      <c r="P70" s="232"/>
      <c r="Q70" s="274"/>
      <c r="R70" s="245"/>
      <c r="S70" s="245"/>
      <c r="T70" s="245"/>
      <c r="U70" s="245"/>
      <c r="V70" s="246"/>
      <c r="W70" s="30"/>
      <c r="X70" s="2"/>
      <c r="Y70" s="2"/>
      <c r="Z70" s="2"/>
      <c r="AA70" s="2"/>
      <c r="AB70" s="2"/>
      <c r="AC70" s="2"/>
      <c r="AD70" s="2"/>
    </row>
    <row r="71" spans="1:30" ht="12.5" x14ac:dyDescent="0.25">
      <c r="A71" s="2"/>
      <c r="B71" s="2"/>
      <c r="C71" s="11"/>
      <c r="D71" s="93"/>
      <c r="E71" s="2"/>
      <c r="F71" s="2"/>
      <c r="G71" s="2"/>
      <c r="H71" s="2"/>
      <c r="I71" s="2"/>
      <c r="J71" s="3"/>
      <c r="K71" s="314"/>
      <c r="L71" s="142"/>
      <c r="M71" s="314"/>
      <c r="N71" s="142"/>
      <c r="O71" s="320"/>
      <c r="P71" s="236"/>
      <c r="Q71" s="318"/>
      <c r="R71" s="245"/>
      <c r="S71" s="245"/>
      <c r="T71" s="245"/>
      <c r="U71" s="245"/>
      <c r="V71" s="246"/>
      <c r="W71" s="30"/>
      <c r="X71" s="2"/>
      <c r="Y71" s="2"/>
      <c r="Z71" s="2"/>
      <c r="AA71" s="2"/>
      <c r="AB71" s="2"/>
      <c r="AC71" s="2"/>
      <c r="AD71" s="2"/>
    </row>
    <row r="72" spans="1:30" ht="12.5" x14ac:dyDescent="0.25">
      <c r="A72" s="2"/>
      <c r="B72" s="2"/>
      <c r="C72" s="11"/>
      <c r="D72" s="337"/>
      <c r="E72" s="277"/>
      <c r="F72" s="277"/>
      <c r="G72" s="277"/>
      <c r="H72" s="277"/>
      <c r="I72" s="338"/>
      <c r="J72" s="111"/>
      <c r="K72" s="316"/>
      <c r="L72" s="232"/>
      <c r="M72" s="316"/>
      <c r="N72" s="232"/>
      <c r="O72" s="317"/>
      <c r="P72" s="232"/>
      <c r="Q72" s="274"/>
      <c r="R72" s="245"/>
      <c r="S72" s="245"/>
      <c r="T72" s="245"/>
      <c r="U72" s="245"/>
      <c r="V72" s="246"/>
      <c r="W72" s="30"/>
      <c r="X72" s="2"/>
      <c r="Y72" s="2"/>
      <c r="Z72" s="2"/>
      <c r="AA72" s="2"/>
      <c r="AB72" s="2"/>
      <c r="AC72" s="2"/>
      <c r="AD72" s="2"/>
    </row>
    <row r="73" spans="1:30" ht="12.5" x14ac:dyDescent="0.25">
      <c r="A73" s="2"/>
      <c r="B73" s="2"/>
      <c r="C73" s="11"/>
      <c r="D73" s="93"/>
      <c r="E73" s="2"/>
      <c r="F73" s="2"/>
      <c r="G73" s="2"/>
      <c r="H73" s="2"/>
      <c r="I73" s="2"/>
      <c r="J73" s="3"/>
      <c r="K73" s="314"/>
      <c r="L73" s="142"/>
      <c r="M73" s="314"/>
      <c r="N73" s="142"/>
      <c r="O73" s="320"/>
      <c r="P73" s="236"/>
      <c r="Q73" s="318"/>
      <c r="R73" s="245"/>
      <c r="S73" s="245"/>
      <c r="T73" s="245"/>
      <c r="U73" s="245"/>
      <c r="V73" s="246"/>
      <c r="W73" s="30"/>
      <c r="X73" s="2"/>
      <c r="Y73" s="2"/>
      <c r="Z73" s="2"/>
      <c r="AA73" s="2"/>
      <c r="AB73" s="2"/>
      <c r="AC73" s="2"/>
      <c r="AD73" s="2"/>
    </row>
    <row r="74" spans="1:30" ht="12.5" x14ac:dyDescent="0.25">
      <c r="A74" s="2"/>
      <c r="B74" s="2"/>
      <c r="C74" s="11"/>
      <c r="D74" s="337"/>
      <c r="E74" s="277"/>
      <c r="F74" s="277"/>
      <c r="G74" s="277"/>
      <c r="H74" s="277"/>
      <c r="I74" s="338"/>
      <c r="J74" s="111"/>
      <c r="K74" s="316"/>
      <c r="L74" s="232"/>
      <c r="M74" s="316"/>
      <c r="N74" s="232"/>
      <c r="O74" s="317"/>
      <c r="P74" s="232"/>
      <c r="Q74" s="274"/>
      <c r="R74" s="245"/>
      <c r="S74" s="245"/>
      <c r="T74" s="245"/>
      <c r="U74" s="245"/>
      <c r="V74" s="246"/>
      <c r="W74" s="30"/>
      <c r="X74" s="2"/>
      <c r="Y74" s="2"/>
      <c r="Z74" s="2"/>
      <c r="AA74" s="2"/>
      <c r="AB74" s="2"/>
      <c r="AC74" s="2"/>
      <c r="AD74" s="2"/>
    </row>
    <row r="75" spans="1:30" ht="12.5" x14ac:dyDescent="0.25">
      <c r="A75" s="2"/>
      <c r="B75" s="2"/>
      <c r="C75" s="11"/>
      <c r="D75" s="93"/>
      <c r="E75" s="2"/>
      <c r="F75" s="2"/>
      <c r="G75" s="2"/>
      <c r="H75" s="2"/>
      <c r="I75" s="2"/>
      <c r="J75" s="3"/>
      <c r="K75" s="314"/>
      <c r="L75" s="142"/>
      <c r="M75" s="314"/>
      <c r="N75" s="142"/>
      <c r="O75" s="320"/>
      <c r="P75" s="236"/>
      <c r="Q75" s="318"/>
      <c r="R75" s="245"/>
      <c r="S75" s="245"/>
      <c r="T75" s="245"/>
      <c r="U75" s="245"/>
      <c r="V75" s="246"/>
      <c r="W75" s="30"/>
      <c r="X75" s="2"/>
      <c r="Y75" s="2"/>
      <c r="Z75" s="2"/>
      <c r="AA75" s="2"/>
      <c r="AB75" s="2"/>
      <c r="AC75" s="2"/>
      <c r="AD75" s="2"/>
    </row>
    <row r="76" spans="1:30" ht="12.5" x14ac:dyDescent="0.25">
      <c r="A76" s="2"/>
      <c r="B76" s="2"/>
      <c r="C76" s="11"/>
      <c r="D76" s="337"/>
      <c r="E76" s="277"/>
      <c r="F76" s="277"/>
      <c r="G76" s="277"/>
      <c r="H76" s="277"/>
      <c r="I76" s="338"/>
      <c r="J76" s="111"/>
      <c r="K76" s="316"/>
      <c r="L76" s="232"/>
      <c r="M76" s="316"/>
      <c r="N76" s="232"/>
      <c r="O76" s="317"/>
      <c r="P76" s="232"/>
      <c r="Q76" s="274"/>
      <c r="R76" s="245"/>
      <c r="S76" s="245"/>
      <c r="T76" s="245"/>
      <c r="U76" s="245"/>
      <c r="V76" s="246"/>
      <c r="W76" s="30"/>
      <c r="X76" s="2"/>
      <c r="Y76" s="2"/>
      <c r="Z76" s="2"/>
      <c r="AA76" s="2"/>
      <c r="AB76" s="2"/>
      <c r="AC76" s="2"/>
      <c r="AD76" s="2"/>
    </row>
    <row r="77" spans="1:30" ht="12.5" x14ac:dyDescent="0.25">
      <c r="A77" s="2"/>
      <c r="B77" s="2"/>
      <c r="C77" s="11"/>
      <c r="D77" s="93"/>
      <c r="E77" s="2"/>
      <c r="F77" s="2"/>
      <c r="G77" s="2"/>
      <c r="H77" s="2"/>
      <c r="I77" s="2"/>
      <c r="J77" s="3"/>
      <c r="K77" s="314"/>
      <c r="L77" s="142"/>
      <c r="M77" s="314"/>
      <c r="N77" s="142"/>
      <c r="O77" s="320"/>
      <c r="P77" s="236"/>
      <c r="Q77" s="318"/>
      <c r="R77" s="245"/>
      <c r="S77" s="245"/>
      <c r="T77" s="245"/>
      <c r="U77" s="245"/>
      <c r="V77" s="246"/>
      <c r="W77" s="30"/>
      <c r="X77" s="2"/>
      <c r="Y77" s="2"/>
      <c r="Z77" s="2"/>
      <c r="AA77" s="2"/>
      <c r="AB77" s="2"/>
      <c r="AC77" s="2"/>
      <c r="AD77" s="2"/>
    </row>
    <row r="78" spans="1:30" ht="12.5" x14ac:dyDescent="0.25">
      <c r="A78" s="2"/>
      <c r="B78" s="2"/>
      <c r="C78" s="11"/>
      <c r="D78" s="337"/>
      <c r="E78" s="277"/>
      <c r="F78" s="277"/>
      <c r="G78" s="277"/>
      <c r="H78" s="277"/>
      <c r="I78" s="338"/>
      <c r="J78" s="111"/>
      <c r="K78" s="316"/>
      <c r="L78" s="232"/>
      <c r="M78" s="316"/>
      <c r="N78" s="232"/>
      <c r="O78" s="317"/>
      <c r="P78" s="232"/>
      <c r="Q78" s="274"/>
      <c r="R78" s="245"/>
      <c r="S78" s="245"/>
      <c r="T78" s="245"/>
      <c r="U78" s="245"/>
      <c r="V78" s="246"/>
      <c r="W78" s="30"/>
      <c r="X78" s="2"/>
      <c r="Y78" s="2"/>
      <c r="Z78" s="2"/>
      <c r="AA78" s="2"/>
      <c r="AB78" s="2"/>
      <c r="AC78" s="2"/>
      <c r="AD78" s="2"/>
    </row>
    <row r="79" spans="1:30" ht="12.5" x14ac:dyDescent="0.25">
      <c r="A79" s="2"/>
      <c r="B79" s="2"/>
      <c r="C79" s="11"/>
      <c r="D79" s="93"/>
      <c r="E79" s="2"/>
      <c r="F79" s="2"/>
      <c r="G79" s="2"/>
      <c r="H79" s="2"/>
      <c r="I79" s="2"/>
      <c r="J79" s="3"/>
      <c r="K79" s="314"/>
      <c r="L79" s="142"/>
      <c r="M79" s="314"/>
      <c r="N79" s="142"/>
      <c r="O79" s="320"/>
      <c r="P79" s="236"/>
      <c r="Q79" s="318"/>
      <c r="R79" s="245"/>
      <c r="S79" s="245"/>
      <c r="T79" s="245"/>
      <c r="U79" s="245"/>
      <c r="V79" s="246"/>
      <c r="W79" s="30"/>
      <c r="X79" s="2"/>
      <c r="Y79" s="2"/>
      <c r="Z79" s="2"/>
      <c r="AA79" s="2"/>
      <c r="AB79" s="2"/>
      <c r="AC79" s="2"/>
      <c r="AD79" s="2"/>
    </row>
    <row r="80" spans="1:30" ht="12.5" x14ac:dyDescent="0.25">
      <c r="A80" s="2"/>
      <c r="B80" s="2"/>
      <c r="C80" s="11"/>
      <c r="D80" s="337"/>
      <c r="E80" s="277"/>
      <c r="F80" s="277"/>
      <c r="G80" s="277"/>
      <c r="H80" s="277"/>
      <c r="I80" s="338"/>
      <c r="J80" s="111"/>
      <c r="K80" s="316"/>
      <c r="L80" s="232"/>
      <c r="M80" s="316"/>
      <c r="N80" s="232"/>
      <c r="O80" s="317"/>
      <c r="P80" s="232"/>
      <c r="Q80" s="274"/>
      <c r="R80" s="245"/>
      <c r="S80" s="245"/>
      <c r="T80" s="245"/>
      <c r="U80" s="245"/>
      <c r="V80" s="246"/>
      <c r="W80" s="30"/>
      <c r="X80" s="2"/>
      <c r="Y80" s="2"/>
      <c r="Z80" s="2"/>
      <c r="AA80" s="2"/>
      <c r="AB80" s="2"/>
      <c r="AC80" s="2"/>
      <c r="AD80" s="2"/>
    </row>
    <row r="81" spans="1:30" ht="12.5" x14ac:dyDescent="0.25">
      <c r="A81" s="2"/>
      <c r="B81" s="2"/>
      <c r="C81" s="11"/>
      <c r="D81" s="93"/>
      <c r="E81" s="2"/>
      <c r="F81" s="2"/>
      <c r="G81" s="2"/>
      <c r="H81" s="2"/>
      <c r="I81" s="2"/>
      <c r="J81" s="3"/>
      <c r="K81" s="314"/>
      <c r="L81" s="142"/>
      <c r="M81" s="314"/>
      <c r="N81" s="142"/>
      <c r="O81" s="320"/>
      <c r="P81" s="236"/>
      <c r="Q81" s="318"/>
      <c r="R81" s="245"/>
      <c r="S81" s="245"/>
      <c r="T81" s="245"/>
      <c r="U81" s="245"/>
      <c r="V81" s="246"/>
      <c r="W81" s="30"/>
      <c r="X81" s="2"/>
      <c r="Y81" s="2"/>
      <c r="Z81" s="2"/>
      <c r="AA81" s="2"/>
      <c r="AB81" s="2"/>
      <c r="AC81" s="2"/>
      <c r="AD81" s="2"/>
    </row>
    <row r="82" spans="1:30" ht="12.5" x14ac:dyDescent="0.25">
      <c r="A82" s="2"/>
      <c r="B82" s="2"/>
      <c r="C82" s="11"/>
      <c r="D82" s="337"/>
      <c r="E82" s="277"/>
      <c r="F82" s="277"/>
      <c r="G82" s="277"/>
      <c r="H82" s="277"/>
      <c r="I82" s="338"/>
      <c r="J82" s="111"/>
      <c r="K82" s="316"/>
      <c r="L82" s="232"/>
      <c r="M82" s="316"/>
      <c r="N82" s="232"/>
      <c r="O82" s="317"/>
      <c r="P82" s="232"/>
      <c r="Q82" s="274"/>
      <c r="R82" s="245"/>
      <c r="S82" s="245"/>
      <c r="T82" s="245"/>
      <c r="U82" s="245"/>
      <c r="V82" s="246"/>
      <c r="W82" s="30"/>
      <c r="X82" s="2"/>
      <c r="Y82" s="2"/>
      <c r="Z82" s="2"/>
      <c r="AA82" s="2"/>
      <c r="AB82" s="2"/>
      <c r="AC82" s="2"/>
      <c r="AD82" s="2"/>
    </row>
    <row r="83" spans="1:30" ht="12.5" x14ac:dyDescent="0.25">
      <c r="A83" s="2"/>
      <c r="B83" s="2"/>
      <c r="C83" s="11"/>
      <c r="D83" s="93"/>
      <c r="E83" s="2"/>
      <c r="F83" s="2"/>
      <c r="G83" s="2"/>
      <c r="H83" s="2"/>
      <c r="I83" s="2"/>
      <c r="J83" s="3"/>
      <c r="K83" s="314"/>
      <c r="L83" s="142"/>
      <c r="M83" s="314"/>
      <c r="N83" s="142"/>
      <c r="O83" s="320"/>
      <c r="P83" s="236"/>
      <c r="Q83" s="318"/>
      <c r="R83" s="245"/>
      <c r="S83" s="245"/>
      <c r="T83" s="245"/>
      <c r="U83" s="245"/>
      <c r="V83" s="246"/>
      <c r="W83" s="30"/>
      <c r="X83" s="2"/>
      <c r="Y83" s="2"/>
      <c r="Z83" s="2"/>
      <c r="AA83" s="2"/>
      <c r="AB83" s="2"/>
      <c r="AC83" s="2"/>
      <c r="AD83" s="2"/>
    </row>
    <row r="84" spans="1:30" ht="12.5" x14ac:dyDescent="0.25">
      <c r="A84" s="2"/>
      <c r="B84" s="2"/>
      <c r="C84" s="11"/>
      <c r="D84" s="337"/>
      <c r="E84" s="277"/>
      <c r="F84" s="277"/>
      <c r="G84" s="277"/>
      <c r="H84" s="277"/>
      <c r="I84" s="338"/>
      <c r="J84" s="111"/>
      <c r="K84" s="316"/>
      <c r="L84" s="232"/>
      <c r="M84" s="316"/>
      <c r="N84" s="232"/>
      <c r="O84" s="317"/>
      <c r="P84" s="232"/>
      <c r="Q84" s="274"/>
      <c r="R84" s="245"/>
      <c r="S84" s="245"/>
      <c r="T84" s="245"/>
      <c r="U84" s="245"/>
      <c r="V84" s="246"/>
      <c r="W84" s="30"/>
      <c r="X84" s="2"/>
      <c r="Y84" s="2"/>
      <c r="Z84" s="2"/>
      <c r="AA84" s="2"/>
      <c r="AB84" s="2"/>
      <c r="AC84" s="2"/>
      <c r="AD84" s="2"/>
    </row>
    <row r="85" spans="1:30" ht="12.5" x14ac:dyDescent="0.25">
      <c r="A85" s="2"/>
      <c r="B85" s="2"/>
      <c r="C85" s="11"/>
      <c r="D85" s="93"/>
      <c r="E85" s="2"/>
      <c r="F85" s="2"/>
      <c r="G85" s="2"/>
      <c r="H85" s="2"/>
      <c r="I85" s="2"/>
      <c r="J85" s="3"/>
      <c r="K85" s="314"/>
      <c r="L85" s="142"/>
      <c r="M85" s="314"/>
      <c r="N85" s="142"/>
      <c r="O85" s="320"/>
      <c r="P85" s="236"/>
      <c r="Q85" s="318"/>
      <c r="R85" s="245"/>
      <c r="S85" s="245"/>
      <c r="T85" s="245"/>
      <c r="U85" s="245"/>
      <c r="V85" s="246"/>
      <c r="W85" s="30"/>
      <c r="X85" s="2"/>
      <c r="Y85" s="2"/>
      <c r="Z85" s="2"/>
      <c r="AA85" s="2"/>
      <c r="AB85" s="2"/>
      <c r="AC85" s="2"/>
      <c r="AD85" s="2"/>
    </row>
    <row r="86" spans="1:30" ht="12.5" x14ac:dyDescent="0.25">
      <c r="A86" s="2"/>
      <c r="B86" s="2"/>
      <c r="C86" s="11"/>
      <c r="D86" s="337"/>
      <c r="E86" s="277"/>
      <c r="F86" s="277"/>
      <c r="G86" s="277"/>
      <c r="H86" s="277"/>
      <c r="I86" s="338"/>
      <c r="J86" s="111"/>
      <c r="K86" s="316"/>
      <c r="L86" s="232"/>
      <c r="M86" s="316"/>
      <c r="N86" s="232"/>
      <c r="O86" s="317"/>
      <c r="P86" s="232"/>
      <c r="Q86" s="274"/>
      <c r="R86" s="245"/>
      <c r="S86" s="245"/>
      <c r="T86" s="245"/>
      <c r="U86" s="245"/>
      <c r="V86" s="246"/>
      <c r="W86" s="30"/>
      <c r="X86" s="2"/>
      <c r="Y86" s="2"/>
      <c r="Z86" s="2"/>
      <c r="AA86" s="2"/>
      <c r="AB86" s="2"/>
      <c r="AC86" s="2"/>
      <c r="AD86" s="2"/>
    </row>
    <row r="87" spans="1:30" ht="12.5" x14ac:dyDescent="0.25">
      <c r="A87" s="2"/>
      <c r="B87" s="2"/>
      <c r="C87" s="11"/>
      <c r="D87" s="93"/>
      <c r="E87" s="2"/>
      <c r="F87" s="2"/>
      <c r="G87" s="2"/>
      <c r="H87" s="2"/>
      <c r="I87" s="2"/>
      <c r="J87" s="3"/>
      <c r="K87" s="314"/>
      <c r="L87" s="142"/>
      <c r="M87" s="314"/>
      <c r="N87" s="142"/>
      <c r="O87" s="320"/>
      <c r="P87" s="236"/>
      <c r="Q87" s="318"/>
      <c r="R87" s="245"/>
      <c r="S87" s="245"/>
      <c r="T87" s="245"/>
      <c r="U87" s="245"/>
      <c r="V87" s="246"/>
      <c r="W87" s="30"/>
      <c r="X87" s="2"/>
      <c r="Y87" s="2"/>
      <c r="Z87" s="2"/>
      <c r="AA87" s="2"/>
      <c r="AB87" s="2"/>
      <c r="AC87" s="2"/>
      <c r="AD87" s="2"/>
    </row>
    <row r="88" spans="1:30" ht="12.5" x14ac:dyDescent="0.25">
      <c r="A88" s="2"/>
      <c r="B88" s="2"/>
      <c r="C88" s="11"/>
      <c r="D88" s="337"/>
      <c r="E88" s="277"/>
      <c r="F88" s="277"/>
      <c r="G88" s="277"/>
      <c r="H88" s="277"/>
      <c r="I88" s="338"/>
      <c r="J88" s="111"/>
      <c r="K88" s="316"/>
      <c r="L88" s="232"/>
      <c r="M88" s="316"/>
      <c r="N88" s="232"/>
      <c r="O88" s="317"/>
      <c r="P88" s="232"/>
      <c r="Q88" s="274"/>
      <c r="R88" s="245"/>
      <c r="S88" s="245"/>
      <c r="T88" s="245"/>
      <c r="U88" s="245"/>
      <c r="V88" s="246"/>
      <c r="W88" s="30"/>
      <c r="X88" s="2"/>
      <c r="Y88" s="2"/>
      <c r="Z88" s="2"/>
      <c r="AA88" s="2"/>
      <c r="AB88" s="2"/>
      <c r="AC88" s="2"/>
      <c r="AD88" s="2"/>
    </row>
    <row r="89" spans="1:30" ht="12.5" x14ac:dyDescent="0.25">
      <c r="A89" s="2"/>
      <c r="B89" s="2"/>
      <c r="C89" s="11"/>
      <c r="D89" s="93"/>
      <c r="E89" s="2"/>
      <c r="F89" s="2"/>
      <c r="G89" s="2"/>
      <c r="H89" s="2"/>
      <c r="I89" s="2"/>
      <c r="J89" s="3"/>
      <c r="K89" s="314"/>
      <c r="L89" s="142"/>
      <c r="M89" s="314"/>
      <c r="N89" s="142"/>
      <c r="O89" s="320"/>
      <c r="P89" s="236"/>
      <c r="Q89" s="318"/>
      <c r="R89" s="245"/>
      <c r="S89" s="245"/>
      <c r="T89" s="245"/>
      <c r="U89" s="245"/>
      <c r="V89" s="246"/>
      <c r="W89" s="30"/>
      <c r="X89" s="2"/>
      <c r="Y89" s="2"/>
      <c r="Z89" s="2"/>
      <c r="AA89" s="2"/>
      <c r="AB89" s="2"/>
      <c r="AC89" s="2"/>
      <c r="AD89" s="2"/>
    </row>
    <row r="90" spans="1:30" ht="12.5" x14ac:dyDescent="0.25">
      <c r="A90" s="2"/>
      <c r="B90" s="2"/>
      <c r="C90" s="11"/>
      <c r="D90" s="337"/>
      <c r="E90" s="277"/>
      <c r="F90" s="277"/>
      <c r="G90" s="277"/>
      <c r="H90" s="277"/>
      <c r="I90" s="338"/>
      <c r="J90" s="111"/>
      <c r="K90" s="316"/>
      <c r="L90" s="232"/>
      <c r="M90" s="316"/>
      <c r="N90" s="232"/>
      <c r="O90" s="317"/>
      <c r="P90" s="232"/>
      <c r="Q90" s="274"/>
      <c r="R90" s="245"/>
      <c r="S90" s="245"/>
      <c r="T90" s="245"/>
      <c r="U90" s="245"/>
      <c r="V90" s="246"/>
      <c r="W90" s="30"/>
      <c r="X90" s="2"/>
      <c r="Y90" s="2"/>
      <c r="Z90" s="2"/>
      <c r="AA90" s="2"/>
      <c r="AB90" s="2"/>
      <c r="AC90" s="2"/>
      <c r="AD90" s="2"/>
    </row>
    <row r="91" spans="1:30" ht="12.5" x14ac:dyDescent="0.25">
      <c r="A91" s="2"/>
      <c r="B91" s="2"/>
      <c r="C91" s="11"/>
      <c r="D91" s="93"/>
      <c r="E91" s="2"/>
      <c r="F91" s="2"/>
      <c r="G91" s="2"/>
      <c r="H91" s="2"/>
      <c r="I91" s="2"/>
      <c r="J91" s="3"/>
      <c r="K91" s="314"/>
      <c r="L91" s="142"/>
      <c r="M91" s="314"/>
      <c r="N91" s="142"/>
      <c r="O91" s="320"/>
      <c r="P91" s="236"/>
      <c r="Q91" s="318"/>
      <c r="R91" s="245"/>
      <c r="S91" s="245"/>
      <c r="T91" s="245"/>
      <c r="U91" s="245"/>
      <c r="V91" s="246"/>
      <c r="W91" s="30"/>
      <c r="X91" s="2"/>
      <c r="Y91" s="2"/>
      <c r="Z91" s="2"/>
      <c r="AA91" s="2"/>
      <c r="AB91" s="2"/>
      <c r="AC91" s="2"/>
      <c r="AD91" s="2"/>
    </row>
    <row r="92" spans="1:30" ht="12.5" x14ac:dyDescent="0.25">
      <c r="A92" s="2"/>
      <c r="B92" s="2"/>
      <c r="C92" s="11"/>
      <c r="D92" s="337"/>
      <c r="E92" s="277"/>
      <c r="F92" s="277"/>
      <c r="G92" s="277"/>
      <c r="H92" s="277"/>
      <c r="I92" s="338"/>
      <c r="J92" s="111"/>
      <c r="K92" s="316"/>
      <c r="L92" s="232"/>
      <c r="M92" s="316"/>
      <c r="N92" s="232"/>
      <c r="O92" s="317"/>
      <c r="P92" s="232"/>
      <c r="Q92" s="274"/>
      <c r="R92" s="245"/>
      <c r="S92" s="245"/>
      <c r="T92" s="245"/>
      <c r="U92" s="245"/>
      <c r="V92" s="246"/>
      <c r="W92" s="30"/>
      <c r="X92" s="2"/>
      <c r="Y92" s="2"/>
      <c r="Z92" s="2"/>
      <c r="AA92" s="2"/>
      <c r="AB92" s="2"/>
      <c r="AC92" s="2"/>
      <c r="AD92" s="2"/>
    </row>
    <row r="93" spans="1:30" ht="12.5" x14ac:dyDescent="0.25">
      <c r="A93" s="2"/>
      <c r="B93" s="2"/>
      <c r="C93" s="11"/>
      <c r="D93" s="93"/>
      <c r="E93" s="2"/>
      <c r="F93" s="2"/>
      <c r="G93" s="2"/>
      <c r="H93" s="2"/>
      <c r="I93" s="2"/>
      <c r="J93" s="3"/>
      <c r="K93" s="314"/>
      <c r="L93" s="142"/>
      <c r="M93" s="314"/>
      <c r="N93" s="142"/>
      <c r="O93" s="320"/>
      <c r="P93" s="236"/>
      <c r="Q93" s="318"/>
      <c r="R93" s="245"/>
      <c r="S93" s="245"/>
      <c r="T93" s="245"/>
      <c r="U93" s="245"/>
      <c r="V93" s="246"/>
      <c r="W93" s="30"/>
      <c r="X93" s="2"/>
      <c r="Y93" s="2"/>
      <c r="Z93" s="2"/>
      <c r="AA93" s="2"/>
      <c r="AB93" s="2"/>
      <c r="AC93" s="2"/>
      <c r="AD93" s="2"/>
    </row>
    <row r="94" spans="1:30" ht="12.5" x14ac:dyDescent="0.25">
      <c r="A94" s="2"/>
      <c r="B94" s="2"/>
      <c r="C94" s="11"/>
      <c r="D94" s="337"/>
      <c r="E94" s="277"/>
      <c r="F94" s="277"/>
      <c r="G94" s="277"/>
      <c r="H94" s="277"/>
      <c r="I94" s="338"/>
      <c r="J94" s="111"/>
      <c r="K94" s="316"/>
      <c r="L94" s="232"/>
      <c r="M94" s="316"/>
      <c r="N94" s="232"/>
      <c r="O94" s="317"/>
      <c r="P94" s="232"/>
      <c r="Q94" s="274"/>
      <c r="R94" s="245"/>
      <c r="S94" s="245"/>
      <c r="T94" s="245"/>
      <c r="U94" s="245"/>
      <c r="V94" s="246"/>
      <c r="W94" s="30"/>
      <c r="X94" s="2"/>
      <c r="Y94" s="2"/>
      <c r="Z94" s="2"/>
      <c r="AA94" s="2"/>
      <c r="AB94" s="2"/>
      <c r="AC94" s="2"/>
      <c r="AD94" s="2"/>
    </row>
    <row r="95" spans="1:30" ht="12.5" x14ac:dyDescent="0.25">
      <c r="A95" s="2"/>
      <c r="B95" s="2"/>
      <c r="C95" s="11"/>
      <c r="D95" s="93"/>
      <c r="E95" s="2"/>
      <c r="F95" s="2"/>
      <c r="G95" s="2"/>
      <c r="H95" s="2"/>
      <c r="I95" s="2"/>
      <c r="J95" s="3"/>
      <c r="K95" s="314"/>
      <c r="L95" s="142"/>
      <c r="M95" s="314"/>
      <c r="N95" s="142"/>
      <c r="O95" s="320"/>
      <c r="P95" s="236"/>
      <c r="Q95" s="318"/>
      <c r="R95" s="245"/>
      <c r="S95" s="245"/>
      <c r="T95" s="245"/>
      <c r="U95" s="245"/>
      <c r="V95" s="246"/>
      <c r="W95" s="30"/>
      <c r="X95" s="2"/>
      <c r="Y95" s="2"/>
      <c r="Z95" s="2"/>
      <c r="AA95" s="2"/>
      <c r="AB95" s="2"/>
      <c r="AC95" s="2"/>
      <c r="AD95" s="2"/>
    </row>
    <row r="96" spans="1:30" ht="12.5" x14ac:dyDescent="0.25">
      <c r="A96" s="2"/>
      <c r="B96" s="2"/>
      <c r="C96" s="11"/>
      <c r="D96" s="337"/>
      <c r="E96" s="277"/>
      <c r="F96" s="277"/>
      <c r="G96" s="277"/>
      <c r="H96" s="277"/>
      <c r="I96" s="338"/>
      <c r="J96" s="111"/>
      <c r="K96" s="316"/>
      <c r="L96" s="232"/>
      <c r="M96" s="316"/>
      <c r="N96" s="232"/>
      <c r="O96" s="317"/>
      <c r="P96" s="232"/>
      <c r="Q96" s="274"/>
      <c r="R96" s="245"/>
      <c r="S96" s="245"/>
      <c r="T96" s="245"/>
      <c r="U96" s="245"/>
      <c r="V96" s="246"/>
      <c r="W96" s="30"/>
      <c r="X96" s="2"/>
      <c r="Y96" s="2"/>
      <c r="Z96" s="2"/>
      <c r="AA96" s="2"/>
      <c r="AB96" s="2"/>
      <c r="AC96" s="2"/>
      <c r="AD96" s="2"/>
    </row>
    <row r="97" spans="1:30" ht="12.5" x14ac:dyDescent="0.25">
      <c r="A97" s="2"/>
      <c r="B97" s="2"/>
      <c r="C97" s="11"/>
      <c r="D97" s="93"/>
      <c r="E97" s="2"/>
      <c r="F97" s="2"/>
      <c r="G97" s="2"/>
      <c r="H97" s="2"/>
      <c r="I97" s="2"/>
      <c r="J97" s="3"/>
      <c r="K97" s="314"/>
      <c r="L97" s="142"/>
      <c r="M97" s="314"/>
      <c r="N97" s="142"/>
      <c r="O97" s="320"/>
      <c r="P97" s="236"/>
      <c r="Q97" s="318"/>
      <c r="R97" s="245"/>
      <c r="S97" s="245"/>
      <c r="T97" s="245"/>
      <c r="U97" s="245"/>
      <c r="V97" s="246"/>
      <c r="W97" s="30"/>
      <c r="X97" s="2"/>
      <c r="Y97" s="2"/>
      <c r="Z97" s="2"/>
      <c r="AA97" s="2"/>
      <c r="AB97" s="2"/>
      <c r="AC97" s="2"/>
      <c r="AD97" s="2"/>
    </row>
    <row r="98" spans="1:30" ht="12.5" x14ac:dyDescent="0.25">
      <c r="A98" s="2"/>
      <c r="B98" s="2"/>
      <c r="C98" s="11"/>
      <c r="D98" s="337"/>
      <c r="E98" s="277"/>
      <c r="F98" s="277"/>
      <c r="G98" s="277"/>
      <c r="H98" s="277"/>
      <c r="I98" s="338"/>
      <c r="J98" s="111"/>
      <c r="K98" s="316"/>
      <c r="L98" s="232"/>
      <c r="M98" s="316"/>
      <c r="N98" s="232"/>
      <c r="O98" s="317"/>
      <c r="P98" s="232"/>
      <c r="Q98" s="274"/>
      <c r="R98" s="245"/>
      <c r="S98" s="245"/>
      <c r="T98" s="245"/>
      <c r="U98" s="245"/>
      <c r="V98" s="246"/>
      <c r="W98" s="30"/>
      <c r="X98" s="2"/>
      <c r="Y98" s="2"/>
      <c r="Z98" s="2"/>
      <c r="AA98" s="2"/>
      <c r="AB98" s="2"/>
      <c r="AC98" s="2"/>
      <c r="AD98" s="2"/>
    </row>
    <row r="99" spans="1:30" ht="12.5" x14ac:dyDescent="0.25">
      <c r="A99" s="2"/>
      <c r="B99" s="2"/>
      <c r="C99" s="11"/>
      <c r="D99" s="93"/>
      <c r="E99" s="2"/>
      <c r="F99" s="2"/>
      <c r="G99" s="2"/>
      <c r="H99" s="2"/>
      <c r="I99" s="2"/>
      <c r="J99" s="3"/>
      <c r="K99" s="314"/>
      <c r="L99" s="142"/>
      <c r="M99" s="314"/>
      <c r="N99" s="142"/>
      <c r="O99" s="320"/>
      <c r="P99" s="236"/>
      <c r="Q99" s="318"/>
      <c r="R99" s="245"/>
      <c r="S99" s="245"/>
      <c r="T99" s="245"/>
      <c r="U99" s="245"/>
      <c r="V99" s="246"/>
      <c r="W99" s="30"/>
      <c r="X99" s="2"/>
      <c r="Y99" s="2"/>
      <c r="Z99" s="2"/>
      <c r="AA99" s="2"/>
      <c r="AB99" s="2"/>
      <c r="AC99" s="2"/>
      <c r="AD99" s="2"/>
    </row>
    <row r="100" spans="1:30" ht="12.5" x14ac:dyDescent="0.25">
      <c r="A100" s="2"/>
      <c r="B100" s="2"/>
      <c r="C100" s="11"/>
      <c r="D100" s="337"/>
      <c r="E100" s="277"/>
      <c r="F100" s="277"/>
      <c r="G100" s="277"/>
      <c r="H100" s="277"/>
      <c r="I100" s="338"/>
      <c r="J100" s="111"/>
      <c r="K100" s="316"/>
      <c r="L100" s="232"/>
      <c r="M100" s="316"/>
      <c r="N100" s="232"/>
      <c r="O100" s="317"/>
      <c r="P100" s="232"/>
      <c r="Q100" s="274"/>
      <c r="R100" s="245"/>
      <c r="S100" s="245"/>
      <c r="T100" s="245"/>
      <c r="U100" s="245"/>
      <c r="V100" s="246"/>
      <c r="W100" s="30"/>
      <c r="X100" s="2"/>
      <c r="Y100" s="2"/>
      <c r="Z100" s="2"/>
      <c r="AA100" s="2"/>
      <c r="AB100" s="2"/>
      <c r="AC100" s="2"/>
      <c r="AD100" s="2"/>
    </row>
    <row r="101" spans="1:30" ht="12.5" x14ac:dyDescent="0.25">
      <c r="A101" s="2"/>
      <c r="B101" s="2"/>
      <c r="C101" s="11"/>
      <c r="D101" s="93"/>
      <c r="E101" s="2"/>
      <c r="F101" s="2"/>
      <c r="G101" s="2"/>
      <c r="H101" s="2"/>
      <c r="I101" s="2"/>
      <c r="J101" s="3"/>
      <c r="K101" s="314"/>
      <c r="L101" s="142"/>
      <c r="M101" s="314"/>
      <c r="N101" s="142"/>
      <c r="O101" s="320"/>
      <c r="P101" s="236"/>
      <c r="Q101" s="318"/>
      <c r="R101" s="245"/>
      <c r="S101" s="245"/>
      <c r="T101" s="245"/>
      <c r="U101" s="245"/>
      <c r="V101" s="246"/>
      <c r="W101" s="30"/>
      <c r="X101" s="2"/>
      <c r="Y101" s="2"/>
      <c r="Z101" s="2"/>
      <c r="AA101" s="2"/>
      <c r="AB101" s="2"/>
      <c r="AC101" s="2"/>
      <c r="AD101" s="2"/>
    </row>
    <row r="102" spans="1:30" ht="12.5" x14ac:dyDescent="0.25">
      <c r="A102" s="2"/>
      <c r="B102" s="2"/>
      <c r="C102" s="11"/>
      <c r="D102" s="337"/>
      <c r="E102" s="277"/>
      <c r="F102" s="277"/>
      <c r="G102" s="277"/>
      <c r="H102" s="277"/>
      <c r="I102" s="338"/>
      <c r="J102" s="111"/>
      <c r="K102" s="316"/>
      <c r="L102" s="232"/>
      <c r="M102" s="316"/>
      <c r="N102" s="232"/>
      <c r="O102" s="317"/>
      <c r="P102" s="232"/>
      <c r="Q102" s="274"/>
      <c r="R102" s="245"/>
      <c r="S102" s="245"/>
      <c r="T102" s="245"/>
      <c r="U102" s="245"/>
      <c r="V102" s="246"/>
      <c r="W102" s="30"/>
      <c r="X102" s="2"/>
      <c r="Y102" s="2"/>
      <c r="Z102" s="2"/>
      <c r="AA102" s="2"/>
      <c r="AB102" s="2"/>
      <c r="AC102" s="2"/>
      <c r="AD102" s="2"/>
    </row>
    <row r="103" spans="1:30" ht="12.5" x14ac:dyDescent="0.25">
      <c r="A103" s="2"/>
      <c r="B103" s="2"/>
      <c r="C103" s="11"/>
      <c r="D103" s="93"/>
      <c r="E103" s="2"/>
      <c r="F103" s="2"/>
      <c r="G103" s="2"/>
      <c r="H103" s="2"/>
      <c r="I103" s="2"/>
      <c r="J103" s="3"/>
      <c r="K103" s="314"/>
      <c r="L103" s="142"/>
      <c r="M103" s="314"/>
      <c r="N103" s="142"/>
      <c r="O103" s="320"/>
      <c r="P103" s="236"/>
      <c r="Q103" s="318"/>
      <c r="R103" s="245"/>
      <c r="S103" s="245"/>
      <c r="T103" s="245"/>
      <c r="U103" s="245"/>
      <c r="V103" s="246"/>
      <c r="W103" s="30"/>
      <c r="X103" s="2"/>
      <c r="Y103" s="2"/>
      <c r="Z103" s="2"/>
      <c r="AA103" s="2"/>
      <c r="AB103" s="2"/>
      <c r="AC103" s="2"/>
      <c r="AD103" s="2"/>
    </row>
    <row r="104" spans="1:30" ht="12.5" x14ac:dyDescent="0.25">
      <c r="A104" s="2"/>
      <c r="B104" s="2"/>
      <c r="C104" s="11"/>
      <c r="D104" s="337"/>
      <c r="E104" s="277"/>
      <c r="F104" s="277"/>
      <c r="G104" s="277"/>
      <c r="H104" s="277"/>
      <c r="I104" s="338"/>
      <c r="J104" s="111"/>
      <c r="K104" s="316"/>
      <c r="L104" s="232"/>
      <c r="M104" s="316"/>
      <c r="N104" s="232"/>
      <c r="O104" s="317"/>
      <c r="P104" s="232"/>
      <c r="Q104" s="274"/>
      <c r="R104" s="245"/>
      <c r="S104" s="245"/>
      <c r="T104" s="245"/>
      <c r="U104" s="245"/>
      <c r="V104" s="246"/>
      <c r="W104" s="30"/>
      <c r="X104" s="2"/>
      <c r="Y104" s="2"/>
      <c r="Z104" s="2"/>
      <c r="AA104" s="2"/>
      <c r="AB104" s="2"/>
      <c r="AC104" s="2"/>
      <c r="AD104" s="2"/>
    </row>
    <row r="105" spans="1:30" ht="12.5" x14ac:dyDescent="0.25">
      <c r="A105" s="2"/>
      <c r="B105" s="2"/>
      <c r="C105" s="11"/>
      <c r="D105" s="93"/>
      <c r="E105" s="2"/>
      <c r="F105" s="2"/>
      <c r="G105" s="2"/>
      <c r="H105" s="2"/>
      <c r="I105" s="2"/>
      <c r="J105" s="3"/>
      <c r="K105" s="314"/>
      <c r="L105" s="142"/>
      <c r="M105" s="314"/>
      <c r="N105" s="142"/>
      <c r="O105" s="320"/>
      <c r="P105" s="236"/>
      <c r="Q105" s="318"/>
      <c r="R105" s="245"/>
      <c r="S105" s="245"/>
      <c r="T105" s="245"/>
      <c r="U105" s="245"/>
      <c r="V105" s="246"/>
      <c r="W105" s="30"/>
      <c r="X105" s="2"/>
      <c r="Y105" s="2"/>
      <c r="Z105" s="2"/>
      <c r="AA105" s="2"/>
      <c r="AB105" s="2"/>
      <c r="AC105" s="2"/>
      <c r="AD105" s="2"/>
    </row>
    <row r="106" spans="1:30" ht="12.5" x14ac:dyDescent="0.25">
      <c r="A106" s="2"/>
      <c r="B106" s="2"/>
      <c r="C106" s="11"/>
      <c r="D106" s="337"/>
      <c r="E106" s="277"/>
      <c r="F106" s="277"/>
      <c r="G106" s="277"/>
      <c r="H106" s="277"/>
      <c r="I106" s="338"/>
      <c r="J106" s="111"/>
      <c r="K106" s="316"/>
      <c r="L106" s="232"/>
      <c r="M106" s="316"/>
      <c r="N106" s="232"/>
      <c r="O106" s="317"/>
      <c r="P106" s="232"/>
      <c r="Q106" s="274"/>
      <c r="R106" s="245"/>
      <c r="S106" s="245"/>
      <c r="T106" s="245"/>
      <c r="U106" s="245"/>
      <c r="V106" s="246"/>
      <c r="W106" s="30"/>
      <c r="X106" s="2"/>
      <c r="Y106" s="2"/>
      <c r="Z106" s="2"/>
      <c r="AA106" s="2"/>
      <c r="AB106" s="2"/>
      <c r="AC106" s="2"/>
      <c r="AD106" s="2"/>
    </row>
    <row r="107" spans="1:30" ht="12.5" x14ac:dyDescent="0.25">
      <c r="A107" s="2"/>
      <c r="B107" s="2"/>
      <c r="C107" s="11"/>
      <c r="D107" s="93"/>
      <c r="E107" s="2"/>
      <c r="F107" s="2"/>
      <c r="G107" s="2"/>
      <c r="H107" s="2"/>
      <c r="I107" s="2"/>
      <c r="J107" s="3"/>
      <c r="K107" s="314"/>
      <c r="L107" s="142"/>
      <c r="M107" s="314"/>
      <c r="N107" s="142"/>
      <c r="O107" s="320"/>
      <c r="P107" s="236"/>
      <c r="Q107" s="318"/>
      <c r="R107" s="245"/>
      <c r="S107" s="245"/>
      <c r="T107" s="245"/>
      <c r="U107" s="245"/>
      <c r="V107" s="246"/>
      <c r="W107" s="30"/>
      <c r="X107" s="2"/>
      <c r="Y107" s="2"/>
      <c r="Z107" s="2"/>
      <c r="AA107" s="2"/>
      <c r="AB107" s="2"/>
      <c r="AC107" s="2"/>
      <c r="AD107" s="2"/>
    </row>
    <row r="108" spans="1:30" ht="12.5" x14ac:dyDescent="0.25">
      <c r="A108" s="2"/>
      <c r="B108" s="2"/>
      <c r="C108" s="11"/>
      <c r="D108" s="337"/>
      <c r="E108" s="277"/>
      <c r="F108" s="277"/>
      <c r="G108" s="277"/>
      <c r="H108" s="277"/>
      <c r="I108" s="338"/>
      <c r="J108" s="111"/>
      <c r="K108" s="316"/>
      <c r="L108" s="232"/>
      <c r="M108" s="316"/>
      <c r="N108" s="232"/>
      <c r="O108" s="317"/>
      <c r="P108" s="232"/>
      <c r="Q108" s="274"/>
      <c r="R108" s="245"/>
      <c r="S108" s="245"/>
      <c r="T108" s="245"/>
      <c r="U108" s="245"/>
      <c r="V108" s="246"/>
      <c r="W108" s="30"/>
      <c r="X108" s="2"/>
      <c r="Y108" s="2"/>
      <c r="Z108" s="2"/>
      <c r="AA108" s="2"/>
      <c r="AB108" s="2"/>
      <c r="AC108" s="2"/>
      <c r="AD108" s="2"/>
    </row>
    <row r="109" spans="1:30" ht="12.5" x14ac:dyDescent="0.25">
      <c r="A109" s="2"/>
      <c r="B109" s="2"/>
      <c r="C109" s="11"/>
      <c r="D109" s="93"/>
      <c r="E109" s="2"/>
      <c r="F109" s="2"/>
      <c r="G109" s="2"/>
      <c r="H109" s="2"/>
      <c r="I109" s="2"/>
      <c r="J109" s="3"/>
      <c r="K109" s="314"/>
      <c r="L109" s="142"/>
      <c r="M109" s="314"/>
      <c r="N109" s="142"/>
      <c r="O109" s="320"/>
      <c r="P109" s="236"/>
      <c r="Q109" s="318"/>
      <c r="R109" s="245"/>
      <c r="S109" s="245"/>
      <c r="T109" s="245"/>
      <c r="U109" s="245"/>
      <c r="V109" s="246"/>
      <c r="W109" s="30"/>
      <c r="X109" s="2"/>
      <c r="Y109" s="2"/>
      <c r="Z109" s="2"/>
      <c r="AA109" s="2"/>
      <c r="AB109" s="2"/>
      <c r="AC109" s="2"/>
      <c r="AD109" s="2"/>
    </row>
    <row r="110" spans="1:30" ht="12.5" x14ac:dyDescent="0.25">
      <c r="A110" s="2"/>
      <c r="B110" s="2"/>
      <c r="C110" s="11"/>
      <c r="D110" s="337"/>
      <c r="E110" s="277"/>
      <c r="F110" s="277"/>
      <c r="G110" s="277"/>
      <c r="H110" s="277"/>
      <c r="I110" s="338"/>
      <c r="J110" s="111"/>
      <c r="K110" s="316"/>
      <c r="L110" s="232"/>
      <c r="M110" s="316"/>
      <c r="N110" s="232"/>
      <c r="O110" s="317"/>
      <c r="P110" s="232"/>
      <c r="Q110" s="274"/>
      <c r="R110" s="245"/>
      <c r="S110" s="245"/>
      <c r="T110" s="245"/>
      <c r="U110" s="245"/>
      <c r="V110" s="246"/>
      <c r="W110" s="30"/>
      <c r="X110" s="2"/>
      <c r="Y110" s="2"/>
      <c r="Z110" s="2"/>
      <c r="AA110" s="2"/>
      <c r="AB110" s="2"/>
      <c r="AC110" s="2"/>
      <c r="AD110" s="2"/>
    </row>
    <row r="111" spans="1:30" ht="12.5" x14ac:dyDescent="0.25">
      <c r="A111" s="2"/>
      <c r="B111" s="2"/>
      <c r="C111" s="11"/>
      <c r="D111" s="93"/>
      <c r="E111" s="2"/>
      <c r="F111" s="2"/>
      <c r="G111" s="2"/>
      <c r="H111" s="2"/>
      <c r="I111" s="2"/>
      <c r="J111" s="3"/>
      <c r="K111" s="314"/>
      <c r="L111" s="142"/>
      <c r="M111" s="314"/>
      <c r="N111" s="142"/>
      <c r="O111" s="320"/>
      <c r="P111" s="236"/>
      <c r="Q111" s="318"/>
      <c r="R111" s="245"/>
      <c r="S111" s="245"/>
      <c r="T111" s="245"/>
      <c r="U111" s="245"/>
      <c r="V111" s="246"/>
      <c r="W111" s="30"/>
      <c r="X111" s="2"/>
      <c r="Y111" s="2"/>
      <c r="Z111" s="2"/>
      <c r="AA111" s="2"/>
      <c r="AB111" s="2"/>
      <c r="AC111" s="2"/>
      <c r="AD111" s="2"/>
    </row>
    <row r="112" spans="1:30" ht="12.5" x14ac:dyDescent="0.25">
      <c r="A112" s="2"/>
      <c r="B112" s="2"/>
      <c r="C112" s="11"/>
      <c r="D112" s="337"/>
      <c r="E112" s="277"/>
      <c r="F112" s="277"/>
      <c r="G112" s="277"/>
      <c r="H112" s="277"/>
      <c r="I112" s="338"/>
      <c r="J112" s="111"/>
      <c r="K112" s="316"/>
      <c r="L112" s="232"/>
      <c r="M112" s="316"/>
      <c r="N112" s="232"/>
      <c r="O112" s="317"/>
      <c r="P112" s="232"/>
      <c r="Q112" s="274"/>
      <c r="R112" s="245"/>
      <c r="S112" s="245"/>
      <c r="T112" s="245"/>
      <c r="U112" s="245"/>
      <c r="V112" s="246"/>
      <c r="W112" s="30"/>
      <c r="X112" s="2"/>
      <c r="Y112" s="2"/>
      <c r="Z112" s="2"/>
      <c r="AA112" s="2"/>
      <c r="AB112" s="2"/>
      <c r="AC112" s="2"/>
      <c r="AD112" s="2"/>
    </row>
    <row r="113" spans="1:30" ht="12.5" x14ac:dyDescent="0.25">
      <c r="A113" s="2"/>
      <c r="B113" s="2"/>
      <c r="C113" s="11"/>
      <c r="D113" s="93"/>
      <c r="E113" s="2"/>
      <c r="F113" s="2"/>
      <c r="G113" s="2"/>
      <c r="H113" s="2"/>
      <c r="I113" s="2"/>
      <c r="J113" s="3"/>
      <c r="K113" s="314"/>
      <c r="L113" s="142"/>
      <c r="M113" s="314"/>
      <c r="N113" s="142"/>
      <c r="O113" s="320"/>
      <c r="P113" s="236"/>
      <c r="Q113" s="318"/>
      <c r="R113" s="245"/>
      <c r="S113" s="245"/>
      <c r="T113" s="245"/>
      <c r="U113" s="245"/>
      <c r="V113" s="246"/>
      <c r="W113" s="30"/>
      <c r="X113" s="2"/>
      <c r="Y113" s="2"/>
      <c r="Z113" s="2"/>
      <c r="AA113" s="2"/>
      <c r="AB113" s="2"/>
      <c r="AC113" s="2"/>
      <c r="AD113" s="2"/>
    </row>
    <row r="114" spans="1:30" ht="12.5" x14ac:dyDescent="0.25">
      <c r="A114" s="2"/>
      <c r="B114" s="2"/>
      <c r="C114" s="11"/>
      <c r="D114" s="337"/>
      <c r="E114" s="277"/>
      <c r="F114" s="277"/>
      <c r="G114" s="277"/>
      <c r="H114" s="277"/>
      <c r="I114" s="338"/>
      <c r="J114" s="111"/>
      <c r="K114" s="316"/>
      <c r="L114" s="232"/>
      <c r="M114" s="316"/>
      <c r="N114" s="232"/>
      <c r="O114" s="317"/>
      <c r="P114" s="232"/>
      <c r="Q114" s="274"/>
      <c r="R114" s="245"/>
      <c r="S114" s="245"/>
      <c r="T114" s="245"/>
      <c r="U114" s="245"/>
      <c r="V114" s="246"/>
      <c r="W114" s="30"/>
      <c r="X114" s="2"/>
      <c r="Y114" s="2"/>
      <c r="Z114" s="2"/>
      <c r="AA114" s="2"/>
      <c r="AB114" s="2"/>
      <c r="AC114" s="2"/>
      <c r="AD114" s="2"/>
    </row>
    <row r="115" spans="1:30" ht="12.5" x14ac:dyDescent="0.25">
      <c r="A115" s="2"/>
      <c r="B115" s="2"/>
      <c r="C115" s="11"/>
      <c r="D115" s="93"/>
      <c r="E115" s="2"/>
      <c r="F115" s="2"/>
      <c r="G115" s="2"/>
      <c r="H115" s="2"/>
      <c r="I115" s="2"/>
      <c r="J115" s="3"/>
      <c r="K115" s="314"/>
      <c r="L115" s="142"/>
      <c r="M115" s="314"/>
      <c r="N115" s="142"/>
      <c r="O115" s="320"/>
      <c r="P115" s="236"/>
      <c r="Q115" s="318"/>
      <c r="R115" s="245"/>
      <c r="S115" s="245"/>
      <c r="T115" s="245"/>
      <c r="U115" s="245"/>
      <c r="V115" s="246"/>
      <c r="W115" s="30"/>
      <c r="X115" s="2"/>
      <c r="Y115" s="2"/>
      <c r="Z115" s="2"/>
      <c r="AA115" s="2"/>
      <c r="AB115" s="2"/>
      <c r="AC115" s="2"/>
      <c r="AD115" s="2"/>
    </row>
    <row r="116" spans="1:30" ht="12.5" x14ac:dyDescent="0.25">
      <c r="A116" s="2"/>
      <c r="B116" s="2"/>
      <c r="C116" s="11"/>
      <c r="D116" s="337"/>
      <c r="E116" s="277"/>
      <c r="F116" s="277"/>
      <c r="G116" s="277"/>
      <c r="H116" s="277"/>
      <c r="I116" s="338"/>
      <c r="J116" s="111"/>
      <c r="K116" s="316"/>
      <c r="L116" s="232"/>
      <c r="M116" s="316"/>
      <c r="N116" s="232"/>
      <c r="O116" s="317"/>
      <c r="P116" s="232"/>
      <c r="Q116" s="274"/>
      <c r="R116" s="245"/>
      <c r="S116" s="245"/>
      <c r="T116" s="245"/>
      <c r="U116" s="245"/>
      <c r="V116" s="246"/>
      <c r="W116" s="30"/>
      <c r="X116" s="2"/>
      <c r="Y116" s="2"/>
      <c r="Z116" s="2"/>
      <c r="AA116" s="2"/>
      <c r="AB116" s="2"/>
      <c r="AC116" s="2"/>
      <c r="AD116" s="2"/>
    </row>
    <row r="117" spans="1:30" ht="12.5" x14ac:dyDescent="0.25">
      <c r="A117" s="2"/>
      <c r="B117" s="2"/>
      <c r="C117" s="11"/>
      <c r="D117" s="93"/>
      <c r="E117" s="2"/>
      <c r="F117" s="2"/>
      <c r="G117" s="2"/>
      <c r="H117" s="2"/>
      <c r="I117" s="2"/>
      <c r="J117" s="3"/>
      <c r="K117" s="314"/>
      <c r="L117" s="142"/>
      <c r="M117" s="314"/>
      <c r="N117" s="142"/>
      <c r="O117" s="320"/>
      <c r="P117" s="236"/>
      <c r="Q117" s="318"/>
      <c r="R117" s="245"/>
      <c r="S117" s="245"/>
      <c r="T117" s="245"/>
      <c r="U117" s="245"/>
      <c r="V117" s="246"/>
      <c r="W117" s="30"/>
      <c r="X117" s="2"/>
      <c r="Y117" s="2"/>
      <c r="Z117" s="2"/>
      <c r="AA117" s="2"/>
      <c r="AB117" s="2"/>
      <c r="AC117" s="2"/>
      <c r="AD117" s="2"/>
    </row>
    <row r="118" spans="1:30" ht="12.5" x14ac:dyDescent="0.25">
      <c r="A118" s="2"/>
      <c r="B118" s="2"/>
      <c r="C118" s="11"/>
      <c r="D118" s="337"/>
      <c r="E118" s="277"/>
      <c r="F118" s="277"/>
      <c r="G118" s="277"/>
      <c r="H118" s="277"/>
      <c r="I118" s="338"/>
      <c r="J118" s="111"/>
      <c r="K118" s="316"/>
      <c r="L118" s="232"/>
      <c r="M118" s="316"/>
      <c r="N118" s="232"/>
      <c r="O118" s="317"/>
      <c r="P118" s="232"/>
      <c r="Q118" s="274"/>
      <c r="R118" s="245"/>
      <c r="S118" s="245"/>
      <c r="T118" s="245"/>
      <c r="U118" s="245"/>
      <c r="V118" s="246"/>
      <c r="W118" s="30"/>
      <c r="X118" s="2"/>
      <c r="Y118" s="2"/>
      <c r="Z118" s="2"/>
      <c r="AA118" s="2"/>
      <c r="AB118" s="2"/>
      <c r="AC118" s="2"/>
      <c r="AD118" s="2"/>
    </row>
    <row r="119" spans="1:30" ht="12.5" x14ac:dyDescent="0.25">
      <c r="A119" s="2"/>
      <c r="B119" s="2"/>
      <c r="C119" s="11"/>
      <c r="D119" s="112"/>
      <c r="E119" s="28"/>
      <c r="F119" s="28"/>
      <c r="G119" s="28"/>
      <c r="H119" s="28"/>
      <c r="I119" s="28"/>
      <c r="J119" s="5"/>
      <c r="K119" s="339"/>
      <c r="L119" s="198"/>
      <c r="M119" s="339"/>
      <c r="N119" s="198"/>
      <c r="O119" s="320"/>
      <c r="P119" s="236"/>
      <c r="Q119" s="322"/>
      <c r="R119" s="194"/>
      <c r="S119" s="194"/>
      <c r="T119" s="194"/>
      <c r="U119" s="194"/>
      <c r="V119" s="323"/>
      <c r="W119" s="30"/>
      <c r="X119" s="2"/>
      <c r="Y119" s="2"/>
      <c r="Z119" s="2"/>
      <c r="AA119" s="2"/>
      <c r="AB119" s="2"/>
      <c r="AC119" s="2"/>
      <c r="AD119" s="2"/>
    </row>
    <row r="120" spans="1:30" ht="13" x14ac:dyDescent="0.3">
      <c r="A120" s="2"/>
      <c r="B120" s="2"/>
      <c r="C120" s="11"/>
      <c r="D120" s="335" t="s">
        <v>14</v>
      </c>
      <c r="E120" s="224"/>
      <c r="F120" s="224"/>
      <c r="G120" s="224"/>
      <c r="H120" s="224"/>
      <c r="I120" s="224"/>
      <c r="J120" s="224"/>
      <c r="K120" s="224"/>
      <c r="L120" s="224"/>
      <c r="M120" s="224"/>
      <c r="N120" s="273"/>
      <c r="O120" s="340">
        <f>SUM(O59:P119)</f>
        <v>0</v>
      </c>
      <c r="P120" s="273"/>
      <c r="Q120" s="113"/>
      <c r="R120" s="113"/>
      <c r="S120" s="113"/>
      <c r="T120" s="113"/>
      <c r="U120" s="113"/>
      <c r="V120" s="114"/>
      <c r="W120" s="30"/>
      <c r="X120" s="2"/>
      <c r="Y120" s="2"/>
      <c r="Z120" s="2"/>
      <c r="AA120" s="2"/>
      <c r="AB120" s="2"/>
      <c r="AC120" s="2"/>
      <c r="AD120" s="2"/>
    </row>
    <row r="121" spans="1:30" ht="12.5" x14ac:dyDescent="0.25">
      <c r="A121" s="2"/>
      <c r="B121" s="2"/>
      <c r="C121" s="2"/>
      <c r="D121" s="35"/>
      <c r="E121" s="35"/>
      <c r="F121" s="35"/>
      <c r="G121" s="35"/>
      <c r="H121" s="35"/>
      <c r="I121" s="35"/>
      <c r="J121" s="4"/>
      <c r="K121" s="4"/>
      <c r="L121" s="4"/>
      <c r="M121" s="4"/>
      <c r="N121" s="4"/>
      <c r="O121" s="4"/>
      <c r="P121" s="4"/>
      <c r="Q121" s="35"/>
      <c r="R121" s="35"/>
      <c r="S121" s="35"/>
      <c r="T121" s="35"/>
      <c r="U121" s="35"/>
      <c r="V121" s="35"/>
      <c r="W121" s="2"/>
      <c r="X121" s="2"/>
      <c r="Y121" s="2"/>
      <c r="Z121" s="2"/>
      <c r="AA121" s="2"/>
      <c r="AB121" s="2"/>
      <c r="AC121" s="2"/>
      <c r="AD121" s="2"/>
    </row>
    <row r="122" spans="1:30" ht="12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3"/>
      <c r="K122" s="3"/>
      <c r="L122" s="3"/>
      <c r="M122" s="3"/>
      <c r="N122" s="3"/>
      <c r="O122" s="3"/>
      <c r="P122" s="3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2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3"/>
      <c r="K123" s="3"/>
      <c r="L123" s="3"/>
      <c r="M123" s="3"/>
      <c r="N123" s="3"/>
      <c r="O123" s="3"/>
      <c r="P123" s="3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2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3"/>
      <c r="K124" s="3"/>
      <c r="L124" s="3"/>
      <c r="M124" s="3"/>
      <c r="N124" s="3"/>
      <c r="O124" s="3"/>
      <c r="P124" s="3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2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3"/>
      <c r="K125" s="3"/>
      <c r="L125" s="3"/>
      <c r="M125" s="3"/>
      <c r="N125" s="3"/>
      <c r="O125" s="3"/>
      <c r="P125" s="3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2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3"/>
      <c r="K126" s="3"/>
      <c r="L126" s="3"/>
      <c r="M126" s="3"/>
      <c r="N126" s="3"/>
      <c r="O126" s="3"/>
      <c r="P126" s="3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2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3"/>
      <c r="K127" s="3"/>
      <c r="L127" s="3"/>
      <c r="M127" s="3"/>
      <c r="N127" s="3"/>
      <c r="O127" s="3"/>
      <c r="P127" s="3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2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3"/>
      <c r="K128" s="3"/>
      <c r="L128" s="3"/>
      <c r="M128" s="3"/>
      <c r="N128" s="3"/>
      <c r="O128" s="3"/>
      <c r="P128" s="3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2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3"/>
      <c r="K129" s="3"/>
      <c r="L129" s="3"/>
      <c r="M129" s="3"/>
      <c r="N129" s="3"/>
      <c r="O129" s="3"/>
      <c r="P129" s="3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2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3"/>
      <c r="K130" s="3"/>
      <c r="L130" s="3"/>
      <c r="M130" s="3"/>
      <c r="N130" s="3"/>
      <c r="O130" s="3"/>
      <c r="P130" s="3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2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3"/>
      <c r="K131" s="3"/>
      <c r="L131" s="3"/>
      <c r="M131" s="3"/>
      <c r="N131" s="3"/>
      <c r="O131" s="3"/>
      <c r="P131" s="3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2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3"/>
      <c r="K132" s="3"/>
      <c r="L132" s="3"/>
      <c r="M132" s="3"/>
      <c r="N132" s="3"/>
      <c r="O132" s="3"/>
      <c r="P132" s="3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2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3"/>
      <c r="K133" s="3"/>
      <c r="L133" s="3"/>
      <c r="M133" s="3"/>
      <c r="N133" s="3"/>
      <c r="O133" s="3"/>
      <c r="P133" s="3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2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3"/>
      <c r="K134" s="3"/>
      <c r="L134" s="3"/>
      <c r="M134" s="3"/>
      <c r="N134" s="3"/>
      <c r="O134" s="3"/>
      <c r="P134" s="3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2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3"/>
      <c r="K135" s="3"/>
      <c r="L135" s="3"/>
      <c r="M135" s="3"/>
      <c r="N135" s="3"/>
      <c r="O135" s="3"/>
      <c r="P135" s="3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2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3"/>
      <c r="K136" s="3"/>
      <c r="L136" s="3"/>
      <c r="M136" s="3"/>
      <c r="N136" s="3"/>
      <c r="O136" s="3"/>
      <c r="P136" s="3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2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3"/>
      <c r="K137" s="3"/>
      <c r="L137" s="3"/>
      <c r="M137" s="3"/>
      <c r="N137" s="3"/>
      <c r="O137" s="3"/>
      <c r="P137" s="3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2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3"/>
      <c r="K138" s="3"/>
      <c r="L138" s="3"/>
      <c r="M138" s="3"/>
      <c r="N138" s="3"/>
      <c r="O138" s="3"/>
      <c r="P138" s="3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2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3"/>
      <c r="K139" s="3"/>
      <c r="L139" s="3"/>
      <c r="M139" s="3"/>
      <c r="N139" s="3"/>
      <c r="O139" s="3"/>
      <c r="P139" s="3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2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3"/>
      <c r="K140" s="3"/>
      <c r="L140" s="3"/>
      <c r="M140" s="3"/>
      <c r="N140" s="3"/>
      <c r="O140" s="3"/>
      <c r="P140" s="3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2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3"/>
      <c r="K141" s="3"/>
      <c r="L141" s="3"/>
      <c r="M141" s="3"/>
      <c r="N141" s="3"/>
      <c r="O141" s="3"/>
      <c r="P141" s="3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2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3"/>
      <c r="K142" s="3"/>
      <c r="L142" s="3"/>
      <c r="M142" s="3"/>
      <c r="N142" s="3"/>
      <c r="O142" s="3"/>
      <c r="P142" s="3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2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3"/>
      <c r="K143" s="3"/>
      <c r="L143" s="3"/>
      <c r="M143" s="3"/>
      <c r="N143" s="3"/>
      <c r="O143" s="3"/>
      <c r="P143" s="3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2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3"/>
      <c r="K144" s="3"/>
      <c r="L144" s="3"/>
      <c r="M144" s="3"/>
      <c r="N144" s="3"/>
      <c r="O144" s="3"/>
      <c r="P144" s="3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2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3"/>
      <c r="K145" s="3"/>
      <c r="L145" s="3"/>
      <c r="M145" s="3"/>
      <c r="N145" s="3"/>
      <c r="O145" s="3"/>
      <c r="P145" s="3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2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3"/>
      <c r="K146" s="3"/>
      <c r="L146" s="3"/>
      <c r="M146" s="3"/>
      <c r="N146" s="3"/>
      <c r="O146" s="3"/>
      <c r="P146" s="3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2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3"/>
      <c r="K147" s="3"/>
      <c r="L147" s="3"/>
      <c r="M147" s="3"/>
      <c r="N147" s="3"/>
      <c r="O147" s="3"/>
      <c r="P147" s="3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2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3"/>
      <c r="K148" s="3"/>
      <c r="L148" s="3"/>
      <c r="M148" s="3"/>
      <c r="N148" s="3"/>
      <c r="O148" s="3"/>
      <c r="P148" s="3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2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3"/>
      <c r="K149" s="3"/>
      <c r="L149" s="3"/>
      <c r="M149" s="3"/>
      <c r="N149" s="3"/>
      <c r="O149" s="3"/>
      <c r="P149" s="3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2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3"/>
      <c r="K150" s="3"/>
      <c r="L150" s="3"/>
      <c r="M150" s="3"/>
      <c r="N150" s="3"/>
      <c r="O150" s="3"/>
      <c r="P150" s="3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2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3"/>
      <c r="K151" s="3"/>
      <c r="L151" s="3"/>
      <c r="M151" s="3"/>
      <c r="N151" s="3"/>
      <c r="O151" s="3"/>
      <c r="P151" s="3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2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3"/>
      <c r="K152" s="3"/>
      <c r="L152" s="3"/>
      <c r="M152" s="3"/>
      <c r="N152" s="3"/>
      <c r="O152" s="3"/>
      <c r="P152" s="3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2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3"/>
      <c r="K153" s="3"/>
      <c r="L153" s="3"/>
      <c r="M153" s="3"/>
      <c r="N153" s="3"/>
      <c r="O153" s="3"/>
      <c r="P153" s="3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2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3"/>
      <c r="K154" s="3"/>
      <c r="L154" s="3"/>
      <c r="M154" s="3"/>
      <c r="N154" s="3"/>
      <c r="O154" s="3"/>
      <c r="P154" s="3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2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3"/>
      <c r="K155" s="3"/>
      <c r="L155" s="3"/>
      <c r="M155" s="3"/>
      <c r="N155" s="3"/>
      <c r="O155" s="3"/>
      <c r="P155" s="3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2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3"/>
      <c r="K156" s="3"/>
      <c r="L156" s="3"/>
      <c r="M156" s="3"/>
      <c r="N156" s="3"/>
      <c r="O156" s="3"/>
      <c r="P156" s="3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2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3"/>
      <c r="K157" s="3"/>
      <c r="L157" s="3"/>
      <c r="M157" s="3"/>
      <c r="N157" s="3"/>
      <c r="O157" s="3"/>
      <c r="P157" s="3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2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3"/>
      <c r="K158" s="3"/>
      <c r="L158" s="3"/>
      <c r="M158" s="3"/>
      <c r="N158" s="3"/>
      <c r="O158" s="3"/>
      <c r="P158" s="3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2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3"/>
      <c r="K159" s="3"/>
      <c r="L159" s="3"/>
      <c r="M159" s="3"/>
      <c r="N159" s="3"/>
      <c r="O159" s="3"/>
      <c r="P159" s="3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2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3"/>
      <c r="K160" s="3"/>
      <c r="L160" s="3"/>
      <c r="M160" s="3"/>
      <c r="N160" s="3"/>
      <c r="O160" s="3"/>
      <c r="P160" s="3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2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3"/>
      <c r="K161" s="3"/>
      <c r="L161" s="3"/>
      <c r="M161" s="3"/>
      <c r="N161" s="3"/>
      <c r="O161" s="3"/>
      <c r="P161" s="3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2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3"/>
      <c r="K162" s="3"/>
      <c r="L162" s="3"/>
      <c r="M162" s="3"/>
      <c r="N162" s="3"/>
      <c r="O162" s="3"/>
      <c r="P162" s="3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2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3"/>
      <c r="K163" s="3"/>
      <c r="L163" s="3"/>
      <c r="M163" s="3"/>
      <c r="N163" s="3"/>
      <c r="O163" s="3"/>
      <c r="P163" s="3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2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3"/>
      <c r="K164" s="3"/>
      <c r="L164" s="3"/>
      <c r="M164" s="3"/>
      <c r="N164" s="3"/>
      <c r="O164" s="3"/>
      <c r="P164" s="3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2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3"/>
      <c r="K165" s="3"/>
      <c r="L165" s="3"/>
      <c r="M165" s="3"/>
      <c r="N165" s="3"/>
      <c r="O165" s="3"/>
      <c r="P165" s="3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2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3"/>
      <c r="K166" s="3"/>
      <c r="L166" s="3"/>
      <c r="M166" s="3"/>
      <c r="N166" s="3"/>
      <c r="O166" s="3"/>
      <c r="P166" s="3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2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3"/>
      <c r="K167" s="3"/>
      <c r="L167" s="3"/>
      <c r="M167" s="3"/>
      <c r="N167" s="3"/>
      <c r="O167" s="3"/>
      <c r="P167" s="3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2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3"/>
      <c r="K168" s="3"/>
      <c r="L168" s="3"/>
      <c r="M168" s="3"/>
      <c r="N168" s="3"/>
      <c r="O168" s="3"/>
      <c r="P168" s="3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2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3"/>
      <c r="K169" s="3"/>
      <c r="L169" s="3"/>
      <c r="M169" s="3"/>
      <c r="N169" s="3"/>
      <c r="O169" s="3"/>
      <c r="P169" s="3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2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3"/>
      <c r="K170" s="3"/>
      <c r="L170" s="3"/>
      <c r="M170" s="3"/>
      <c r="N170" s="3"/>
      <c r="O170" s="3"/>
      <c r="P170" s="3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2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3"/>
      <c r="K171" s="3"/>
      <c r="L171" s="3"/>
      <c r="M171" s="3"/>
      <c r="N171" s="3"/>
      <c r="O171" s="3"/>
      <c r="P171" s="3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2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3"/>
      <c r="K172" s="3"/>
      <c r="L172" s="3"/>
      <c r="M172" s="3"/>
      <c r="N172" s="3"/>
      <c r="O172" s="3"/>
      <c r="P172" s="3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2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3"/>
      <c r="K173" s="3"/>
      <c r="L173" s="3"/>
      <c r="M173" s="3"/>
      <c r="N173" s="3"/>
      <c r="O173" s="3"/>
      <c r="P173" s="3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2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3"/>
      <c r="K174" s="3"/>
      <c r="L174" s="3"/>
      <c r="M174" s="3"/>
      <c r="N174" s="3"/>
      <c r="O174" s="3"/>
      <c r="P174" s="3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2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3"/>
      <c r="K175" s="3"/>
      <c r="L175" s="3"/>
      <c r="M175" s="3"/>
      <c r="N175" s="3"/>
      <c r="O175" s="3"/>
      <c r="P175" s="3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2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3"/>
      <c r="K176" s="3"/>
      <c r="L176" s="3"/>
      <c r="M176" s="3"/>
      <c r="N176" s="3"/>
      <c r="O176" s="3"/>
      <c r="P176" s="3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2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3"/>
      <c r="K177" s="3"/>
      <c r="L177" s="3"/>
      <c r="M177" s="3"/>
      <c r="N177" s="3"/>
      <c r="O177" s="3"/>
      <c r="P177" s="3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2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3"/>
      <c r="K178" s="3"/>
      <c r="L178" s="3"/>
      <c r="M178" s="3"/>
      <c r="N178" s="3"/>
      <c r="O178" s="3"/>
      <c r="P178" s="3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2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3"/>
      <c r="K179" s="3"/>
      <c r="L179" s="3"/>
      <c r="M179" s="3"/>
      <c r="N179" s="3"/>
      <c r="O179" s="3"/>
      <c r="P179" s="3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2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3"/>
      <c r="K180" s="3"/>
      <c r="L180" s="3"/>
      <c r="M180" s="3"/>
      <c r="N180" s="3"/>
      <c r="O180" s="3"/>
      <c r="P180" s="3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2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3"/>
      <c r="K181" s="3"/>
      <c r="L181" s="3"/>
      <c r="M181" s="3"/>
      <c r="N181" s="3"/>
      <c r="O181" s="3"/>
      <c r="P181" s="3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2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3"/>
      <c r="K182" s="3"/>
      <c r="L182" s="3"/>
      <c r="M182" s="3"/>
      <c r="N182" s="3"/>
      <c r="O182" s="3"/>
      <c r="P182" s="3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2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3"/>
      <c r="K183" s="3"/>
      <c r="L183" s="3"/>
      <c r="M183" s="3"/>
      <c r="N183" s="3"/>
      <c r="O183" s="3"/>
      <c r="P183" s="3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2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3"/>
      <c r="K184" s="3"/>
      <c r="L184" s="3"/>
      <c r="M184" s="3"/>
      <c r="N184" s="3"/>
      <c r="O184" s="3"/>
      <c r="P184" s="3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2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3"/>
      <c r="K185" s="3"/>
      <c r="L185" s="3"/>
      <c r="M185" s="3"/>
      <c r="N185" s="3"/>
      <c r="O185" s="3"/>
      <c r="P185" s="3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2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3"/>
      <c r="K186" s="3"/>
      <c r="L186" s="3"/>
      <c r="M186" s="3"/>
      <c r="N186" s="3"/>
      <c r="O186" s="3"/>
      <c r="P186" s="3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2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3"/>
      <c r="K187" s="3"/>
      <c r="L187" s="3"/>
      <c r="M187" s="3"/>
      <c r="N187" s="3"/>
      <c r="O187" s="3"/>
      <c r="P187" s="3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2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3"/>
      <c r="K188" s="3"/>
      <c r="L188" s="3"/>
      <c r="M188" s="3"/>
      <c r="N188" s="3"/>
      <c r="O188" s="3"/>
      <c r="P188" s="3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2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3"/>
      <c r="K189" s="3"/>
      <c r="L189" s="3"/>
      <c r="M189" s="3"/>
      <c r="N189" s="3"/>
      <c r="O189" s="3"/>
      <c r="P189" s="3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2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3"/>
      <c r="K190" s="3"/>
      <c r="L190" s="3"/>
      <c r="M190" s="3"/>
      <c r="N190" s="3"/>
      <c r="O190" s="3"/>
      <c r="P190" s="3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2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3"/>
      <c r="K191" s="3"/>
      <c r="L191" s="3"/>
      <c r="M191" s="3"/>
      <c r="N191" s="3"/>
      <c r="O191" s="3"/>
      <c r="P191" s="3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3"/>
      <c r="K192" s="3"/>
      <c r="L192" s="3"/>
      <c r="M192" s="3"/>
      <c r="N192" s="3"/>
      <c r="O192" s="3"/>
      <c r="P192" s="3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3"/>
      <c r="K193" s="3"/>
      <c r="L193" s="3"/>
      <c r="M193" s="3"/>
      <c r="N193" s="3"/>
      <c r="O193" s="3"/>
      <c r="P193" s="3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3"/>
      <c r="K194" s="3"/>
      <c r="L194" s="3"/>
      <c r="M194" s="3"/>
      <c r="N194" s="3"/>
      <c r="O194" s="3"/>
      <c r="P194" s="3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3"/>
      <c r="K195" s="3"/>
      <c r="L195" s="3"/>
      <c r="M195" s="3"/>
      <c r="N195" s="3"/>
      <c r="O195" s="3"/>
      <c r="P195" s="3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3"/>
      <c r="K196" s="3"/>
      <c r="L196" s="3"/>
      <c r="M196" s="3"/>
      <c r="N196" s="3"/>
      <c r="O196" s="3"/>
      <c r="P196" s="3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3"/>
      <c r="K197" s="3"/>
      <c r="L197" s="3"/>
      <c r="M197" s="3"/>
      <c r="N197" s="3"/>
      <c r="O197" s="3"/>
      <c r="P197" s="3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3"/>
      <c r="K198" s="3"/>
      <c r="L198" s="3"/>
      <c r="M198" s="3"/>
      <c r="N198" s="3"/>
      <c r="O198" s="3"/>
      <c r="P198" s="3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3"/>
      <c r="K199" s="3"/>
      <c r="L199" s="3"/>
      <c r="M199" s="3"/>
      <c r="N199" s="3"/>
      <c r="O199" s="3"/>
      <c r="P199" s="3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3"/>
      <c r="K200" s="3"/>
      <c r="L200" s="3"/>
      <c r="M200" s="3"/>
      <c r="N200" s="3"/>
      <c r="O200" s="3"/>
      <c r="P200" s="3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3"/>
      <c r="K201" s="3"/>
      <c r="L201" s="3"/>
      <c r="M201" s="3"/>
      <c r="N201" s="3"/>
      <c r="O201" s="3"/>
      <c r="P201" s="3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3"/>
      <c r="K202" s="3"/>
      <c r="L202" s="3"/>
      <c r="M202" s="3"/>
      <c r="N202" s="3"/>
      <c r="O202" s="3"/>
      <c r="P202" s="3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3"/>
      <c r="K203" s="3"/>
      <c r="L203" s="3"/>
      <c r="M203" s="3"/>
      <c r="N203" s="3"/>
      <c r="O203" s="3"/>
      <c r="P203" s="3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3"/>
      <c r="K204" s="3"/>
      <c r="L204" s="3"/>
      <c r="M204" s="3"/>
      <c r="N204" s="3"/>
      <c r="O204" s="3"/>
      <c r="P204" s="3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3"/>
      <c r="K205" s="3"/>
      <c r="L205" s="3"/>
      <c r="M205" s="3"/>
      <c r="N205" s="3"/>
      <c r="O205" s="3"/>
      <c r="P205" s="3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3"/>
      <c r="K206" s="3"/>
      <c r="L206" s="3"/>
      <c r="M206" s="3"/>
      <c r="N206" s="3"/>
      <c r="O206" s="3"/>
      <c r="P206" s="3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3"/>
      <c r="K207" s="3"/>
      <c r="L207" s="3"/>
      <c r="M207" s="3"/>
      <c r="N207" s="3"/>
      <c r="O207" s="3"/>
      <c r="P207" s="3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3"/>
      <c r="K208" s="3"/>
      <c r="L208" s="3"/>
      <c r="M208" s="3"/>
      <c r="N208" s="3"/>
      <c r="O208" s="3"/>
      <c r="P208" s="3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3"/>
      <c r="K209" s="3"/>
      <c r="L209" s="3"/>
      <c r="M209" s="3"/>
      <c r="N209" s="3"/>
      <c r="O209" s="3"/>
      <c r="P209" s="3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3"/>
      <c r="K210" s="3"/>
      <c r="L210" s="3"/>
      <c r="M210" s="3"/>
      <c r="N210" s="3"/>
      <c r="O210" s="3"/>
      <c r="P210" s="3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3"/>
      <c r="K211" s="3"/>
      <c r="L211" s="3"/>
      <c r="M211" s="3"/>
      <c r="N211" s="3"/>
      <c r="O211" s="3"/>
      <c r="P211" s="3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3"/>
      <c r="K212" s="3"/>
      <c r="L212" s="3"/>
      <c r="M212" s="3"/>
      <c r="N212" s="3"/>
      <c r="O212" s="3"/>
      <c r="P212" s="3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3"/>
      <c r="K213" s="3"/>
      <c r="L213" s="3"/>
      <c r="M213" s="3"/>
      <c r="N213" s="3"/>
      <c r="O213" s="3"/>
      <c r="P213" s="3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3"/>
      <c r="K214" s="3"/>
      <c r="L214" s="3"/>
      <c r="M214" s="3"/>
      <c r="N214" s="3"/>
      <c r="O214" s="3"/>
      <c r="P214" s="3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3"/>
      <c r="K215" s="3"/>
      <c r="L215" s="3"/>
      <c r="M215" s="3"/>
      <c r="N215" s="3"/>
      <c r="O215" s="3"/>
      <c r="P215" s="3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3"/>
      <c r="K216" s="3"/>
      <c r="L216" s="3"/>
      <c r="M216" s="3"/>
      <c r="N216" s="3"/>
      <c r="O216" s="3"/>
      <c r="P216" s="3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3"/>
      <c r="K217" s="3"/>
      <c r="L217" s="3"/>
      <c r="M217" s="3"/>
      <c r="N217" s="3"/>
      <c r="O217" s="3"/>
      <c r="P217" s="3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3"/>
      <c r="K218" s="3"/>
      <c r="L218" s="3"/>
      <c r="M218" s="3"/>
      <c r="N218" s="3"/>
      <c r="O218" s="3"/>
      <c r="P218" s="3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3"/>
      <c r="K219" s="3"/>
      <c r="L219" s="3"/>
      <c r="M219" s="3"/>
      <c r="N219" s="3"/>
      <c r="O219" s="3"/>
      <c r="P219" s="3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3"/>
      <c r="K220" s="3"/>
      <c r="L220" s="3"/>
      <c r="M220" s="3"/>
      <c r="N220" s="3"/>
      <c r="O220" s="3"/>
      <c r="P220" s="3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3"/>
      <c r="K221" s="3"/>
      <c r="L221" s="3"/>
      <c r="M221" s="3"/>
      <c r="N221" s="3"/>
      <c r="O221" s="3"/>
      <c r="P221" s="3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3"/>
      <c r="K222" s="3"/>
      <c r="L222" s="3"/>
      <c r="M222" s="3"/>
      <c r="N222" s="3"/>
      <c r="O222" s="3"/>
      <c r="P222" s="3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3"/>
      <c r="K223" s="3"/>
      <c r="L223" s="3"/>
      <c r="M223" s="3"/>
      <c r="N223" s="3"/>
      <c r="O223" s="3"/>
      <c r="P223" s="3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3"/>
      <c r="K224" s="3"/>
      <c r="L224" s="3"/>
      <c r="M224" s="3"/>
      <c r="N224" s="3"/>
      <c r="O224" s="3"/>
      <c r="P224" s="3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3"/>
      <c r="K225" s="3"/>
      <c r="L225" s="3"/>
      <c r="M225" s="3"/>
      <c r="N225" s="3"/>
      <c r="O225" s="3"/>
      <c r="P225" s="3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3"/>
      <c r="K226" s="3"/>
      <c r="L226" s="3"/>
      <c r="M226" s="3"/>
      <c r="N226" s="3"/>
      <c r="O226" s="3"/>
      <c r="P226" s="3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3"/>
      <c r="K227" s="3"/>
      <c r="L227" s="3"/>
      <c r="M227" s="3"/>
      <c r="N227" s="3"/>
      <c r="O227" s="3"/>
      <c r="P227" s="3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3"/>
      <c r="K228" s="3"/>
      <c r="L228" s="3"/>
      <c r="M228" s="3"/>
      <c r="N228" s="3"/>
      <c r="O228" s="3"/>
      <c r="P228" s="3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3"/>
      <c r="K229" s="3"/>
      <c r="L229" s="3"/>
      <c r="M229" s="3"/>
      <c r="N229" s="3"/>
      <c r="O229" s="3"/>
      <c r="P229" s="3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3"/>
      <c r="K230" s="3"/>
      <c r="L230" s="3"/>
      <c r="M230" s="3"/>
      <c r="N230" s="3"/>
      <c r="O230" s="3"/>
      <c r="P230" s="3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3"/>
      <c r="K231" s="3"/>
      <c r="L231" s="3"/>
      <c r="M231" s="3"/>
      <c r="N231" s="3"/>
      <c r="O231" s="3"/>
      <c r="P231" s="3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3"/>
      <c r="K232" s="3"/>
      <c r="L232" s="3"/>
      <c r="M232" s="3"/>
      <c r="N232" s="3"/>
      <c r="O232" s="3"/>
      <c r="P232" s="3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3"/>
      <c r="K233" s="3"/>
      <c r="L233" s="3"/>
      <c r="M233" s="3"/>
      <c r="N233" s="3"/>
      <c r="O233" s="3"/>
      <c r="P233" s="3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3"/>
      <c r="K234" s="3"/>
      <c r="L234" s="3"/>
      <c r="M234" s="3"/>
      <c r="N234" s="3"/>
      <c r="O234" s="3"/>
      <c r="P234" s="3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3"/>
      <c r="K235" s="3"/>
      <c r="L235" s="3"/>
      <c r="M235" s="3"/>
      <c r="N235" s="3"/>
      <c r="O235" s="3"/>
      <c r="P235" s="3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3"/>
      <c r="K236" s="3"/>
      <c r="L236" s="3"/>
      <c r="M236" s="3"/>
      <c r="N236" s="3"/>
      <c r="O236" s="3"/>
      <c r="P236" s="3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3"/>
      <c r="K237" s="3"/>
      <c r="L237" s="3"/>
      <c r="M237" s="3"/>
      <c r="N237" s="3"/>
      <c r="O237" s="3"/>
      <c r="P237" s="3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3"/>
      <c r="K238" s="3"/>
      <c r="L238" s="3"/>
      <c r="M238" s="3"/>
      <c r="N238" s="3"/>
      <c r="O238" s="3"/>
      <c r="P238" s="3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3"/>
      <c r="K239" s="3"/>
      <c r="L239" s="3"/>
      <c r="M239" s="3"/>
      <c r="N239" s="3"/>
      <c r="O239" s="3"/>
      <c r="P239" s="3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3"/>
      <c r="K240" s="3"/>
      <c r="L240" s="3"/>
      <c r="M240" s="3"/>
      <c r="N240" s="3"/>
      <c r="O240" s="3"/>
      <c r="P240" s="3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3"/>
      <c r="K241" s="3"/>
      <c r="L241" s="3"/>
      <c r="M241" s="3"/>
      <c r="N241" s="3"/>
      <c r="O241" s="3"/>
      <c r="P241" s="3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3"/>
      <c r="K242" s="3"/>
      <c r="L242" s="3"/>
      <c r="M242" s="3"/>
      <c r="N242" s="3"/>
      <c r="O242" s="3"/>
      <c r="P242" s="3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3"/>
      <c r="K243" s="3"/>
      <c r="L243" s="3"/>
      <c r="M243" s="3"/>
      <c r="N243" s="3"/>
      <c r="O243" s="3"/>
      <c r="P243" s="3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3"/>
      <c r="K244" s="3"/>
      <c r="L244" s="3"/>
      <c r="M244" s="3"/>
      <c r="N244" s="3"/>
      <c r="O244" s="3"/>
      <c r="P244" s="3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3"/>
      <c r="K245" s="3"/>
      <c r="L245" s="3"/>
      <c r="M245" s="3"/>
      <c r="N245" s="3"/>
      <c r="O245" s="3"/>
      <c r="P245" s="3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3"/>
      <c r="K246" s="3"/>
      <c r="L246" s="3"/>
      <c r="M246" s="3"/>
      <c r="N246" s="3"/>
      <c r="O246" s="3"/>
      <c r="P246" s="3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3"/>
      <c r="K247" s="3"/>
      <c r="L247" s="3"/>
      <c r="M247" s="3"/>
      <c r="N247" s="3"/>
      <c r="O247" s="3"/>
      <c r="P247" s="3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3"/>
      <c r="K248" s="3"/>
      <c r="L248" s="3"/>
      <c r="M248" s="3"/>
      <c r="N248" s="3"/>
      <c r="O248" s="3"/>
      <c r="P248" s="3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3"/>
      <c r="K249" s="3"/>
      <c r="L249" s="3"/>
      <c r="M249" s="3"/>
      <c r="N249" s="3"/>
      <c r="O249" s="3"/>
      <c r="P249" s="3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3"/>
      <c r="K250" s="3"/>
      <c r="L250" s="3"/>
      <c r="M250" s="3"/>
      <c r="N250" s="3"/>
      <c r="O250" s="3"/>
      <c r="P250" s="3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3"/>
      <c r="K251" s="3"/>
      <c r="L251" s="3"/>
      <c r="M251" s="3"/>
      <c r="N251" s="3"/>
      <c r="O251" s="3"/>
      <c r="P251" s="3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3"/>
      <c r="K252" s="3"/>
      <c r="L252" s="3"/>
      <c r="M252" s="3"/>
      <c r="N252" s="3"/>
      <c r="O252" s="3"/>
      <c r="P252" s="3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3"/>
      <c r="K253" s="3"/>
      <c r="L253" s="3"/>
      <c r="M253" s="3"/>
      <c r="N253" s="3"/>
      <c r="O253" s="3"/>
      <c r="P253" s="3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3"/>
      <c r="K254" s="3"/>
      <c r="L254" s="3"/>
      <c r="M254" s="3"/>
      <c r="N254" s="3"/>
      <c r="O254" s="3"/>
      <c r="P254" s="3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3"/>
      <c r="K255" s="3"/>
      <c r="L255" s="3"/>
      <c r="M255" s="3"/>
      <c r="N255" s="3"/>
      <c r="O255" s="3"/>
      <c r="P255" s="3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3"/>
      <c r="K256" s="3"/>
      <c r="L256" s="3"/>
      <c r="M256" s="3"/>
      <c r="N256" s="3"/>
      <c r="O256" s="3"/>
      <c r="P256" s="3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3"/>
      <c r="K257" s="3"/>
      <c r="L257" s="3"/>
      <c r="M257" s="3"/>
      <c r="N257" s="3"/>
      <c r="O257" s="3"/>
      <c r="P257" s="3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3"/>
      <c r="K258" s="3"/>
      <c r="L258" s="3"/>
      <c r="M258" s="3"/>
      <c r="N258" s="3"/>
      <c r="O258" s="3"/>
      <c r="P258" s="3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3"/>
      <c r="K259" s="3"/>
      <c r="L259" s="3"/>
      <c r="M259" s="3"/>
      <c r="N259" s="3"/>
      <c r="O259" s="3"/>
      <c r="P259" s="3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3"/>
      <c r="K260" s="3"/>
      <c r="L260" s="3"/>
      <c r="M260" s="3"/>
      <c r="N260" s="3"/>
      <c r="O260" s="3"/>
      <c r="P260" s="3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3"/>
      <c r="K261" s="3"/>
      <c r="L261" s="3"/>
      <c r="M261" s="3"/>
      <c r="N261" s="3"/>
      <c r="O261" s="3"/>
      <c r="P261" s="3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3"/>
      <c r="K262" s="3"/>
      <c r="L262" s="3"/>
      <c r="M262" s="3"/>
      <c r="N262" s="3"/>
      <c r="O262" s="3"/>
      <c r="P262" s="3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3"/>
      <c r="K263" s="3"/>
      <c r="L263" s="3"/>
      <c r="M263" s="3"/>
      <c r="N263" s="3"/>
      <c r="O263" s="3"/>
      <c r="P263" s="3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3"/>
      <c r="K264" s="3"/>
      <c r="L264" s="3"/>
      <c r="M264" s="3"/>
      <c r="N264" s="3"/>
      <c r="O264" s="3"/>
      <c r="P264" s="3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3"/>
      <c r="K265" s="3"/>
      <c r="L265" s="3"/>
      <c r="M265" s="3"/>
      <c r="N265" s="3"/>
      <c r="O265" s="3"/>
      <c r="P265" s="3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3"/>
      <c r="K266" s="3"/>
      <c r="L266" s="3"/>
      <c r="M266" s="3"/>
      <c r="N266" s="3"/>
      <c r="O266" s="3"/>
      <c r="P266" s="3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3"/>
      <c r="K267" s="3"/>
      <c r="L267" s="3"/>
      <c r="M267" s="3"/>
      <c r="N267" s="3"/>
      <c r="O267" s="3"/>
      <c r="P267" s="3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3"/>
      <c r="K268" s="3"/>
      <c r="L268" s="3"/>
      <c r="M268" s="3"/>
      <c r="N268" s="3"/>
      <c r="O268" s="3"/>
      <c r="P268" s="3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3"/>
      <c r="K269" s="3"/>
      <c r="L269" s="3"/>
      <c r="M269" s="3"/>
      <c r="N269" s="3"/>
      <c r="O269" s="3"/>
      <c r="P269" s="3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3"/>
      <c r="K270" s="3"/>
      <c r="L270" s="3"/>
      <c r="M270" s="3"/>
      <c r="N270" s="3"/>
      <c r="O270" s="3"/>
      <c r="P270" s="3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3"/>
      <c r="K271" s="3"/>
      <c r="L271" s="3"/>
      <c r="M271" s="3"/>
      <c r="N271" s="3"/>
      <c r="O271" s="3"/>
      <c r="P271" s="3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3"/>
      <c r="K272" s="3"/>
      <c r="L272" s="3"/>
      <c r="M272" s="3"/>
      <c r="N272" s="3"/>
      <c r="O272" s="3"/>
      <c r="P272" s="3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3"/>
      <c r="K273" s="3"/>
      <c r="L273" s="3"/>
      <c r="M273" s="3"/>
      <c r="N273" s="3"/>
      <c r="O273" s="3"/>
      <c r="P273" s="3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3"/>
      <c r="K274" s="3"/>
      <c r="L274" s="3"/>
      <c r="M274" s="3"/>
      <c r="N274" s="3"/>
      <c r="O274" s="3"/>
      <c r="P274" s="3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3"/>
      <c r="K275" s="3"/>
      <c r="L275" s="3"/>
      <c r="M275" s="3"/>
      <c r="N275" s="3"/>
      <c r="O275" s="3"/>
      <c r="P275" s="3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3"/>
      <c r="K276" s="3"/>
      <c r="L276" s="3"/>
      <c r="M276" s="3"/>
      <c r="N276" s="3"/>
      <c r="O276" s="3"/>
      <c r="P276" s="3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3"/>
      <c r="K277" s="3"/>
      <c r="L277" s="3"/>
      <c r="M277" s="3"/>
      <c r="N277" s="3"/>
      <c r="O277" s="3"/>
      <c r="P277" s="3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3"/>
      <c r="K278" s="3"/>
      <c r="L278" s="3"/>
      <c r="M278" s="3"/>
      <c r="N278" s="3"/>
      <c r="O278" s="3"/>
      <c r="P278" s="3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3"/>
      <c r="K279" s="3"/>
      <c r="L279" s="3"/>
      <c r="M279" s="3"/>
      <c r="N279" s="3"/>
      <c r="O279" s="3"/>
      <c r="P279" s="3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3"/>
      <c r="K280" s="3"/>
      <c r="L280" s="3"/>
      <c r="M280" s="3"/>
      <c r="N280" s="3"/>
      <c r="O280" s="3"/>
      <c r="P280" s="3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3"/>
      <c r="K281" s="3"/>
      <c r="L281" s="3"/>
      <c r="M281" s="3"/>
      <c r="N281" s="3"/>
      <c r="O281" s="3"/>
      <c r="P281" s="3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3"/>
      <c r="K282" s="3"/>
      <c r="L282" s="3"/>
      <c r="M282" s="3"/>
      <c r="N282" s="3"/>
      <c r="O282" s="3"/>
      <c r="P282" s="3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3"/>
      <c r="K283" s="3"/>
      <c r="L283" s="3"/>
      <c r="M283" s="3"/>
      <c r="N283" s="3"/>
      <c r="O283" s="3"/>
      <c r="P283" s="3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3"/>
      <c r="K284" s="3"/>
      <c r="L284" s="3"/>
      <c r="M284" s="3"/>
      <c r="N284" s="3"/>
      <c r="O284" s="3"/>
      <c r="P284" s="3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3"/>
      <c r="K285" s="3"/>
      <c r="L285" s="3"/>
      <c r="M285" s="3"/>
      <c r="N285" s="3"/>
      <c r="O285" s="3"/>
      <c r="P285" s="3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3"/>
      <c r="K286" s="3"/>
      <c r="L286" s="3"/>
      <c r="M286" s="3"/>
      <c r="N286" s="3"/>
      <c r="O286" s="3"/>
      <c r="P286" s="3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3"/>
      <c r="K287" s="3"/>
      <c r="L287" s="3"/>
      <c r="M287" s="3"/>
      <c r="N287" s="3"/>
      <c r="O287" s="3"/>
      <c r="P287" s="3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3"/>
      <c r="K288" s="3"/>
      <c r="L288" s="3"/>
      <c r="M288" s="3"/>
      <c r="N288" s="3"/>
      <c r="O288" s="3"/>
      <c r="P288" s="3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3"/>
      <c r="K289" s="3"/>
      <c r="L289" s="3"/>
      <c r="M289" s="3"/>
      <c r="N289" s="3"/>
      <c r="O289" s="3"/>
      <c r="P289" s="3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3"/>
      <c r="K290" s="3"/>
      <c r="L290" s="3"/>
      <c r="M290" s="3"/>
      <c r="N290" s="3"/>
      <c r="O290" s="3"/>
      <c r="P290" s="3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3"/>
      <c r="K291" s="3"/>
      <c r="L291" s="3"/>
      <c r="M291" s="3"/>
      <c r="N291" s="3"/>
      <c r="O291" s="3"/>
      <c r="P291" s="3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3"/>
      <c r="K292" s="3"/>
      <c r="L292" s="3"/>
      <c r="M292" s="3"/>
      <c r="N292" s="3"/>
      <c r="O292" s="3"/>
      <c r="P292" s="3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3"/>
      <c r="K293" s="3"/>
      <c r="L293" s="3"/>
      <c r="M293" s="3"/>
      <c r="N293" s="3"/>
      <c r="O293" s="3"/>
      <c r="P293" s="3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3"/>
      <c r="K294" s="3"/>
      <c r="L294" s="3"/>
      <c r="M294" s="3"/>
      <c r="N294" s="3"/>
      <c r="O294" s="3"/>
      <c r="P294" s="3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3"/>
      <c r="K295" s="3"/>
      <c r="L295" s="3"/>
      <c r="M295" s="3"/>
      <c r="N295" s="3"/>
      <c r="O295" s="3"/>
      <c r="P295" s="3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3"/>
      <c r="K296" s="3"/>
      <c r="L296" s="3"/>
      <c r="M296" s="3"/>
      <c r="N296" s="3"/>
      <c r="O296" s="3"/>
      <c r="P296" s="3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3"/>
      <c r="K297" s="3"/>
      <c r="L297" s="3"/>
      <c r="M297" s="3"/>
      <c r="N297" s="3"/>
      <c r="O297" s="3"/>
      <c r="P297" s="3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3"/>
      <c r="K298" s="3"/>
      <c r="L298" s="3"/>
      <c r="M298" s="3"/>
      <c r="N298" s="3"/>
      <c r="O298" s="3"/>
      <c r="P298" s="3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3"/>
      <c r="K299" s="3"/>
      <c r="L299" s="3"/>
      <c r="M299" s="3"/>
      <c r="N299" s="3"/>
      <c r="O299" s="3"/>
      <c r="P299" s="3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3"/>
      <c r="K300" s="3"/>
      <c r="L300" s="3"/>
      <c r="M300" s="3"/>
      <c r="N300" s="3"/>
      <c r="O300" s="3"/>
      <c r="P300" s="3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3"/>
      <c r="K301" s="3"/>
      <c r="L301" s="3"/>
      <c r="M301" s="3"/>
      <c r="N301" s="3"/>
      <c r="O301" s="3"/>
      <c r="P301" s="3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3"/>
      <c r="K302" s="3"/>
      <c r="L302" s="3"/>
      <c r="M302" s="3"/>
      <c r="N302" s="3"/>
      <c r="O302" s="3"/>
      <c r="P302" s="3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3"/>
      <c r="K303" s="3"/>
      <c r="L303" s="3"/>
      <c r="M303" s="3"/>
      <c r="N303" s="3"/>
      <c r="O303" s="3"/>
      <c r="P303" s="3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3"/>
      <c r="K304" s="3"/>
      <c r="L304" s="3"/>
      <c r="M304" s="3"/>
      <c r="N304" s="3"/>
      <c r="O304" s="3"/>
      <c r="P304" s="3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3"/>
      <c r="K305" s="3"/>
      <c r="L305" s="3"/>
      <c r="M305" s="3"/>
      <c r="N305" s="3"/>
      <c r="O305" s="3"/>
      <c r="P305" s="3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3"/>
      <c r="K306" s="3"/>
      <c r="L306" s="3"/>
      <c r="M306" s="3"/>
      <c r="N306" s="3"/>
      <c r="O306" s="3"/>
      <c r="P306" s="3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3"/>
      <c r="K307" s="3"/>
      <c r="L307" s="3"/>
      <c r="M307" s="3"/>
      <c r="N307" s="3"/>
      <c r="O307" s="3"/>
      <c r="P307" s="3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3"/>
      <c r="K308" s="3"/>
      <c r="L308" s="3"/>
      <c r="M308" s="3"/>
      <c r="N308" s="3"/>
      <c r="O308" s="3"/>
      <c r="P308" s="3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3"/>
      <c r="K309" s="3"/>
      <c r="L309" s="3"/>
      <c r="M309" s="3"/>
      <c r="N309" s="3"/>
      <c r="O309" s="3"/>
      <c r="P309" s="3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3"/>
      <c r="K310" s="3"/>
      <c r="L310" s="3"/>
      <c r="M310" s="3"/>
      <c r="N310" s="3"/>
      <c r="O310" s="3"/>
      <c r="P310" s="3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3"/>
      <c r="K311" s="3"/>
      <c r="L311" s="3"/>
      <c r="M311" s="3"/>
      <c r="N311" s="3"/>
      <c r="O311" s="3"/>
      <c r="P311" s="3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3"/>
      <c r="K312" s="3"/>
      <c r="L312" s="3"/>
      <c r="M312" s="3"/>
      <c r="N312" s="3"/>
      <c r="O312" s="3"/>
      <c r="P312" s="3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3"/>
      <c r="K313" s="3"/>
      <c r="L313" s="3"/>
      <c r="M313" s="3"/>
      <c r="N313" s="3"/>
      <c r="O313" s="3"/>
      <c r="P313" s="3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3"/>
      <c r="K314" s="3"/>
      <c r="L314" s="3"/>
      <c r="M314" s="3"/>
      <c r="N314" s="3"/>
      <c r="O314" s="3"/>
      <c r="P314" s="3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3"/>
      <c r="K315" s="3"/>
      <c r="L315" s="3"/>
      <c r="M315" s="3"/>
      <c r="N315" s="3"/>
      <c r="O315" s="3"/>
      <c r="P315" s="3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3"/>
      <c r="K316" s="3"/>
      <c r="L316" s="3"/>
      <c r="M316" s="3"/>
      <c r="N316" s="3"/>
      <c r="O316" s="3"/>
      <c r="P316" s="3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3"/>
      <c r="K317" s="3"/>
      <c r="L317" s="3"/>
      <c r="M317" s="3"/>
      <c r="N317" s="3"/>
      <c r="O317" s="3"/>
      <c r="P317" s="3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3"/>
      <c r="K318" s="3"/>
      <c r="L318" s="3"/>
      <c r="M318" s="3"/>
      <c r="N318" s="3"/>
      <c r="O318" s="3"/>
      <c r="P318" s="3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3"/>
      <c r="K319" s="3"/>
      <c r="L319" s="3"/>
      <c r="M319" s="3"/>
      <c r="N319" s="3"/>
      <c r="O319" s="3"/>
      <c r="P319" s="3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3"/>
      <c r="K320" s="3"/>
      <c r="L320" s="3"/>
      <c r="M320" s="3"/>
      <c r="N320" s="3"/>
      <c r="O320" s="3"/>
      <c r="P320" s="3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3"/>
      <c r="K321" s="3"/>
      <c r="L321" s="3"/>
      <c r="M321" s="3"/>
      <c r="N321" s="3"/>
      <c r="O321" s="3"/>
      <c r="P321" s="3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3"/>
      <c r="K322" s="3"/>
      <c r="L322" s="3"/>
      <c r="M322" s="3"/>
      <c r="N322" s="3"/>
      <c r="O322" s="3"/>
      <c r="P322" s="3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3"/>
      <c r="K323" s="3"/>
      <c r="L323" s="3"/>
      <c r="M323" s="3"/>
      <c r="N323" s="3"/>
      <c r="O323" s="3"/>
      <c r="P323" s="3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3"/>
      <c r="K324" s="3"/>
      <c r="L324" s="3"/>
      <c r="M324" s="3"/>
      <c r="N324" s="3"/>
      <c r="O324" s="3"/>
      <c r="P324" s="3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3"/>
      <c r="K325" s="3"/>
      <c r="L325" s="3"/>
      <c r="M325" s="3"/>
      <c r="N325" s="3"/>
      <c r="O325" s="3"/>
      <c r="P325" s="3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2.5" x14ac:dyDescent="0.25">
      <c r="J326" s="115"/>
      <c r="K326" s="115"/>
      <c r="L326" s="115"/>
      <c r="M326" s="115"/>
      <c r="N326" s="115"/>
      <c r="O326" s="115"/>
      <c r="P326" s="115"/>
    </row>
    <row r="327" spans="1:30" ht="12.5" x14ac:dyDescent="0.25">
      <c r="J327" s="115"/>
      <c r="K327" s="115"/>
      <c r="L327" s="115"/>
      <c r="M327" s="115"/>
      <c r="N327" s="115"/>
      <c r="O327" s="115"/>
      <c r="P327" s="115"/>
    </row>
    <row r="328" spans="1:30" ht="12.5" x14ac:dyDescent="0.25">
      <c r="J328" s="115"/>
      <c r="K328" s="115"/>
      <c r="L328" s="115"/>
      <c r="M328" s="115"/>
      <c r="N328" s="115"/>
      <c r="O328" s="115"/>
      <c r="P328" s="115"/>
    </row>
    <row r="329" spans="1:30" ht="12.5" x14ac:dyDescent="0.25">
      <c r="J329" s="115"/>
      <c r="K329" s="115"/>
      <c r="L329" s="115"/>
      <c r="M329" s="115"/>
      <c r="N329" s="115"/>
      <c r="O329" s="115"/>
      <c r="P329" s="115"/>
    </row>
    <row r="330" spans="1:30" ht="12.5" x14ac:dyDescent="0.25">
      <c r="J330" s="115"/>
      <c r="K330" s="115"/>
      <c r="L330" s="115"/>
      <c r="M330" s="115"/>
      <c r="N330" s="115"/>
      <c r="O330" s="115"/>
      <c r="P330" s="115"/>
    </row>
    <row r="331" spans="1:30" ht="12.5" x14ac:dyDescent="0.25">
      <c r="J331" s="115"/>
      <c r="K331" s="115"/>
      <c r="L331" s="115"/>
      <c r="M331" s="115"/>
      <c r="N331" s="115"/>
      <c r="O331" s="115"/>
      <c r="P331" s="115"/>
    </row>
    <row r="332" spans="1:30" ht="12.5" x14ac:dyDescent="0.25">
      <c r="J332" s="115"/>
      <c r="K332" s="115"/>
      <c r="L332" s="115"/>
      <c r="M332" s="115"/>
      <c r="N332" s="115"/>
      <c r="O332" s="115"/>
      <c r="P332" s="115"/>
    </row>
    <row r="333" spans="1:30" ht="12.5" x14ac:dyDescent="0.25">
      <c r="J333" s="115"/>
      <c r="K333" s="115"/>
      <c r="L333" s="115"/>
      <c r="M333" s="115"/>
      <c r="N333" s="115"/>
      <c r="O333" s="115"/>
      <c r="P333" s="115"/>
    </row>
    <row r="334" spans="1:30" ht="12.5" x14ac:dyDescent="0.25">
      <c r="J334" s="115"/>
      <c r="K334" s="115"/>
      <c r="L334" s="115"/>
      <c r="M334" s="115"/>
      <c r="N334" s="115"/>
      <c r="O334" s="115"/>
      <c r="P334" s="115"/>
    </row>
    <row r="335" spans="1:30" ht="12.5" x14ac:dyDescent="0.25">
      <c r="J335" s="115"/>
      <c r="K335" s="115"/>
      <c r="L335" s="115"/>
      <c r="M335" s="115"/>
      <c r="N335" s="115"/>
      <c r="O335" s="115"/>
      <c r="P335" s="115"/>
    </row>
    <row r="336" spans="1:30" ht="12.5" x14ac:dyDescent="0.25">
      <c r="J336" s="115"/>
      <c r="K336" s="115"/>
      <c r="L336" s="115"/>
      <c r="M336" s="115"/>
      <c r="N336" s="115"/>
      <c r="O336" s="115"/>
      <c r="P336" s="115"/>
    </row>
    <row r="337" spans="10:16" ht="12.5" x14ac:dyDescent="0.25">
      <c r="J337" s="115"/>
      <c r="K337" s="115"/>
      <c r="L337" s="115"/>
      <c r="M337" s="115"/>
      <c r="N337" s="115"/>
      <c r="O337" s="115"/>
      <c r="P337" s="115"/>
    </row>
    <row r="338" spans="10:16" ht="12.5" x14ac:dyDescent="0.25">
      <c r="J338" s="115"/>
      <c r="K338" s="115"/>
      <c r="L338" s="115"/>
      <c r="M338" s="115"/>
      <c r="N338" s="115"/>
      <c r="O338" s="115"/>
      <c r="P338" s="115"/>
    </row>
    <row r="339" spans="10:16" ht="12.5" x14ac:dyDescent="0.25">
      <c r="J339" s="115"/>
      <c r="K339" s="115"/>
      <c r="L339" s="115"/>
      <c r="M339" s="115"/>
      <c r="N339" s="115"/>
      <c r="O339" s="115"/>
      <c r="P339" s="115"/>
    </row>
    <row r="340" spans="10:16" ht="12.5" x14ac:dyDescent="0.25">
      <c r="J340" s="115"/>
      <c r="K340" s="115"/>
      <c r="L340" s="115"/>
      <c r="M340" s="115"/>
      <c r="N340" s="115"/>
      <c r="O340" s="115"/>
      <c r="P340" s="115"/>
    </row>
    <row r="341" spans="10:16" ht="12.5" x14ac:dyDescent="0.25">
      <c r="J341" s="115"/>
      <c r="K341" s="115"/>
      <c r="L341" s="115"/>
      <c r="M341" s="115"/>
      <c r="N341" s="115"/>
      <c r="O341" s="115"/>
      <c r="P341" s="115"/>
    </row>
    <row r="342" spans="10:16" ht="12.5" x14ac:dyDescent="0.25">
      <c r="J342" s="115"/>
      <c r="K342" s="115"/>
      <c r="L342" s="115"/>
      <c r="M342" s="115"/>
      <c r="N342" s="115"/>
      <c r="O342" s="115"/>
      <c r="P342" s="115"/>
    </row>
    <row r="343" spans="10:16" ht="12.5" x14ac:dyDescent="0.25">
      <c r="J343" s="115"/>
      <c r="K343" s="115"/>
      <c r="L343" s="115"/>
      <c r="M343" s="115"/>
      <c r="N343" s="115"/>
      <c r="O343" s="115"/>
      <c r="P343" s="115"/>
    </row>
    <row r="344" spans="10:16" ht="12.5" x14ac:dyDescent="0.25">
      <c r="J344" s="115"/>
      <c r="K344" s="115"/>
      <c r="L344" s="115"/>
      <c r="M344" s="115"/>
      <c r="N344" s="115"/>
      <c r="O344" s="115"/>
      <c r="P344" s="115"/>
    </row>
    <row r="345" spans="10:16" ht="12.5" x14ac:dyDescent="0.25">
      <c r="J345" s="115"/>
      <c r="K345" s="115"/>
      <c r="L345" s="115"/>
      <c r="M345" s="115"/>
      <c r="N345" s="115"/>
      <c r="O345" s="115"/>
      <c r="P345" s="115"/>
    </row>
    <row r="346" spans="10:16" ht="12.5" x14ac:dyDescent="0.25">
      <c r="J346" s="115"/>
      <c r="K346" s="115"/>
      <c r="L346" s="115"/>
      <c r="M346" s="115"/>
      <c r="N346" s="115"/>
      <c r="O346" s="115"/>
      <c r="P346" s="115"/>
    </row>
    <row r="347" spans="10:16" ht="12.5" x14ac:dyDescent="0.25">
      <c r="J347" s="115"/>
      <c r="K347" s="115"/>
      <c r="L347" s="115"/>
      <c r="M347" s="115"/>
      <c r="N347" s="115"/>
      <c r="O347" s="115"/>
      <c r="P347" s="115"/>
    </row>
    <row r="348" spans="10:16" ht="12.5" x14ac:dyDescent="0.25">
      <c r="J348" s="115"/>
      <c r="K348" s="115"/>
      <c r="L348" s="115"/>
      <c r="M348" s="115"/>
      <c r="N348" s="115"/>
      <c r="O348" s="115"/>
      <c r="P348" s="115"/>
    </row>
    <row r="349" spans="10:16" ht="12.5" x14ac:dyDescent="0.25">
      <c r="J349" s="115"/>
      <c r="K349" s="115"/>
      <c r="L349" s="115"/>
      <c r="M349" s="115"/>
      <c r="N349" s="115"/>
      <c r="O349" s="115"/>
      <c r="P349" s="115"/>
    </row>
    <row r="350" spans="10:16" ht="12.5" x14ac:dyDescent="0.25">
      <c r="J350" s="115"/>
      <c r="K350" s="115"/>
      <c r="L350" s="115"/>
      <c r="M350" s="115"/>
      <c r="N350" s="115"/>
      <c r="O350" s="115"/>
      <c r="P350" s="115"/>
    </row>
    <row r="351" spans="10:16" ht="12.5" x14ac:dyDescent="0.25">
      <c r="J351" s="115"/>
      <c r="K351" s="115"/>
      <c r="L351" s="115"/>
      <c r="M351" s="115"/>
      <c r="N351" s="115"/>
      <c r="O351" s="115"/>
      <c r="P351" s="115"/>
    </row>
    <row r="352" spans="10:16" ht="12.5" x14ac:dyDescent="0.25">
      <c r="J352" s="115"/>
      <c r="K352" s="115"/>
      <c r="L352" s="115"/>
      <c r="M352" s="115"/>
      <c r="N352" s="115"/>
      <c r="O352" s="115"/>
      <c r="P352" s="115"/>
    </row>
    <row r="353" spans="10:16" ht="12.5" x14ac:dyDescent="0.25">
      <c r="J353" s="115"/>
      <c r="K353" s="115"/>
      <c r="L353" s="115"/>
      <c r="M353" s="115"/>
      <c r="N353" s="115"/>
      <c r="O353" s="115"/>
      <c r="P353" s="115"/>
    </row>
    <row r="354" spans="10:16" ht="12.5" x14ac:dyDescent="0.25">
      <c r="J354" s="115"/>
      <c r="K354" s="115"/>
      <c r="L354" s="115"/>
      <c r="M354" s="115"/>
      <c r="N354" s="115"/>
      <c r="O354" s="115"/>
      <c r="P354" s="115"/>
    </row>
    <row r="355" spans="10:16" ht="12.5" x14ac:dyDescent="0.25">
      <c r="J355" s="115"/>
      <c r="K355" s="115"/>
      <c r="L355" s="115"/>
      <c r="M355" s="115"/>
      <c r="N355" s="115"/>
      <c r="O355" s="115"/>
      <c r="P355" s="115"/>
    </row>
    <row r="356" spans="10:16" ht="12.5" x14ac:dyDescent="0.25">
      <c r="J356" s="115"/>
      <c r="K356" s="115"/>
      <c r="L356" s="115"/>
      <c r="M356" s="115"/>
      <c r="N356" s="115"/>
      <c r="O356" s="115"/>
      <c r="P356" s="115"/>
    </row>
    <row r="357" spans="10:16" ht="12.5" x14ac:dyDescent="0.25">
      <c r="J357" s="115"/>
      <c r="K357" s="115"/>
      <c r="L357" s="115"/>
      <c r="M357" s="115"/>
      <c r="N357" s="115"/>
      <c r="O357" s="115"/>
      <c r="P357" s="115"/>
    </row>
    <row r="358" spans="10:16" ht="12.5" x14ac:dyDescent="0.25">
      <c r="J358" s="115"/>
      <c r="K358" s="115"/>
      <c r="L358" s="115"/>
      <c r="M358" s="115"/>
      <c r="N358" s="115"/>
      <c r="O358" s="115"/>
      <c r="P358" s="115"/>
    </row>
    <row r="359" spans="10:16" ht="12.5" x14ac:dyDescent="0.25">
      <c r="J359" s="115"/>
      <c r="K359" s="115"/>
      <c r="L359" s="115"/>
      <c r="M359" s="115"/>
      <c r="N359" s="115"/>
      <c r="O359" s="115"/>
      <c r="P359" s="115"/>
    </row>
    <row r="360" spans="10:16" ht="12.5" x14ac:dyDescent="0.25">
      <c r="J360" s="115"/>
      <c r="K360" s="115"/>
      <c r="L360" s="115"/>
      <c r="M360" s="115"/>
      <c r="N360" s="115"/>
      <c r="O360" s="115"/>
      <c r="P360" s="115"/>
    </row>
    <row r="361" spans="10:16" ht="12.5" x14ac:dyDescent="0.25">
      <c r="J361" s="115"/>
      <c r="K361" s="115"/>
      <c r="L361" s="115"/>
      <c r="M361" s="115"/>
      <c r="N361" s="115"/>
      <c r="O361" s="115"/>
      <c r="P361" s="115"/>
    </row>
    <row r="362" spans="10:16" ht="12.5" x14ac:dyDescent="0.25">
      <c r="J362" s="115"/>
      <c r="K362" s="115"/>
      <c r="L362" s="115"/>
      <c r="M362" s="115"/>
      <c r="N362" s="115"/>
      <c r="O362" s="115"/>
      <c r="P362" s="115"/>
    </row>
    <row r="363" spans="10:16" ht="12.5" x14ac:dyDescent="0.25">
      <c r="J363" s="115"/>
      <c r="K363" s="115"/>
      <c r="L363" s="115"/>
      <c r="M363" s="115"/>
      <c r="N363" s="115"/>
      <c r="O363" s="115"/>
      <c r="P363" s="115"/>
    </row>
    <row r="364" spans="10:16" ht="12.5" x14ac:dyDescent="0.25">
      <c r="J364" s="115"/>
      <c r="K364" s="115"/>
      <c r="L364" s="115"/>
      <c r="M364" s="115"/>
      <c r="N364" s="115"/>
      <c r="O364" s="115"/>
      <c r="P364" s="115"/>
    </row>
    <row r="365" spans="10:16" ht="12.5" x14ac:dyDescent="0.25">
      <c r="J365" s="115"/>
      <c r="K365" s="115"/>
      <c r="L365" s="115"/>
      <c r="M365" s="115"/>
      <c r="N365" s="115"/>
      <c r="O365" s="115"/>
      <c r="P365" s="115"/>
    </row>
    <row r="366" spans="10:16" ht="12.5" x14ac:dyDescent="0.25">
      <c r="J366" s="115"/>
      <c r="K366" s="115"/>
      <c r="L366" s="115"/>
      <c r="M366" s="115"/>
      <c r="N366" s="115"/>
      <c r="O366" s="115"/>
      <c r="P366" s="115"/>
    </row>
    <row r="367" spans="10:16" ht="12.5" x14ac:dyDescent="0.25">
      <c r="J367" s="115"/>
      <c r="K367" s="115"/>
      <c r="L367" s="115"/>
      <c r="M367" s="115"/>
      <c r="N367" s="115"/>
      <c r="O367" s="115"/>
      <c r="P367" s="115"/>
    </row>
    <row r="368" spans="10:16" ht="12.5" x14ac:dyDescent="0.25">
      <c r="J368" s="115"/>
      <c r="K368" s="115"/>
      <c r="L368" s="115"/>
      <c r="M368" s="115"/>
      <c r="N368" s="115"/>
      <c r="O368" s="115"/>
      <c r="P368" s="115"/>
    </row>
    <row r="369" spans="10:16" ht="12.5" x14ac:dyDescent="0.25">
      <c r="J369" s="115"/>
      <c r="K369" s="115"/>
      <c r="L369" s="115"/>
      <c r="M369" s="115"/>
      <c r="N369" s="115"/>
      <c r="O369" s="115"/>
      <c r="P369" s="115"/>
    </row>
    <row r="370" spans="10:16" ht="12.5" x14ac:dyDescent="0.25">
      <c r="J370" s="115"/>
      <c r="K370" s="115"/>
      <c r="L370" s="115"/>
      <c r="M370" s="115"/>
      <c r="N370" s="115"/>
      <c r="O370" s="115"/>
      <c r="P370" s="115"/>
    </row>
    <row r="371" spans="10:16" ht="12.5" x14ac:dyDescent="0.25">
      <c r="J371" s="115"/>
      <c r="K371" s="115"/>
      <c r="L371" s="115"/>
      <c r="M371" s="115"/>
      <c r="N371" s="115"/>
      <c r="O371" s="115"/>
      <c r="P371" s="115"/>
    </row>
    <row r="372" spans="10:16" ht="12.5" x14ac:dyDescent="0.25">
      <c r="J372" s="115"/>
      <c r="K372" s="115"/>
      <c r="L372" s="115"/>
      <c r="M372" s="115"/>
      <c r="N372" s="115"/>
      <c r="O372" s="115"/>
      <c r="P372" s="115"/>
    </row>
    <row r="373" spans="10:16" ht="12.5" x14ac:dyDescent="0.25">
      <c r="J373" s="115"/>
      <c r="K373" s="115"/>
      <c r="L373" s="115"/>
      <c r="M373" s="115"/>
      <c r="N373" s="115"/>
      <c r="O373" s="115"/>
      <c r="P373" s="115"/>
    </row>
    <row r="374" spans="10:16" ht="12.5" x14ac:dyDescent="0.25">
      <c r="J374" s="115"/>
      <c r="K374" s="115"/>
      <c r="L374" s="115"/>
      <c r="M374" s="115"/>
      <c r="N374" s="115"/>
      <c r="O374" s="115"/>
      <c r="P374" s="115"/>
    </row>
    <row r="375" spans="10:16" ht="12.5" x14ac:dyDescent="0.25">
      <c r="J375" s="115"/>
      <c r="K375" s="115"/>
      <c r="L375" s="115"/>
      <c r="M375" s="115"/>
      <c r="N375" s="115"/>
      <c r="O375" s="115"/>
      <c r="P375" s="115"/>
    </row>
    <row r="376" spans="10:16" ht="12.5" x14ac:dyDescent="0.25">
      <c r="J376" s="115"/>
      <c r="K376" s="115"/>
      <c r="L376" s="115"/>
      <c r="M376" s="115"/>
      <c r="N376" s="115"/>
      <c r="O376" s="115"/>
      <c r="P376" s="115"/>
    </row>
    <row r="377" spans="10:16" ht="12.5" x14ac:dyDescent="0.25">
      <c r="J377" s="115"/>
      <c r="K377" s="115"/>
      <c r="L377" s="115"/>
      <c r="M377" s="115"/>
      <c r="N377" s="115"/>
      <c r="O377" s="115"/>
      <c r="P377" s="115"/>
    </row>
    <row r="378" spans="10:16" ht="12.5" x14ac:dyDescent="0.25">
      <c r="J378" s="115"/>
      <c r="K378" s="115"/>
      <c r="L378" s="115"/>
      <c r="M378" s="115"/>
      <c r="N378" s="115"/>
      <c r="O378" s="115"/>
      <c r="P378" s="115"/>
    </row>
    <row r="379" spans="10:16" ht="12.5" x14ac:dyDescent="0.25">
      <c r="J379" s="115"/>
      <c r="K379" s="115"/>
      <c r="L379" s="115"/>
      <c r="M379" s="115"/>
      <c r="N379" s="115"/>
      <c r="O379" s="115"/>
      <c r="P379" s="115"/>
    </row>
    <row r="380" spans="10:16" ht="12.5" x14ac:dyDescent="0.25">
      <c r="J380" s="115"/>
      <c r="K380" s="115"/>
      <c r="L380" s="115"/>
      <c r="M380" s="115"/>
      <c r="N380" s="115"/>
      <c r="O380" s="115"/>
      <c r="P380" s="115"/>
    </row>
    <row r="381" spans="10:16" ht="12.5" x14ac:dyDescent="0.25">
      <c r="J381" s="115"/>
      <c r="K381" s="115"/>
      <c r="L381" s="115"/>
      <c r="M381" s="115"/>
      <c r="N381" s="115"/>
      <c r="O381" s="115"/>
      <c r="P381" s="115"/>
    </row>
    <row r="382" spans="10:16" ht="12.5" x14ac:dyDescent="0.25">
      <c r="J382" s="115"/>
      <c r="K382" s="115"/>
      <c r="L382" s="115"/>
      <c r="M382" s="115"/>
      <c r="N382" s="115"/>
      <c r="O382" s="115"/>
      <c r="P382" s="115"/>
    </row>
    <row r="383" spans="10:16" ht="12.5" x14ac:dyDescent="0.25">
      <c r="J383" s="115"/>
      <c r="K383" s="115"/>
      <c r="L383" s="115"/>
      <c r="M383" s="115"/>
      <c r="N383" s="115"/>
      <c r="O383" s="115"/>
      <c r="P383" s="115"/>
    </row>
    <row r="384" spans="10:16" ht="12.5" x14ac:dyDescent="0.25">
      <c r="J384" s="115"/>
      <c r="K384" s="115"/>
      <c r="L384" s="115"/>
      <c r="M384" s="115"/>
      <c r="N384" s="115"/>
      <c r="O384" s="115"/>
      <c r="P384" s="115"/>
    </row>
    <row r="385" spans="10:16" ht="12.5" x14ac:dyDescent="0.25">
      <c r="J385" s="115"/>
      <c r="K385" s="115"/>
      <c r="L385" s="115"/>
      <c r="M385" s="115"/>
      <c r="N385" s="115"/>
      <c r="O385" s="115"/>
      <c r="P385" s="115"/>
    </row>
    <row r="386" spans="10:16" ht="12.5" x14ac:dyDescent="0.25">
      <c r="J386" s="115"/>
      <c r="K386" s="115"/>
      <c r="L386" s="115"/>
      <c r="M386" s="115"/>
      <c r="N386" s="115"/>
      <c r="O386" s="115"/>
      <c r="P386" s="115"/>
    </row>
    <row r="387" spans="10:16" ht="12.5" x14ac:dyDescent="0.25">
      <c r="J387" s="115"/>
      <c r="K387" s="115"/>
      <c r="L387" s="115"/>
      <c r="M387" s="115"/>
      <c r="N387" s="115"/>
      <c r="O387" s="115"/>
      <c r="P387" s="115"/>
    </row>
    <row r="388" spans="10:16" ht="12.5" x14ac:dyDescent="0.25">
      <c r="J388" s="115"/>
      <c r="K388" s="115"/>
      <c r="L388" s="115"/>
      <c r="M388" s="115"/>
      <c r="N388" s="115"/>
      <c r="O388" s="115"/>
      <c r="P388" s="115"/>
    </row>
    <row r="389" spans="10:16" ht="12.5" x14ac:dyDescent="0.25">
      <c r="J389" s="115"/>
      <c r="K389" s="115"/>
      <c r="L389" s="115"/>
      <c r="M389" s="115"/>
      <c r="N389" s="115"/>
      <c r="O389" s="115"/>
      <c r="P389" s="115"/>
    </row>
    <row r="390" spans="10:16" ht="12.5" x14ac:dyDescent="0.25">
      <c r="J390" s="115"/>
      <c r="K390" s="115"/>
      <c r="L390" s="115"/>
      <c r="M390" s="115"/>
      <c r="N390" s="115"/>
      <c r="O390" s="115"/>
      <c r="P390" s="115"/>
    </row>
    <row r="391" spans="10:16" ht="12.5" x14ac:dyDescent="0.25">
      <c r="J391" s="115"/>
      <c r="K391" s="115"/>
      <c r="L391" s="115"/>
      <c r="M391" s="115"/>
      <c r="N391" s="115"/>
      <c r="O391" s="115"/>
      <c r="P391" s="115"/>
    </row>
    <row r="392" spans="10:16" ht="12.5" x14ac:dyDescent="0.25">
      <c r="J392" s="115"/>
      <c r="K392" s="115"/>
      <c r="L392" s="115"/>
      <c r="M392" s="115"/>
      <c r="N392" s="115"/>
      <c r="O392" s="115"/>
      <c r="P392" s="115"/>
    </row>
    <row r="393" spans="10:16" ht="12.5" x14ac:dyDescent="0.25">
      <c r="J393" s="115"/>
      <c r="K393" s="115"/>
      <c r="L393" s="115"/>
      <c r="M393" s="115"/>
      <c r="N393" s="115"/>
      <c r="O393" s="115"/>
      <c r="P393" s="115"/>
    </row>
    <row r="394" spans="10:16" ht="12.5" x14ac:dyDescent="0.25">
      <c r="J394" s="115"/>
      <c r="K394" s="115"/>
      <c r="L394" s="115"/>
      <c r="M394" s="115"/>
      <c r="N394" s="115"/>
      <c r="O394" s="115"/>
      <c r="P394" s="115"/>
    </row>
    <row r="395" spans="10:16" ht="12.5" x14ac:dyDescent="0.25">
      <c r="J395" s="115"/>
      <c r="K395" s="115"/>
      <c r="L395" s="115"/>
      <c r="M395" s="115"/>
      <c r="N395" s="115"/>
      <c r="O395" s="115"/>
      <c r="P395" s="115"/>
    </row>
    <row r="396" spans="10:16" ht="12.5" x14ac:dyDescent="0.25">
      <c r="J396" s="115"/>
      <c r="K396" s="115"/>
      <c r="L396" s="115"/>
      <c r="M396" s="115"/>
      <c r="N396" s="115"/>
      <c r="O396" s="115"/>
      <c r="P396" s="115"/>
    </row>
    <row r="397" spans="10:16" ht="12.5" x14ac:dyDescent="0.25">
      <c r="J397" s="115"/>
      <c r="K397" s="115"/>
      <c r="L397" s="115"/>
      <c r="M397" s="115"/>
      <c r="N397" s="115"/>
      <c r="O397" s="115"/>
      <c r="P397" s="115"/>
    </row>
    <row r="398" spans="10:16" ht="12.5" x14ac:dyDescent="0.25">
      <c r="J398" s="115"/>
      <c r="K398" s="115"/>
      <c r="L398" s="115"/>
      <c r="M398" s="115"/>
      <c r="N398" s="115"/>
      <c r="O398" s="115"/>
      <c r="P398" s="115"/>
    </row>
    <row r="399" spans="10:16" ht="12.5" x14ac:dyDescent="0.25">
      <c r="J399" s="115"/>
      <c r="K399" s="115"/>
      <c r="L399" s="115"/>
      <c r="M399" s="115"/>
      <c r="N399" s="115"/>
      <c r="O399" s="115"/>
      <c r="P399" s="115"/>
    </row>
    <row r="400" spans="10:16" ht="12.5" x14ac:dyDescent="0.25">
      <c r="J400" s="115"/>
      <c r="K400" s="115"/>
      <c r="L400" s="115"/>
      <c r="M400" s="115"/>
      <c r="N400" s="115"/>
      <c r="O400" s="115"/>
      <c r="P400" s="115"/>
    </row>
    <row r="401" spans="10:16" ht="12.5" x14ac:dyDescent="0.25">
      <c r="J401" s="115"/>
      <c r="K401" s="115"/>
      <c r="L401" s="115"/>
      <c r="M401" s="115"/>
      <c r="N401" s="115"/>
      <c r="O401" s="115"/>
      <c r="P401" s="115"/>
    </row>
    <row r="402" spans="10:16" ht="12.5" x14ac:dyDescent="0.25">
      <c r="J402" s="115"/>
      <c r="K402" s="115"/>
      <c r="L402" s="115"/>
      <c r="M402" s="115"/>
      <c r="N402" s="115"/>
      <c r="O402" s="115"/>
      <c r="P402" s="115"/>
    </row>
    <row r="403" spans="10:16" ht="12.5" x14ac:dyDescent="0.25">
      <c r="J403" s="115"/>
      <c r="K403" s="115"/>
      <c r="L403" s="115"/>
      <c r="M403" s="115"/>
      <c r="N403" s="115"/>
      <c r="O403" s="115"/>
      <c r="P403" s="115"/>
    </row>
    <row r="404" spans="10:16" ht="12.5" x14ac:dyDescent="0.25">
      <c r="J404" s="115"/>
      <c r="K404" s="115"/>
      <c r="L404" s="115"/>
      <c r="M404" s="115"/>
      <c r="N404" s="115"/>
      <c r="O404" s="115"/>
      <c r="P404" s="115"/>
    </row>
    <row r="405" spans="10:16" ht="12.5" x14ac:dyDescent="0.25">
      <c r="J405" s="115"/>
      <c r="K405" s="115"/>
      <c r="L405" s="115"/>
      <c r="M405" s="115"/>
      <c r="N405" s="115"/>
      <c r="O405" s="115"/>
      <c r="P405" s="115"/>
    </row>
    <row r="406" spans="10:16" ht="12.5" x14ac:dyDescent="0.25">
      <c r="J406" s="115"/>
      <c r="K406" s="115"/>
      <c r="L406" s="115"/>
      <c r="M406" s="115"/>
      <c r="N406" s="115"/>
      <c r="O406" s="115"/>
      <c r="P406" s="115"/>
    </row>
    <row r="407" spans="10:16" ht="12.5" x14ac:dyDescent="0.25">
      <c r="J407" s="115"/>
      <c r="K407" s="115"/>
      <c r="L407" s="115"/>
      <c r="M407" s="115"/>
      <c r="N407" s="115"/>
      <c r="O407" s="115"/>
      <c r="P407" s="115"/>
    </row>
    <row r="408" spans="10:16" ht="12.5" x14ac:dyDescent="0.25">
      <c r="J408" s="115"/>
      <c r="K408" s="115"/>
      <c r="L408" s="115"/>
      <c r="M408" s="115"/>
      <c r="N408" s="115"/>
      <c r="O408" s="115"/>
      <c r="P408" s="115"/>
    </row>
    <row r="409" spans="10:16" ht="12.5" x14ac:dyDescent="0.25">
      <c r="J409" s="115"/>
      <c r="K409" s="115"/>
      <c r="L409" s="115"/>
      <c r="M409" s="115"/>
      <c r="N409" s="115"/>
      <c r="O409" s="115"/>
      <c r="P409" s="115"/>
    </row>
    <row r="410" spans="10:16" ht="12.5" x14ac:dyDescent="0.25">
      <c r="J410" s="115"/>
      <c r="K410" s="115"/>
      <c r="L410" s="115"/>
      <c r="M410" s="115"/>
      <c r="N410" s="115"/>
      <c r="O410" s="115"/>
      <c r="P410" s="115"/>
    </row>
    <row r="411" spans="10:16" ht="12.5" x14ac:dyDescent="0.25">
      <c r="J411" s="115"/>
      <c r="K411" s="115"/>
      <c r="L411" s="115"/>
      <c r="M411" s="115"/>
      <c r="N411" s="115"/>
      <c r="O411" s="115"/>
      <c r="P411" s="115"/>
    </row>
    <row r="412" spans="10:16" ht="12.5" x14ac:dyDescent="0.25">
      <c r="J412" s="115"/>
      <c r="K412" s="115"/>
      <c r="L412" s="115"/>
      <c r="M412" s="115"/>
      <c r="N412" s="115"/>
      <c r="O412" s="115"/>
      <c r="P412" s="115"/>
    </row>
    <row r="413" spans="10:16" ht="12.5" x14ac:dyDescent="0.25">
      <c r="J413" s="115"/>
      <c r="K413" s="115"/>
      <c r="L413" s="115"/>
      <c r="M413" s="115"/>
      <c r="N413" s="115"/>
      <c r="O413" s="115"/>
      <c r="P413" s="115"/>
    </row>
    <row r="414" spans="10:16" ht="12.5" x14ac:dyDescent="0.25">
      <c r="J414" s="115"/>
      <c r="K414" s="115"/>
      <c r="L414" s="115"/>
      <c r="M414" s="115"/>
      <c r="N414" s="115"/>
      <c r="O414" s="115"/>
      <c r="P414" s="115"/>
    </row>
    <row r="415" spans="10:16" ht="12.5" x14ac:dyDescent="0.25">
      <c r="J415" s="115"/>
      <c r="K415" s="115"/>
      <c r="L415" s="115"/>
      <c r="M415" s="115"/>
      <c r="N415" s="115"/>
      <c r="O415" s="115"/>
      <c r="P415" s="115"/>
    </row>
    <row r="416" spans="10:16" ht="12.5" x14ac:dyDescent="0.25">
      <c r="J416" s="115"/>
      <c r="K416" s="115"/>
      <c r="L416" s="115"/>
      <c r="M416" s="115"/>
      <c r="N416" s="115"/>
      <c r="O416" s="115"/>
      <c r="P416" s="115"/>
    </row>
    <row r="417" spans="10:16" ht="12.5" x14ac:dyDescent="0.25">
      <c r="J417" s="115"/>
      <c r="K417" s="115"/>
      <c r="L417" s="115"/>
      <c r="M417" s="115"/>
      <c r="N417" s="115"/>
      <c r="O417" s="115"/>
      <c r="P417" s="115"/>
    </row>
    <row r="418" spans="10:16" ht="12.5" x14ac:dyDescent="0.25">
      <c r="J418" s="115"/>
      <c r="K418" s="115"/>
      <c r="L418" s="115"/>
      <c r="M418" s="115"/>
      <c r="N418" s="115"/>
      <c r="O418" s="115"/>
      <c r="P418" s="115"/>
    </row>
    <row r="419" spans="10:16" ht="12.5" x14ac:dyDescent="0.25">
      <c r="J419" s="115"/>
      <c r="K419" s="115"/>
      <c r="L419" s="115"/>
      <c r="M419" s="115"/>
      <c r="N419" s="115"/>
      <c r="O419" s="115"/>
      <c r="P419" s="115"/>
    </row>
    <row r="420" spans="10:16" ht="12.5" x14ac:dyDescent="0.25">
      <c r="J420" s="115"/>
      <c r="K420" s="115"/>
      <c r="L420" s="115"/>
      <c r="M420" s="115"/>
      <c r="N420" s="115"/>
      <c r="O420" s="115"/>
      <c r="P420" s="115"/>
    </row>
    <row r="421" spans="10:16" ht="12.5" x14ac:dyDescent="0.25">
      <c r="J421" s="115"/>
      <c r="K421" s="115"/>
      <c r="L421" s="115"/>
      <c r="M421" s="115"/>
      <c r="N421" s="115"/>
      <c r="O421" s="115"/>
      <c r="P421" s="115"/>
    </row>
    <row r="422" spans="10:16" ht="12.5" x14ac:dyDescent="0.25">
      <c r="J422" s="115"/>
      <c r="K422" s="115"/>
      <c r="L422" s="115"/>
      <c r="M422" s="115"/>
      <c r="N422" s="115"/>
      <c r="O422" s="115"/>
      <c r="P422" s="115"/>
    </row>
    <row r="423" spans="10:16" ht="12.5" x14ac:dyDescent="0.25">
      <c r="J423" s="115"/>
      <c r="K423" s="115"/>
      <c r="L423" s="115"/>
      <c r="M423" s="115"/>
      <c r="N423" s="115"/>
      <c r="O423" s="115"/>
      <c r="P423" s="115"/>
    </row>
    <row r="424" spans="10:16" ht="12.5" x14ac:dyDescent="0.25">
      <c r="J424" s="115"/>
      <c r="K424" s="115"/>
      <c r="L424" s="115"/>
      <c r="M424" s="115"/>
      <c r="N424" s="115"/>
      <c r="O424" s="115"/>
      <c r="P424" s="115"/>
    </row>
    <row r="425" spans="10:16" ht="12.5" x14ac:dyDescent="0.25">
      <c r="J425" s="115"/>
      <c r="K425" s="115"/>
      <c r="L425" s="115"/>
      <c r="M425" s="115"/>
      <c r="N425" s="115"/>
      <c r="O425" s="115"/>
      <c r="P425" s="115"/>
    </row>
    <row r="426" spans="10:16" ht="12.5" x14ac:dyDescent="0.25">
      <c r="J426" s="115"/>
      <c r="K426" s="115"/>
      <c r="L426" s="115"/>
      <c r="M426" s="115"/>
      <c r="N426" s="115"/>
      <c r="O426" s="115"/>
      <c r="P426" s="115"/>
    </row>
    <row r="427" spans="10:16" ht="12.5" x14ac:dyDescent="0.25">
      <c r="J427" s="115"/>
      <c r="K427" s="115"/>
      <c r="L427" s="115"/>
      <c r="M427" s="115"/>
      <c r="N427" s="115"/>
      <c r="O427" s="115"/>
      <c r="P427" s="115"/>
    </row>
    <row r="428" spans="10:16" ht="12.5" x14ac:dyDescent="0.25">
      <c r="J428" s="115"/>
      <c r="K428" s="115"/>
      <c r="L428" s="115"/>
      <c r="M428" s="115"/>
      <c r="N428" s="115"/>
      <c r="O428" s="115"/>
      <c r="P428" s="115"/>
    </row>
    <row r="429" spans="10:16" ht="12.5" x14ac:dyDescent="0.25">
      <c r="J429" s="115"/>
      <c r="K429" s="115"/>
      <c r="L429" s="115"/>
      <c r="M429" s="115"/>
      <c r="N429" s="115"/>
      <c r="O429" s="115"/>
      <c r="P429" s="115"/>
    </row>
    <row r="430" spans="10:16" ht="12.5" x14ac:dyDescent="0.25">
      <c r="J430" s="115"/>
      <c r="K430" s="115"/>
      <c r="L430" s="115"/>
      <c r="M430" s="115"/>
      <c r="N430" s="115"/>
      <c r="O430" s="115"/>
      <c r="P430" s="115"/>
    </row>
    <row r="431" spans="10:16" ht="12.5" x14ac:dyDescent="0.25">
      <c r="J431" s="115"/>
      <c r="K431" s="115"/>
      <c r="L431" s="115"/>
      <c r="M431" s="115"/>
      <c r="N431" s="115"/>
      <c r="O431" s="115"/>
      <c r="P431" s="115"/>
    </row>
    <row r="432" spans="10:16" ht="12.5" x14ac:dyDescent="0.25">
      <c r="J432" s="115"/>
      <c r="K432" s="115"/>
      <c r="L432" s="115"/>
      <c r="M432" s="115"/>
      <c r="N432" s="115"/>
      <c r="O432" s="115"/>
      <c r="P432" s="115"/>
    </row>
    <row r="433" spans="10:16" ht="12.5" x14ac:dyDescent="0.25">
      <c r="J433" s="115"/>
      <c r="K433" s="115"/>
      <c r="L433" s="115"/>
      <c r="M433" s="115"/>
      <c r="N433" s="115"/>
      <c r="O433" s="115"/>
      <c r="P433" s="115"/>
    </row>
    <row r="434" spans="10:16" ht="12.5" x14ac:dyDescent="0.25">
      <c r="J434" s="115"/>
      <c r="K434" s="115"/>
      <c r="L434" s="115"/>
      <c r="M434" s="115"/>
      <c r="N434" s="115"/>
      <c r="O434" s="115"/>
      <c r="P434" s="115"/>
    </row>
    <row r="435" spans="10:16" ht="12.5" x14ac:dyDescent="0.25">
      <c r="J435" s="115"/>
      <c r="K435" s="115"/>
      <c r="L435" s="115"/>
      <c r="M435" s="115"/>
      <c r="N435" s="115"/>
      <c r="O435" s="115"/>
      <c r="P435" s="115"/>
    </row>
    <row r="436" spans="10:16" ht="12.5" x14ac:dyDescent="0.25">
      <c r="J436" s="115"/>
      <c r="K436" s="115"/>
      <c r="L436" s="115"/>
      <c r="M436" s="115"/>
      <c r="N436" s="115"/>
      <c r="O436" s="115"/>
      <c r="P436" s="115"/>
    </row>
    <row r="437" spans="10:16" ht="12.5" x14ac:dyDescent="0.25">
      <c r="J437" s="115"/>
      <c r="K437" s="115"/>
      <c r="L437" s="115"/>
      <c r="M437" s="115"/>
      <c r="N437" s="115"/>
      <c r="O437" s="115"/>
      <c r="P437" s="115"/>
    </row>
    <row r="438" spans="10:16" ht="12.5" x14ac:dyDescent="0.25">
      <c r="J438" s="115"/>
      <c r="K438" s="115"/>
      <c r="L438" s="115"/>
      <c r="M438" s="115"/>
      <c r="N438" s="115"/>
      <c r="O438" s="115"/>
      <c r="P438" s="115"/>
    </row>
    <row r="439" spans="10:16" ht="12.5" x14ac:dyDescent="0.25">
      <c r="J439" s="115"/>
      <c r="K439" s="115"/>
      <c r="L439" s="115"/>
      <c r="M439" s="115"/>
      <c r="N439" s="115"/>
      <c r="O439" s="115"/>
      <c r="P439" s="115"/>
    </row>
    <row r="440" spans="10:16" ht="12.5" x14ac:dyDescent="0.25">
      <c r="J440" s="115"/>
      <c r="K440" s="115"/>
      <c r="L440" s="115"/>
      <c r="M440" s="115"/>
      <c r="N440" s="115"/>
      <c r="O440" s="115"/>
      <c r="P440" s="115"/>
    </row>
    <row r="441" spans="10:16" ht="12.5" x14ac:dyDescent="0.25">
      <c r="J441" s="115"/>
      <c r="K441" s="115"/>
      <c r="L441" s="115"/>
      <c r="M441" s="115"/>
      <c r="N441" s="115"/>
      <c r="O441" s="115"/>
      <c r="P441" s="115"/>
    </row>
    <row r="442" spans="10:16" ht="12.5" x14ac:dyDescent="0.25">
      <c r="J442" s="115"/>
      <c r="K442" s="115"/>
      <c r="L442" s="115"/>
      <c r="M442" s="115"/>
      <c r="N442" s="115"/>
      <c r="O442" s="115"/>
      <c r="P442" s="115"/>
    </row>
    <row r="443" spans="10:16" ht="12.5" x14ac:dyDescent="0.25">
      <c r="J443" s="115"/>
      <c r="K443" s="115"/>
      <c r="L443" s="115"/>
      <c r="M443" s="115"/>
      <c r="N443" s="115"/>
      <c r="O443" s="115"/>
      <c r="P443" s="115"/>
    </row>
    <row r="444" spans="10:16" ht="12.5" x14ac:dyDescent="0.25">
      <c r="J444" s="115"/>
      <c r="K444" s="115"/>
      <c r="L444" s="115"/>
      <c r="M444" s="115"/>
      <c r="N444" s="115"/>
      <c r="O444" s="115"/>
      <c r="P444" s="115"/>
    </row>
    <row r="445" spans="10:16" ht="12.5" x14ac:dyDescent="0.25">
      <c r="J445" s="115"/>
      <c r="K445" s="115"/>
      <c r="L445" s="115"/>
      <c r="M445" s="115"/>
      <c r="N445" s="115"/>
      <c r="O445" s="115"/>
      <c r="P445" s="115"/>
    </row>
    <row r="446" spans="10:16" ht="12.5" x14ac:dyDescent="0.25">
      <c r="J446" s="115"/>
      <c r="K446" s="115"/>
      <c r="L446" s="115"/>
      <c r="M446" s="115"/>
      <c r="N446" s="115"/>
      <c r="O446" s="115"/>
      <c r="P446" s="115"/>
    </row>
    <row r="447" spans="10:16" ht="12.5" x14ac:dyDescent="0.25">
      <c r="J447" s="115"/>
      <c r="K447" s="115"/>
      <c r="L447" s="115"/>
      <c r="M447" s="115"/>
      <c r="N447" s="115"/>
      <c r="O447" s="115"/>
      <c r="P447" s="115"/>
    </row>
    <row r="448" spans="10:16" ht="12.5" x14ac:dyDescent="0.25">
      <c r="J448" s="115"/>
      <c r="K448" s="115"/>
      <c r="L448" s="115"/>
      <c r="M448" s="115"/>
      <c r="N448" s="115"/>
      <c r="O448" s="115"/>
      <c r="P448" s="115"/>
    </row>
    <row r="449" spans="10:16" ht="12.5" x14ac:dyDescent="0.25">
      <c r="J449" s="115"/>
      <c r="K449" s="115"/>
      <c r="L449" s="115"/>
      <c r="M449" s="115"/>
      <c r="N449" s="115"/>
      <c r="O449" s="115"/>
      <c r="P449" s="115"/>
    </row>
    <row r="450" spans="10:16" ht="12.5" x14ac:dyDescent="0.25">
      <c r="J450" s="115"/>
      <c r="K450" s="115"/>
      <c r="L450" s="115"/>
      <c r="M450" s="115"/>
      <c r="N450" s="115"/>
      <c r="O450" s="115"/>
      <c r="P450" s="115"/>
    </row>
    <row r="451" spans="10:16" ht="12.5" x14ac:dyDescent="0.25">
      <c r="J451" s="115"/>
      <c r="K451" s="115"/>
      <c r="L451" s="115"/>
      <c r="M451" s="115"/>
      <c r="N451" s="115"/>
      <c r="O451" s="115"/>
      <c r="P451" s="115"/>
    </row>
    <row r="452" spans="10:16" ht="12.5" x14ac:dyDescent="0.25">
      <c r="J452" s="115"/>
      <c r="K452" s="115"/>
      <c r="L452" s="115"/>
      <c r="M452" s="115"/>
      <c r="N452" s="115"/>
      <c r="O452" s="115"/>
      <c r="P452" s="115"/>
    </row>
    <row r="453" spans="10:16" ht="12.5" x14ac:dyDescent="0.25">
      <c r="J453" s="115"/>
      <c r="K453" s="115"/>
      <c r="L453" s="115"/>
      <c r="M453" s="115"/>
      <c r="N453" s="115"/>
      <c r="O453" s="115"/>
      <c r="P453" s="115"/>
    </row>
    <row r="454" spans="10:16" ht="12.5" x14ac:dyDescent="0.25">
      <c r="J454" s="115"/>
      <c r="K454" s="115"/>
      <c r="L454" s="115"/>
      <c r="M454" s="115"/>
      <c r="N454" s="115"/>
      <c r="O454" s="115"/>
      <c r="P454" s="115"/>
    </row>
    <row r="455" spans="10:16" ht="12.5" x14ac:dyDescent="0.25">
      <c r="J455" s="115"/>
      <c r="K455" s="115"/>
      <c r="L455" s="115"/>
      <c r="M455" s="115"/>
      <c r="N455" s="115"/>
      <c r="O455" s="115"/>
      <c r="P455" s="115"/>
    </row>
    <row r="456" spans="10:16" ht="12.5" x14ac:dyDescent="0.25">
      <c r="J456" s="115"/>
      <c r="K456" s="115"/>
      <c r="L456" s="115"/>
      <c r="M456" s="115"/>
      <c r="N456" s="115"/>
      <c r="O456" s="115"/>
      <c r="P456" s="115"/>
    </row>
    <row r="457" spans="10:16" ht="12.5" x14ac:dyDescent="0.25">
      <c r="J457" s="115"/>
      <c r="K457" s="115"/>
      <c r="L457" s="115"/>
      <c r="M457" s="115"/>
      <c r="N457" s="115"/>
      <c r="O457" s="115"/>
      <c r="P457" s="115"/>
    </row>
    <row r="458" spans="10:16" ht="12.5" x14ac:dyDescent="0.25">
      <c r="J458" s="115"/>
      <c r="K458" s="115"/>
      <c r="L458" s="115"/>
      <c r="M458" s="115"/>
      <c r="N458" s="115"/>
      <c r="O458" s="115"/>
      <c r="P458" s="115"/>
    </row>
    <row r="459" spans="10:16" ht="12.5" x14ac:dyDescent="0.25">
      <c r="J459" s="115"/>
      <c r="K459" s="115"/>
      <c r="L459" s="115"/>
      <c r="M459" s="115"/>
      <c r="N459" s="115"/>
      <c r="O459" s="115"/>
      <c r="P459" s="115"/>
    </row>
    <row r="460" spans="10:16" ht="12.5" x14ac:dyDescent="0.25">
      <c r="J460" s="115"/>
      <c r="K460" s="115"/>
      <c r="L460" s="115"/>
      <c r="M460" s="115"/>
      <c r="N460" s="115"/>
      <c r="O460" s="115"/>
      <c r="P460" s="115"/>
    </row>
    <row r="461" spans="10:16" ht="12.5" x14ac:dyDescent="0.25">
      <c r="J461" s="115"/>
      <c r="K461" s="115"/>
      <c r="L461" s="115"/>
      <c r="M461" s="115"/>
      <c r="N461" s="115"/>
      <c r="O461" s="115"/>
      <c r="P461" s="115"/>
    </row>
    <row r="462" spans="10:16" ht="12.5" x14ac:dyDescent="0.25">
      <c r="J462" s="115"/>
      <c r="K462" s="115"/>
      <c r="L462" s="115"/>
      <c r="M462" s="115"/>
      <c r="N462" s="115"/>
      <c r="O462" s="115"/>
      <c r="P462" s="115"/>
    </row>
    <row r="463" spans="10:16" ht="12.5" x14ac:dyDescent="0.25">
      <c r="J463" s="115"/>
      <c r="K463" s="115"/>
      <c r="L463" s="115"/>
      <c r="M463" s="115"/>
      <c r="N463" s="115"/>
      <c r="O463" s="115"/>
      <c r="P463" s="115"/>
    </row>
    <row r="464" spans="10:16" ht="12.5" x14ac:dyDescent="0.25">
      <c r="J464" s="115"/>
      <c r="K464" s="115"/>
      <c r="L464" s="115"/>
      <c r="M464" s="115"/>
      <c r="N464" s="115"/>
      <c r="O464" s="115"/>
      <c r="P464" s="115"/>
    </row>
    <row r="465" spans="10:16" ht="12.5" x14ac:dyDescent="0.25">
      <c r="J465" s="115"/>
      <c r="K465" s="115"/>
      <c r="L465" s="115"/>
      <c r="M465" s="115"/>
      <c r="N465" s="115"/>
      <c r="O465" s="115"/>
      <c r="P465" s="115"/>
    </row>
    <row r="466" spans="10:16" ht="12.5" x14ac:dyDescent="0.25">
      <c r="J466" s="115"/>
      <c r="K466" s="115"/>
      <c r="L466" s="115"/>
      <c r="M466" s="115"/>
      <c r="N466" s="115"/>
      <c r="O466" s="115"/>
      <c r="P466" s="115"/>
    </row>
    <row r="467" spans="10:16" ht="12.5" x14ac:dyDescent="0.25">
      <c r="J467" s="115"/>
      <c r="K467" s="115"/>
      <c r="L467" s="115"/>
      <c r="M467" s="115"/>
      <c r="N467" s="115"/>
      <c r="O467" s="115"/>
      <c r="P467" s="115"/>
    </row>
    <row r="468" spans="10:16" ht="12.5" x14ac:dyDescent="0.25">
      <c r="J468" s="115"/>
      <c r="K468" s="115"/>
      <c r="L468" s="115"/>
      <c r="M468" s="115"/>
      <c r="N468" s="115"/>
      <c r="O468" s="115"/>
      <c r="P468" s="115"/>
    </row>
    <row r="469" spans="10:16" ht="12.5" x14ac:dyDescent="0.25">
      <c r="J469" s="115"/>
      <c r="K469" s="115"/>
      <c r="L469" s="115"/>
      <c r="M469" s="115"/>
      <c r="N469" s="115"/>
      <c r="O469" s="115"/>
      <c r="P469" s="115"/>
    </row>
    <row r="470" spans="10:16" ht="12.5" x14ac:dyDescent="0.25">
      <c r="J470" s="115"/>
      <c r="K470" s="115"/>
      <c r="L470" s="115"/>
      <c r="M470" s="115"/>
      <c r="N470" s="115"/>
      <c r="O470" s="115"/>
      <c r="P470" s="115"/>
    </row>
    <row r="471" spans="10:16" ht="12.5" x14ac:dyDescent="0.25">
      <c r="J471" s="115"/>
      <c r="K471" s="115"/>
      <c r="L471" s="115"/>
      <c r="M471" s="115"/>
      <c r="N471" s="115"/>
      <c r="O471" s="115"/>
      <c r="P471" s="115"/>
    </row>
    <row r="472" spans="10:16" ht="12.5" x14ac:dyDescent="0.25">
      <c r="J472" s="115"/>
      <c r="K472" s="115"/>
      <c r="L472" s="115"/>
      <c r="M472" s="115"/>
      <c r="N472" s="115"/>
      <c r="O472" s="115"/>
      <c r="P472" s="115"/>
    </row>
    <row r="473" spans="10:16" ht="12.5" x14ac:dyDescent="0.25">
      <c r="J473" s="115"/>
      <c r="K473" s="115"/>
      <c r="L473" s="115"/>
      <c r="M473" s="115"/>
      <c r="N473" s="115"/>
      <c r="O473" s="115"/>
      <c r="P473" s="115"/>
    </row>
    <row r="474" spans="10:16" ht="12.5" x14ac:dyDescent="0.25">
      <c r="J474" s="115"/>
      <c r="K474" s="115"/>
      <c r="L474" s="115"/>
      <c r="M474" s="115"/>
      <c r="N474" s="115"/>
      <c r="O474" s="115"/>
      <c r="P474" s="115"/>
    </row>
    <row r="475" spans="10:16" ht="12.5" x14ac:dyDescent="0.25">
      <c r="J475" s="115"/>
      <c r="K475" s="115"/>
      <c r="L475" s="115"/>
      <c r="M475" s="115"/>
      <c r="N475" s="115"/>
      <c r="O475" s="115"/>
      <c r="P475" s="115"/>
    </row>
    <row r="476" spans="10:16" ht="12.5" x14ac:dyDescent="0.25">
      <c r="J476" s="115"/>
      <c r="K476" s="115"/>
      <c r="L476" s="115"/>
      <c r="M476" s="115"/>
      <c r="N476" s="115"/>
      <c r="O476" s="115"/>
      <c r="P476" s="115"/>
    </row>
    <row r="477" spans="10:16" ht="12.5" x14ac:dyDescent="0.25">
      <c r="J477" s="115"/>
      <c r="K477" s="115"/>
      <c r="L477" s="115"/>
      <c r="M477" s="115"/>
      <c r="N477" s="115"/>
      <c r="O477" s="115"/>
      <c r="P477" s="115"/>
    </row>
    <row r="478" spans="10:16" ht="12.5" x14ac:dyDescent="0.25">
      <c r="J478" s="115"/>
      <c r="K478" s="115"/>
      <c r="L478" s="115"/>
      <c r="M478" s="115"/>
      <c r="N478" s="115"/>
      <c r="O478" s="115"/>
      <c r="P478" s="115"/>
    </row>
    <row r="479" spans="10:16" ht="12.5" x14ac:dyDescent="0.25">
      <c r="J479" s="115"/>
      <c r="K479" s="115"/>
      <c r="L479" s="115"/>
      <c r="M479" s="115"/>
      <c r="N479" s="115"/>
      <c r="O479" s="115"/>
      <c r="P479" s="115"/>
    </row>
    <row r="480" spans="10:16" ht="12.5" x14ac:dyDescent="0.25">
      <c r="J480" s="115"/>
      <c r="K480" s="115"/>
      <c r="L480" s="115"/>
      <c r="M480" s="115"/>
      <c r="N480" s="115"/>
      <c r="O480" s="115"/>
      <c r="P480" s="115"/>
    </row>
    <row r="481" spans="10:16" ht="12.5" x14ac:dyDescent="0.25">
      <c r="J481" s="115"/>
      <c r="K481" s="115"/>
      <c r="L481" s="115"/>
      <c r="M481" s="115"/>
      <c r="N481" s="115"/>
      <c r="O481" s="115"/>
      <c r="P481" s="115"/>
    </row>
    <row r="482" spans="10:16" ht="12.5" x14ac:dyDescent="0.25">
      <c r="J482" s="115"/>
      <c r="K482" s="115"/>
      <c r="L482" s="115"/>
      <c r="M482" s="115"/>
      <c r="N482" s="115"/>
      <c r="O482" s="115"/>
      <c r="P482" s="115"/>
    </row>
    <row r="483" spans="10:16" ht="12.5" x14ac:dyDescent="0.25">
      <c r="J483" s="115"/>
      <c r="K483" s="115"/>
      <c r="L483" s="115"/>
      <c r="M483" s="115"/>
      <c r="N483" s="115"/>
      <c r="O483" s="115"/>
      <c r="P483" s="115"/>
    </row>
    <row r="484" spans="10:16" ht="12.5" x14ac:dyDescent="0.25">
      <c r="J484" s="115"/>
      <c r="K484" s="115"/>
      <c r="L484" s="115"/>
      <c r="M484" s="115"/>
      <c r="N484" s="115"/>
      <c r="O484" s="115"/>
      <c r="P484" s="115"/>
    </row>
    <row r="485" spans="10:16" ht="12.5" x14ac:dyDescent="0.25">
      <c r="J485" s="115"/>
      <c r="K485" s="115"/>
      <c r="L485" s="115"/>
      <c r="M485" s="115"/>
      <c r="N485" s="115"/>
      <c r="O485" s="115"/>
      <c r="P485" s="115"/>
    </row>
    <row r="486" spans="10:16" ht="12.5" x14ac:dyDescent="0.25">
      <c r="J486" s="115"/>
      <c r="K486" s="115"/>
      <c r="L486" s="115"/>
      <c r="M486" s="115"/>
      <c r="N486" s="115"/>
      <c r="O486" s="115"/>
      <c r="P486" s="115"/>
    </row>
    <row r="487" spans="10:16" ht="12.5" x14ac:dyDescent="0.25">
      <c r="J487" s="115"/>
      <c r="K487" s="115"/>
      <c r="L487" s="115"/>
      <c r="M487" s="115"/>
      <c r="N487" s="115"/>
      <c r="O487" s="115"/>
      <c r="P487" s="115"/>
    </row>
    <row r="488" spans="10:16" ht="12.5" x14ac:dyDescent="0.25">
      <c r="J488" s="115"/>
      <c r="K488" s="115"/>
      <c r="L488" s="115"/>
      <c r="M488" s="115"/>
      <c r="N488" s="115"/>
      <c r="O488" s="115"/>
      <c r="P488" s="115"/>
    </row>
    <row r="489" spans="10:16" ht="12.5" x14ac:dyDescent="0.25">
      <c r="J489" s="115"/>
      <c r="K489" s="115"/>
      <c r="L489" s="115"/>
      <c r="M489" s="115"/>
      <c r="N489" s="115"/>
      <c r="O489" s="115"/>
      <c r="P489" s="115"/>
    </row>
    <row r="490" spans="10:16" ht="12.5" x14ac:dyDescent="0.25">
      <c r="J490" s="115"/>
      <c r="K490" s="115"/>
      <c r="L490" s="115"/>
      <c r="M490" s="115"/>
      <c r="N490" s="115"/>
      <c r="O490" s="115"/>
      <c r="P490" s="115"/>
    </row>
    <row r="491" spans="10:16" ht="12.5" x14ac:dyDescent="0.25">
      <c r="J491" s="115"/>
      <c r="K491" s="115"/>
      <c r="L491" s="115"/>
      <c r="M491" s="115"/>
      <c r="N491" s="115"/>
      <c r="O491" s="115"/>
      <c r="P491" s="115"/>
    </row>
    <row r="492" spans="10:16" ht="12.5" x14ac:dyDescent="0.25">
      <c r="J492" s="115"/>
      <c r="K492" s="115"/>
      <c r="L492" s="115"/>
      <c r="M492" s="115"/>
      <c r="N492" s="115"/>
      <c r="O492" s="115"/>
      <c r="P492" s="115"/>
    </row>
    <row r="493" spans="10:16" ht="12.5" x14ac:dyDescent="0.25">
      <c r="J493" s="115"/>
      <c r="K493" s="115"/>
      <c r="L493" s="115"/>
      <c r="M493" s="115"/>
      <c r="N493" s="115"/>
      <c r="O493" s="115"/>
      <c r="P493" s="115"/>
    </row>
    <row r="494" spans="10:16" ht="12.5" x14ac:dyDescent="0.25">
      <c r="J494" s="115"/>
      <c r="K494" s="115"/>
      <c r="L494" s="115"/>
      <c r="M494" s="115"/>
      <c r="N494" s="115"/>
      <c r="O494" s="115"/>
      <c r="P494" s="115"/>
    </row>
    <row r="495" spans="10:16" ht="12.5" x14ac:dyDescent="0.25">
      <c r="J495" s="115"/>
      <c r="K495" s="115"/>
      <c r="L495" s="115"/>
      <c r="M495" s="115"/>
      <c r="N495" s="115"/>
      <c r="O495" s="115"/>
      <c r="P495" s="115"/>
    </row>
    <row r="496" spans="10:16" ht="12.5" x14ac:dyDescent="0.25">
      <c r="J496" s="115"/>
      <c r="K496" s="115"/>
      <c r="L496" s="115"/>
      <c r="M496" s="115"/>
      <c r="N496" s="115"/>
      <c r="O496" s="115"/>
      <c r="P496" s="115"/>
    </row>
    <row r="497" spans="10:16" ht="12.5" x14ac:dyDescent="0.25">
      <c r="J497" s="115"/>
      <c r="K497" s="115"/>
      <c r="L497" s="115"/>
      <c r="M497" s="115"/>
      <c r="N497" s="115"/>
      <c r="O497" s="115"/>
      <c r="P497" s="115"/>
    </row>
    <row r="498" spans="10:16" ht="12.5" x14ac:dyDescent="0.25">
      <c r="J498" s="115"/>
      <c r="K498" s="115"/>
      <c r="L498" s="115"/>
      <c r="M498" s="115"/>
      <c r="N498" s="115"/>
      <c r="O498" s="115"/>
      <c r="P498" s="115"/>
    </row>
    <row r="499" spans="10:16" ht="12.5" x14ac:dyDescent="0.25">
      <c r="J499" s="115"/>
      <c r="K499" s="115"/>
      <c r="L499" s="115"/>
      <c r="M499" s="115"/>
      <c r="N499" s="115"/>
      <c r="O499" s="115"/>
      <c r="P499" s="115"/>
    </row>
    <row r="500" spans="10:16" ht="12.5" x14ac:dyDescent="0.25">
      <c r="J500" s="115"/>
      <c r="K500" s="115"/>
      <c r="L500" s="115"/>
      <c r="M500" s="115"/>
      <c r="N500" s="115"/>
      <c r="O500" s="115"/>
      <c r="P500" s="115"/>
    </row>
    <row r="501" spans="10:16" ht="12.5" x14ac:dyDescent="0.25">
      <c r="J501" s="115"/>
      <c r="K501" s="115"/>
      <c r="L501" s="115"/>
      <c r="M501" s="115"/>
      <c r="N501" s="115"/>
      <c r="O501" s="115"/>
      <c r="P501" s="115"/>
    </row>
    <row r="502" spans="10:16" ht="12.5" x14ac:dyDescent="0.25">
      <c r="J502" s="115"/>
      <c r="K502" s="115"/>
      <c r="L502" s="115"/>
      <c r="M502" s="115"/>
      <c r="N502" s="115"/>
      <c r="O502" s="115"/>
      <c r="P502" s="115"/>
    </row>
    <row r="503" spans="10:16" ht="12.5" x14ac:dyDescent="0.25">
      <c r="J503" s="115"/>
      <c r="K503" s="115"/>
      <c r="L503" s="115"/>
      <c r="M503" s="115"/>
      <c r="N503" s="115"/>
      <c r="O503" s="115"/>
      <c r="P503" s="115"/>
    </row>
    <row r="504" spans="10:16" ht="12.5" x14ac:dyDescent="0.25">
      <c r="J504" s="115"/>
      <c r="K504" s="115"/>
      <c r="L504" s="115"/>
      <c r="M504" s="115"/>
      <c r="N504" s="115"/>
      <c r="O504" s="115"/>
      <c r="P504" s="115"/>
    </row>
    <row r="505" spans="10:16" ht="12.5" x14ac:dyDescent="0.25">
      <c r="J505" s="115"/>
      <c r="K505" s="115"/>
      <c r="L505" s="115"/>
      <c r="M505" s="115"/>
      <c r="N505" s="115"/>
      <c r="O505" s="115"/>
      <c r="P505" s="115"/>
    </row>
    <row r="506" spans="10:16" ht="12.5" x14ac:dyDescent="0.25">
      <c r="J506" s="115"/>
      <c r="K506" s="115"/>
      <c r="L506" s="115"/>
      <c r="M506" s="115"/>
      <c r="N506" s="115"/>
      <c r="O506" s="115"/>
      <c r="P506" s="115"/>
    </row>
    <row r="507" spans="10:16" ht="12.5" x14ac:dyDescent="0.25">
      <c r="J507" s="115"/>
      <c r="K507" s="115"/>
      <c r="L507" s="115"/>
      <c r="M507" s="115"/>
      <c r="N507" s="115"/>
      <c r="O507" s="115"/>
      <c r="P507" s="115"/>
    </row>
    <row r="508" spans="10:16" ht="12.5" x14ac:dyDescent="0.25">
      <c r="J508" s="115"/>
      <c r="K508" s="115"/>
      <c r="L508" s="115"/>
      <c r="M508" s="115"/>
      <c r="N508" s="115"/>
      <c r="O508" s="115"/>
      <c r="P508" s="115"/>
    </row>
    <row r="509" spans="10:16" ht="12.5" x14ac:dyDescent="0.25">
      <c r="J509" s="115"/>
      <c r="K509" s="115"/>
      <c r="L509" s="115"/>
      <c r="M509" s="115"/>
      <c r="N509" s="115"/>
      <c r="O509" s="115"/>
      <c r="P509" s="115"/>
    </row>
    <row r="510" spans="10:16" ht="12.5" x14ac:dyDescent="0.25">
      <c r="J510" s="115"/>
      <c r="K510" s="115"/>
      <c r="L510" s="115"/>
      <c r="M510" s="115"/>
      <c r="N510" s="115"/>
      <c r="O510" s="115"/>
      <c r="P510" s="115"/>
    </row>
    <row r="511" spans="10:16" ht="12.5" x14ac:dyDescent="0.25">
      <c r="J511" s="115"/>
      <c r="K511" s="115"/>
      <c r="L511" s="115"/>
      <c r="M511" s="115"/>
      <c r="N511" s="115"/>
      <c r="O511" s="115"/>
      <c r="P511" s="115"/>
    </row>
    <row r="512" spans="10:16" ht="12.5" x14ac:dyDescent="0.25">
      <c r="J512" s="115"/>
      <c r="K512" s="115"/>
      <c r="L512" s="115"/>
      <c r="M512" s="115"/>
      <c r="N512" s="115"/>
      <c r="O512" s="115"/>
      <c r="P512" s="115"/>
    </row>
    <row r="513" spans="10:16" ht="12.5" x14ac:dyDescent="0.25">
      <c r="J513" s="115"/>
      <c r="K513" s="115"/>
      <c r="L513" s="115"/>
      <c r="M513" s="115"/>
      <c r="N513" s="115"/>
      <c r="O513" s="115"/>
      <c r="P513" s="115"/>
    </row>
    <row r="514" spans="10:16" ht="12.5" x14ac:dyDescent="0.25">
      <c r="J514" s="115"/>
      <c r="K514" s="115"/>
      <c r="L514" s="115"/>
      <c r="M514" s="115"/>
      <c r="N514" s="115"/>
      <c r="O514" s="115"/>
      <c r="P514" s="115"/>
    </row>
    <row r="515" spans="10:16" ht="12.5" x14ac:dyDescent="0.25">
      <c r="J515" s="115"/>
      <c r="K515" s="115"/>
      <c r="L515" s="115"/>
      <c r="M515" s="115"/>
      <c r="N515" s="115"/>
      <c r="O515" s="115"/>
      <c r="P515" s="115"/>
    </row>
    <row r="516" spans="10:16" ht="12.5" x14ac:dyDescent="0.25">
      <c r="J516" s="115"/>
      <c r="K516" s="115"/>
      <c r="L516" s="115"/>
      <c r="M516" s="115"/>
      <c r="N516" s="115"/>
      <c r="O516" s="115"/>
      <c r="P516" s="115"/>
    </row>
    <row r="517" spans="10:16" ht="12.5" x14ac:dyDescent="0.25">
      <c r="J517" s="115"/>
      <c r="K517" s="115"/>
      <c r="L517" s="115"/>
      <c r="M517" s="115"/>
      <c r="N517" s="115"/>
      <c r="O517" s="115"/>
      <c r="P517" s="115"/>
    </row>
    <row r="518" spans="10:16" ht="12.5" x14ac:dyDescent="0.25">
      <c r="J518" s="115"/>
      <c r="K518" s="115"/>
      <c r="L518" s="115"/>
      <c r="M518" s="115"/>
      <c r="N518" s="115"/>
      <c r="O518" s="115"/>
      <c r="P518" s="115"/>
    </row>
    <row r="519" spans="10:16" ht="12.5" x14ac:dyDescent="0.25">
      <c r="J519" s="115"/>
      <c r="K519" s="115"/>
      <c r="L519" s="115"/>
      <c r="M519" s="115"/>
      <c r="N519" s="115"/>
      <c r="O519" s="115"/>
      <c r="P519" s="115"/>
    </row>
    <row r="520" spans="10:16" ht="12.5" x14ac:dyDescent="0.25">
      <c r="J520" s="115"/>
      <c r="K520" s="115"/>
      <c r="L520" s="115"/>
      <c r="M520" s="115"/>
      <c r="N520" s="115"/>
      <c r="O520" s="115"/>
      <c r="P520" s="115"/>
    </row>
    <row r="521" spans="10:16" ht="12.5" x14ac:dyDescent="0.25">
      <c r="J521" s="115"/>
      <c r="K521" s="115"/>
      <c r="L521" s="115"/>
      <c r="M521" s="115"/>
      <c r="N521" s="115"/>
      <c r="O521" s="115"/>
      <c r="P521" s="115"/>
    </row>
    <row r="522" spans="10:16" ht="12.5" x14ac:dyDescent="0.25">
      <c r="J522" s="115"/>
      <c r="K522" s="115"/>
      <c r="L522" s="115"/>
      <c r="M522" s="115"/>
      <c r="N522" s="115"/>
      <c r="O522" s="115"/>
      <c r="P522" s="115"/>
    </row>
    <row r="523" spans="10:16" ht="12.5" x14ac:dyDescent="0.25">
      <c r="J523" s="115"/>
      <c r="K523" s="115"/>
      <c r="L523" s="115"/>
      <c r="M523" s="115"/>
      <c r="N523" s="115"/>
      <c r="O523" s="115"/>
      <c r="P523" s="115"/>
    </row>
    <row r="524" spans="10:16" ht="12.5" x14ac:dyDescent="0.25">
      <c r="J524" s="115"/>
      <c r="K524" s="115"/>
      <c r="L524" s="115"/>
      <c r="M524" s="115"/>
      <c r="N524" s="115"/>
      <c r="O524" s="115"/>
      <c r="P524" s="115"/>
    </row>
    <row r="525" spans="10:16" ht="12.5" x14ac:dyDescent="0.25">
      <c r="J525" s="115"/>
      <c r="K525" s="115"/>
      <c r="L525" s="115"/>
      <c r="M525" s="115"/>
      <c r="N525" s="115"/>
      <c r="O525" s="115"/>
      <c r="P525" s="115"/>
    </row>
    <row r="526" spans="10:16" ht="12.5" x14ac:dyDescent="0.25">
      <c r="J526" s="115"/>
      <c r="K526" s="115"/>
      <c r="L526" s="115"/>
      <c r="M526" s="115"/>
      <c r="N526" s="115"/>
      <c r="O526" s="115"/>
      <c r="P526" s="115"/>
    </row>
    <row r="527" spans="10:16" ht="12.5" x14ac:dyDescent="0.25">
      <c r="J527" s="115"/>
      <c r="K527" s="115"/>
      <c r="L527" s="115"/>
      <c r="M527" s="115"/>
      <c r="N527" s="115"/>
      <c r="O527" s="115"/>
      <c r="P527" s="115"/>
    </row>
    <row r="528" spans="10:16" ht="12.5" x14ac:dyDescent="0.25">
      <c r="J528" s="115"/>
      <c r="K528" s="115"/>
      <c r="L528" s="115"/>
      <c r="M528" s="115"/>
      <c r="N528" s="115"/>
      <c r="O528" s="115"/>
      <c r="P528" s="115"/>
    </row>
    <row r="529" spans="10:16" ht="12.5" x14ac:dyDescent="0.25">
      <c r="J529" s="115"/>
      <c r="K529" s="115"/>
      <c r="L529" s="115"/>
      <c r="M529" s="115"/>
      <c r="N529" s="115"/>
      <c r="O529" s="115"/>
      <c r="P529" s="115"/>
    </row>
    <row r="530" spans="10:16" ht="12.5" x14ac:dyDescent="0.25">
      <c r="J530" s="115"/>
      <c r="K530" s="115"/>
      <c r="L530" s="115"/>
      <c r="M530" s="115"/>
      <c r="N530" s="115"/>
      <c r="O530" s="115"/>
      <c r="P530" s="115"/>
    </row>
    <row r="531" spans="10:16" ht="12.5" x14ac:dyDescent="0.25">
      <c r="J531" s="115"/>
      <c r="K531" s="115"/>
      <c r="L531" s="115"/>
      <c r="M531" s="115"/>
      <c r="N531" s="115"/>
      <c r="O531" s="115"/>
      <c r="P531" s="115"/>
    </row>
    <row r="532" spans="10:16" ht="12.5" x14ac:dyDescent="0.25">
      <c r="J532" s="115"/>
      <c r="K532" s="115"/>
      <c r="L532" s="115"/>
      <c r="M532" s="115"/>
      <c r="N532" s="115"/>
      <c r="O532" s="115"/>
      <c r="P532" s="115"/>
    </row>
    <row r="533" spans="10:16" ht="12.5" x14ac:dyDescent="0.25">
      <c r="J533" s="115"/>
      <c r="K533" s="115"/>
      <c r="L533" s="115"/>
      <c r="M533" s="115"/>
      <c r="N533" s="115"/>
      <c r="O533" s="115"/>
      <c r="P533" s="115"/>
    </row>
    <row r="534" spans="10:16" ht="12.5" x14ac:dyDescent="0.25">
      <c r="J534" s="115"/>
      <c r="K534" s="115"/>
      <c r="L534" s="115"/>
      <c r="M534" s="115"/>
      <c r="N534" s="115"/>
      <c r="O534" s="115"/>
      <c r="P534" s="115"/>
    </row>
    <row r="535" spans="10:16" ht="12.5" x14ac:dyDescent="0.25">
      <c r="J535" s="115"/>
      <c r="K535" s="115"/>
      <c r="L535" s="115"/>
      <c r="M535" s="115"/>
      <c r="N535" s="115"/>
      <c r="O535" s="115"/>
      <c r="P535" s="115"/>
    </row>
    <row r="536" spans="10:16" ht="12.5" x14ac:dyDescent="0.25">
      <c r="J536" s="115"/>
      <c r="K536" s="115"/>
      <c r="L536" s="115"/>
      <c r="M536" s="115"/>
      <c r="N536" s="115"/>
      <c r="O536" s="115"/>
      <c r="P536" s="115"/>
    </row>
    <row r="537" spans="10:16" ht="12.5" x14ac:dyDescent="0.25">
      <c r="J537" s="115"/>
      <c r="K537" s="115"/>
      <c r="L537" s="115"/>
      <c r="M537" s="115"/>
      <c r="N537" s="115"/>
      <c r="O537" s="115"/>
      <c r="P537" s="115"/>
    </row>
    <row r="538" spans="10:16" ht="12.5" x14ac:dyDescent="0.25">
      <c r="J538" s="115"/>
      <c r="K538" s="115"/>
      <c r="L538" s="115"/>
      <c r="M538" s="115"/>
      <c r="N538" s="115"/>
      <c r="O538" s="115"/>
      <c r="P538" s="115"/>
    </row>
    <row r="539" spans="10:16" ht="12.5" x14ac:dyDescent="0.25">
      <c r="J539" s="115"/>
      <c r="K539" s="115"/>
      <c r="L539" s="115"/>
      <c r="M539" s="115"/>
      <c r="N539" s="115"/>
      <c r="O539" s="115"/>
      <c r="P539" s="115"/>
    </row>
    <row r="540" spans="10:16" ht="12.5" x14ac:dyDescent="0.25">
      <c r="J540" s="115"/>
      <c r="K540" s="115"/>
      <c r="L540" s="115"/>
      <c r="M540" s="115"/>
      <c r="N540" s="115"/>
      <c r="O540" s="115"/>
      <c r="P540" s="115"/>
    </row>
    <row r="541" spans="10:16" ht="12.5" x14ac:dyDescent="0.25">
      <c r="J541" s="115"/>
      <c r="K541" s="115"/>
      <c r="L541" s="115"/>
      <c r="M541" s="115"/>
      <c r="N541" s="115"/>
      <c r="O541" s="115"/>
      <c r="P541" s="115"/>
    </row>
    <row r="542" spans="10:16" ht="12.5" x14ac:dyDescent="0.25">
      <c r="J542" s="115"/>
      <c r="K542" s="115"/>
      <c r="L542" s="115"/>
      <c r="M542" s="115"/>
      <c r="N542" s="115"/>
      <c r="O542" s="115"/>
      <c r="P542" s="115"/>
    </row>
    <row r="543" spans="10:16" ht="12.5" x14ac:dyDescent="0.25">
      <c r="J543" s="115"/>
      <c r="K543" s="115"/>
      <c r="L543" s="115"/>
      <c r="M543" s="115"/>
      <c r="N543" s="115"/>
      <c r="O543" s="115"/>
      <c r="P543" s="115"/>
    </row>
    <row r="544" spans="10:16" ht="12.5" x14ac:dyDescent="0.25">
      <c r="J544" s="115"/>
      <c r="K544" s="115"/>
      <c r="L544" s="115"/>
      <c r="M544" s="115"/>
      <c r="N544" s="115"/>
      <c r="O544" s="115"/>
      <c r="P544" s="115"/>
    </row>
    <row r="545" spans="10:16" ht="12.5" x14ac:dyDescent="0.25">
      <c r="J545" s="115"/>
      <c r="K545" s="115"/>
      <c r="L545" s="115"/>
      <c r="M545" s="115"/>
      <c r="N545" s="115"/>
      <c r="O545" s="115"/>
      <c r="P545" s="115"/>
    </row>
    <row r="546" spans="10:16" ht="12.5" x14ac:dyDescent="0.25">
      <c r="J546" s="115"/>
      <c r="K546" s="115"/>
      <c r="L546" s="115"/>
      <c r="M546" s="115"/>
      <c r="N546" s="115"/>
      <c r="O546" s="115"/>
      <c r="P546" s="115"/>
    </row>
    <row r="547" spans="10:16" ht="12.5" x14ac:dyDescent="0.25">
      <c r="J547" s="115"/>
      <c r="K547" s="115"/>
      <c r="L547" s="115"/>
      <c r="M547" s="115"/>
      <c r="N547" s="115"/>
      <c r="O547" s="115"/>
      <c r="P547" s="115"/>
    </row>
    <row r="548" spans="10:16" ht="12.5" x14ac:dyDescent="0.25">
      <c r="J548" s="115"/>
      <c r="K548" s="115"/>
      <c r="L548" s="115"/>
      <c r="M548" s="115"/>
      <c r="N548" s="115"/>
      <c r="O548" s="115"/>
      <c r="P548" s="115"/>
    </row>
    <row r="549" spans="10:16" ht="12.5" x14ac:dyDescent="0.25">
      <c r="J549" s="115"/>
      <c r="K549" s="115"/>
      <c r="L549" s="115"/>
      <c r="M549" s="115"/>
      <c r="N549" s="115"/>
      <c r="O549" s="115"/>
      <c r="P549" s="115"/>
    </row>
    <row r="550" spans="10:16" ht="12.5" x14ac:dyDescent="0.25">
      <c r="J550" s="115"/>
      <c r="K550" s="115"/>
      <c r="L550" s="115"/>
      <c r="M550" s="115"/>
      <c r="N550" s="115"/>
      <c r="O550" s="115"/>
      <c r="P550" s="115"/>
    </row>
    <row r="551" spans="10:16" ht="12.5" x14ac:dyDescent="0.25">
      <c r="J551" s="115"/>
      <c r="K551" s="115"/>
      <c r="L551" s="115"/>
      <c r="M551" s="115"/>
      <c r="N551" s="115"/>
      <c r="O551" s="115"/>
      <c r="P551" s="115"/>
    </row>
    <row r="552" spans="10:16" ht="12.5" x14ac:dyDescent="0.25">
      <c r="J552" s="115"/>
      <c r="K552" s="115"/>
      <c r="L552" s="115"/>
      <c r="M552" s="115"/>
      <c r="N552" s="115"/>
      <c r="O552" s="115"/>
      <c r="P552" s="115"/>
    </row>
    <row r="553" spans="10:16" ht="12.5" x14ac:dyDescent="0.25">
      <c r="J553" s="115"/>
      <c r="K553" s="115"/>
      <c r="L553" s="115"/>
      <c r="M553" s="115"/>
      <c r="N553" s="115"/>
      <c r="O553" s="115"/>
      <c r="P553" s="115"/>
    </row>
    <row r="554" spans="10:16" ht="12.5" x14ac:dyDescent="0.25">
      <c r="J554" s="115"/>
      <c r="K554" s="115"/>
      <c r="L554" s="115"/>
      <c r="M554" s="115"/>
      <c r="N554" s="115"/>
      <c r="O554" s="115"/>
      <c r="P554" s="115"/>
    </row>
    <row r="555" spans="10:16" ht="12.5" x14ac:dyDescent="0.25">
      <c r="J555" s="115"/>
      <c r="K555" s="115"/>
      <c r="L555" s="115"/>
      <c r="M555" s="115"/>
      <c r="N555" s="115"/>
      <c r="O555" s="115"/>
      <c r="P555" s="115"/>
    </row>
    <row r="556" spans="10:16" ht="12.5" x14ac:dyDescent="0.25">
      <c r="J556" s="115"/>
      <c r="K556" s="115"/>
      <c r="L556" s="115"/>
      <c r="M556" s="115"/>
      <c r="N556" s="115"/>
      <c r="O556" s="115"/>
      <c r="P556" s="115"/>
    </row>
    <row r="557" spans="10:16" ht="12.5" x14ac:dyDescent="0.25">
      <c r="J557" s="115"/>
      <c r="K557" s="115"/>
      <c r="L557" s="115"/>
      <c r="M557" s="115"/>
      <c r="N557" s="115"/>
      <c r="O557" s="115"/>
      <c r="P557" s="115"/>
    </row>
    <row r="558" spans="10:16" ht="12.5" x14ac:dyDescent="0.25">
      <c r="J558" s="115"/>
      <c r="K558" s="115"/>
      <c r="L558" s="115"/>
      <c r="M558" s="115"/>
      <c r="N558" s="115"/>
      <c r="O558" s="115"/>
      <c r="P558" s="115"/>
    </row>
    <row r="559" spans="10:16" ht="12.5" x14ac:dyDescent="0.25">
      <c r="J559" s="115"/>
      <c r="K559" s="115"/>
      <c r="L559" s="115"/>
      <c r="M559" s="115"/>
      <c r="N559" s="115"/>
      <c r="O559" s="115"/>
      <c r="P559" s="115"/>
    </row>
    <row r="560" spans="10:16" ht="12.5" x14ac:dyDescent="0.25">
      <c r="J560" s="115"/>
      <c r="K560" s="115"/>
      <c r="L560" s="115"/>
      <c r="M560" s="115"/>
      <c r="N560" s="115"/>
      <c r="O560" s="115"/>
      <c r="P560" s="115"/>
    </row>
    <row r="561" spans="10:16" ht="12.5" x14ac:dyDescent="0.25">
      <c r="J561" s="115"/>
      <c r="K561" s="115"/>
      <c r="L561" s="115"/>
      <c r="M561" s="115"/>
      <c r="N561" s="115"/>
      <c r="O561" s="115"/>
      <c r="P561" s="115"/>
    </row>
    <row r="562" spans="10:16" ht="12.5" x14ac:dyDescent="0.25">
      <c r="J562" s="115"/>
      <c r="K562" s="115"/>
      <c r="L562" s="115"/>
      <c r="M562" s="115"/>
      <c r="N562" s="115"/>
      <c r="O562" s="115"/>
      <c r="P562" s="115"/>
    </row>
    <row r="563" spans="10:16" ht="12.5" x14ac:dyDescent="0.25">
      <c r="J563" s="115"/>
      <c r="K563" s="115"/>
      <c r="L563" s="115"/>
      <c r="M563" s="115"/>
      <c r="N563" s="115"/>
      <c r="O563" s="115"/>
      <c r="P563" s="115"/>
    </row>
    <row r="564" spans="10:16" ht="12.5" x14ac:dyDescent="0.25">
      <c r="J564" s="115"/>
      <c r="K564" s="115"/>
      <c r="L564" s="115"/>
      <c r="M564" s="115"/>
      <c r="N564" s="115"/>
      <c r="O564" s="115"/>
      <c r="P564" s="115"/>
    </row>
    <row r="565" spans="10:16" ht="12.5" x14ac:dyDescent="0.25">
      <c r="J565" s="115"/>
      <c r="K565" s="115"/>
      <c r="L565" s="115"/>
      <c r="M565" s="115"/>
      <c r="N565" s="115"/>
      <c r="O565" s="115"/>
      <c r="P565" s="115"/>
    </row>
    <row r="566" spans="10:16" ht="12.5" x14ac:dyDescent="0.25">
      <c r="J566" s="115"/>
      <c r="K566" s="115"/>
      <c r="L566" s="115"/>
      <c r="M566" s="115"/>
      <c r="N566" s="115"/>
      <c r="O566" s="115"/>
      <c r="P566" s="115"/>
    </row>
    <row r="567" spans="10:16" ht="12.5" x14ac:dyDescent="0.25">
      <c r="J567" s="115"/>
      <c r="K567" s="115"/>
      <c r="L567" s="115"/>
      <c r="M567" s="115"/>
      <c r="N567" s="115"/>
      <c r="O567" s="115"/>
      <c r="P567" s="115"/>
    </row>
    <row r="568" spans="10:16" ht="12.5" x14ac:dyDescent="0.25">
      <c r="J568" s="115"/>
      <c r="K568" s="115"/>
      <c r="L568" s="115"/>
      <c r="M568" s="115"/>
      <c r="N568" s="115"/>
      <c r="O568" s="115"/>
      <c r="P568" s="115"/>
    </row>
    <row r="569" spans="10:16" ht="12.5" x14ac:dyDescent="0.25">
      <c r="J569" s="115"/>
      <c r="K569" s="115"/>
      <c r="L569" s="115"/>
      <c r="M569" s="115"/>
      <c r="N569" s="115"/>
      <c r="O569" s="115"/>
      <c r="P569" s="115"/>
    </row>
    <row r="570" spans="10:16" ht="12.5" x14ac:dyDescent="0.25">
      <c r="J570" s="115"/>
      <c r="K570" s="115"/>
      <c r="L570" s="115"/>
      <c r="M570" s="115"/>
      <c r="N570" s="115"/>
      <c r="O570" s="115"/>
      <c r="P570" s="115"/>
    </row>
    <row r="571" spans="10:16" ht="12.5" x14ac:dyDescent="0.25">
      <c r="J571" s="115"/>
      <c r="K571" s="115"/>
      <c r="L571" s="115"/>
      <c r="M571" s="115"/>
      <c r="N571" s="115"/>
      <c r="O571" s="115"/>
      <c r="P571" s="115"/>
    </row>
    <row r="572" spans="10:16" ht="12.5" x14ac:dyDescent="0.25">
      <c r="J572" s="115"/>
      <c r="K572" s="115"/>
      <c r="L572" s="115"/>
      <c r="M572" s="115"/>
      <c r="N572" s="115"/>
      <c r="O572" s="115"/>
      <c r="P572" s="115"/>
    </row>
    <row r="573" spans="10:16" ht="12.5" x14ac:dyDescent="0.25">
      <c r="J573" s="115"/>
      <c r="K573" s="115"/>
      <c r="L573" s="115"/>
      <c r="M573" s="115"/>
      <c r="N573" s="115"/>
      <c r="O573" s="115"/>
      <c r="P573" s="115"/>
    </row>
    <row r="574" spans="10:16" ht="12.5" x14ac:dyDescent="0.25">
      <c r="J574" s="115"/>
      <c r="K574" s="115"/>
      <c r="L574" s="115"/>
      <c r="M574" s="115"/>
      <c r="N574" s="115"/>
      <c r="O574" s="115"/>
      <c r="P574" s="115"/>
    </row>
    <row r="575" spans="10:16" ht="12.5" x14ac:dyDescent="0.25">
      <c r="J575" s="115"/>
      <c r="K575" s="115"/>
      <c r="L575" s="115"/>
      <c r="M575" s="115"/>
      <c r="N575" s="115"/>
      <c r="O575" s="115"/>
      <c r="P575" s="115"/>
    </row>
    <row r="576" spans="10:16" ht="12.5" x14ac:dyDescent="0.25">
      <c r="J576" s="115"/>
      <c r="K576" s="115"/>
      <c r="L576" s="115"/>
      <c r="M576" s="115"/>
      <c r="N576" s="115"/>
      <c r="O576" s="115"/>
      <c r="P576" s="115"/>
    </row>
    <row r="577" spans="10:16" ht="12.5" x14ac:dyDescent="0.25">
      <c r="J577" s="115"/>
      <c r="K577" s="115"/>
      <c r="L577" s="115"/>
      <c r="M577" s="115"/>
      <c r="N577" s="115"/>
      <c r="O577" s="115"/>
      <c r="P577" s="115"/>
    </row>
    <row r="578" spans="10:16" ht="12.5" x14ac:dyDescent="0.25">
      <c r="J578" s="115"/>
      <c r="K578" s="115"/>
      <c r="L578" s="115"/>
      <c r="M578" s="115"/>
      <c r="N578" s="115"/>
      <c r="O578" s="115"/>
      <c r="P578" s="115"/>
    </row>
    <row r="579" spans="10:16" ht="12.5" x14ac:dyDescent="0.25">
      <c r="J579" s="115"/>
      <c r="K579" s="115"/>
      <c r="L579" s="115"/>
      <c r="M579" s="115"/>
      <c r="N579" s="115"/>
      <c r="O579" s="115"/>
      <c r="P579" s="115"/>
    </row>
    <row r="580" spans="10:16" ht="12.5" x14ac:dyDescent="0.25">
      <c r="J580" s="115"/>
      <c r="K580" s="115"/>
      <c r="L580" s="115"/>
      <c r="M580" s="115"/>
      <c r="N580" s="115"/>
      <c r="O580" s="115"/>
      <c r="P580" s="115"/>
    </row>
    <row r="581" spans="10:16" ht="12.5" x14ac:dyDescent="0.25">
      <c r="J581" s="115"/>
      <c r="K581" s="115"/>
      <c r="L581" s="115"/>
      <c r="M581" s="115"/>
      <c r="N581" s="115"/>
      <c r="O581" s="115"/>
      <c r="P581" s="115"/>
    </row>
    <row r="582" spans="10:16" ht="12.5" x14ac:dyDescent="0.25">
      <c r="J582" s="115"/>
      <c r="K582" s="115"/>
      <c r="L582" s="115"/>
      <c r="M582" s="115"/>
      <c r="N582" s="115"/>
      <c r="O582" s="115"/>
      <c r="P582" s="115"/>
    </row>
    <row r="583" spans="10:16" ht="12.5" x14ac:dyDescent="0.25">
      <c r="J583" s="115"/>
      <c r="K583" s="115"/>
      <c r="L583" s="115"/>
      <c r="M583" s="115"/>
      <c r="N583" s="115"/>
      <c r="O583" s="115"/>
      <c r="P583" s="115"/>
    </row>
    <row r="584" spans="10:16" ht="12.5" x14ac:dyDescent="0.25">
      <c r="J584" s="115"/>
      <c r="K584" s="115"/>
      <c r="L584" s="115"/>
      <c r="M584" s="115"/>
      <c r="N584" s="115"/>
      <c r="O584" s="115"/>
      <c r="P584" s="115"/>
    </row>
    <row r="585" spans="10:16" ht="12.5" x14ac:dyDescent="0.25">
      <c r="J585" s="115"/>
      <c r="K585" s="115"/>
      <c r="L585" s="115"/>
      <c r="M585" s="115"/>
      <c r="N585" s="115"/>
      <c r="O585" s="115"/>
      <c r="P585" s="115"/>
    </row>
    <row r="586" spans="10:16" ht="12.5" x14ac:dyDescent="0.25">
      <c r="J586" s="115"/>
      <c r="K586" s="115"/>
      <c r="L586" s="115"/>
      <c r="M586" s="115"/>
      <c r="N586" s="115"/>
      <c r="O586" s="115"/>
      <c r="P586" s="115"/>
    </row>
    <row r="587" spans="10:16" ht="12.5" x14ac:dyDescent="0.25">
      <c r="J587" s="115"/>
      <c r="K587" s="115"/>
      <c r="L587" s="115"/>
      <c r="M587" s="115"/>
      <c r="N587" s="115"/>
      <c r="O587" s="115"/>
      <c r="P587" s="115"/>
    </row>
    <row r="588" spans="10:16" ht="12.5" x14ac:dyDescent="0.25">
      <c r="J588" s="115"/>
      <c r="K588" s="115"/>
      <c r="L588" s="115"/>
      <c r="M588" s="115"/>
      <c r="N588" s="115"/>
      <c r="O588" s="115"/>
      <c r="P588" s="115"/>
    </row>
    <row r="589" spans="10:16" ht="12.5" x14ac:dyDescent="0.25">
      <c r="J589" s="115"/>
      <c r="K589" s="115"/>
      <c r="L589" s="115"/>
      <c r="M589" s="115"/>
      <c r="N589" s="115"/>
      <c r="O589" s="115"/>
      <c r="P589" s="115"/>
    </row>
    <row r="590" spans="10:16" ht="12.5" x14ac:dyDescent="0.25">
      <c r="J590" s="115"/>
      <c r="K590" s="115"/>
      <c r="L590" s="115"/>
      <c r="M590" s="115"/>
      <c r="N590" s="115"/>
      <c r="O590" s="115"/>
      <c r="P590" s="115"/>
    </row>
    <row r="591" spans="10:16" ht="12.5" x14ac:dyDescent="0.25">
      <c r="J591" s="115"/>
      <c r="K591" s="115"/>
      <c r="L591" s="115"/>
      <c r="M591" s="115"/>
      <c r="N591" s="115"/>
      <c r="O591" s="115"/>
      <c r="P591" s="115"/>
    </row>
    <row r="592" spans="10:16" ht="12.5" x14ac:dyDescent="0.25">
      <c r="J592" s="115"/>
      <c r="K592" s="115"/>
      <c r="L592" s="115"/>
      <c r="M592" s="115"/>
      <c r="N592" s="115"/>
      <c r="O592" s="115"/>
      <c r="P592" s="115"/>
    </row>
    <row r="593" spans="10:16" ht="12.5" x14ac:dyDescent="0.25">
      <c r="J593" s="115"/>
      <c r="K593" s="115"/>
      <c r="L593" s="115"/>
      <c r="M593" s="115"/>
      <c r="N593" s="115"/>
      <c r="O593" s="115"/>
      <c r="P593" s="115"/>
    </row>
    <row r="594" spans="10:16" ht="12.5" x14ac:dyDescent="0.25">
      <c r="J594" s="115"/>
      <c r="K594" s="115"/>
      <c r="L594" s="115"/>
      <c r="M594" s="115"/>
      <c r="N594" s="115"/>
      <c r="O594" s="115"/>
      <c r="P594" s="115"/>
    </row>
    <row r="595" spans="10:16" ht="12.5" x14ac:dyDescent="0.25">
      <c r="J595" s="115"/>
      <c r="K595" s="115"/>
      <c r="L595" s="115"/>
      <c r="M595" s="115"/>
      <c r="N595" s="115"/>
      <c r="O595" s="115"/>
      <c r="P595" s="115"/>
    </row>
    <row r="596" spans="10:16" ht="12.5" x14ac:dyDescent="0.25">
      <c r="J596" s="115"/>
      <c r="K596" s="115"/>
      <c r="L596" s="115"/>
      <c r="M596" s="115"/>
      <c r="N596" s="115"/>
      <c r="O596" s="115"/>
      <c r="P596" s="115"/>
    </row>
    <row r="597" spans="10:16" ht="12.5" x14ac:dyDescent="0.25">
      <c r="J597" s="115"/>
      <c r="K597" s="115"/>
      <c r="L597" s="115"/>
      <c r="M597" s="115"/>
      <c r="N597" s="115"/>
      <c r="O597" s="115"/>
      <c r="P597" s="115"/>
    </row>
    <row r="598" spans="10:16" ht="12.5" x14ac:dyDescent="0.25">
      <c r="J598" s="115"/>
      <c r="K598" s="115"/>
      <c r="L598" s="115"/>
      <c r="M598" s="115"/>
      <c r="N598" s="115"/>
      <c r="O598" s="115"/>
      <c r="P598" s="115"/>
    </row>
    <row r="599" spans="10:16" ht="12.5" x14ac:dyDescent="0.25">
      <c r="J599" s="115"/>
      <c r="K599" s="115"/>
      <c r="L599" s="115"/>
      <c r="M599" s="115"/>
      <c r="N599" s="115"/>
      <c r="O599" s="115"/>
      <c r="P599" s="115"/>
    </row>
    <row r="600" spans="10:16" ht="12.5" x14ac:dyDescent="0.25">
      <c r="J600" s="115"/>
      <c r="K600" s="115"/>
      <c r="L600" s="115"/>
      <c r="M600" s="115"/>
      <c r="N600" s="115"/>
      <c r="O600" s="115"/>
      <c r="P600" s="115"/>
    </row>
    <row r="601" spans="10:16" ht="12.5" x14ac:dyDescent="0.25">
      <c r="J601" s="115"/>
      <c r="K601" s="115"/>
      <c r="L601" s="115"/>
      <c r="M601" s="115"/>
      <c r="N601" s="115"/>
      <c r="O601" s="115"/>
      <c r="P601" s="115"/>
    </row>
    <row r="602" spans="10:16" ht="12.5" x14ac:dyDescent="0.25">
      <c r="J602" s="115"/>
      <c r="K602" s="115"/>
      <c r="L602" s="115"/>
      <c r="M602" s="115"/>
      <c r="N602" s="115"/>
      <c r="O602" s="115"/>
      <c r="P602" s="115"/>
    </row>
    <row r="603" spans="10:16" ht="12.5" x14ac:dyDescent="0.25">
      <c r="J603" s="115"/>
      <c r="K603" s="115"/>
      <c r="L603" s="115"/>
      <c r="M603" s="115"/>
      <c r="N603" s="115"/>
      <c r="O603" s="115"/>
      <c r="P603" s="115"/>
    </row>
    <row r="604" spans="10:16" ht="12.5" x14ac:dyDescent="0.25">
      <c r="J604" s="115"/>
      <c r="K604" s="115"/>
      <c r="L604" s="115"/>
      <c r="M604" s="115"/>
      <c r="N604" s="115"/>
      <c r="O604" s="115"/>
      <c r="P604" s="115"/>
    </row>
    <row r="605" spans="10:16" ht="12.5" x14ac:dyDescent="0.25">
      <c r="J605" s="115"/>
      <c r="K605" s="115"/>
      <c r="L605" s="115"/>
      <c r="M605" s="115"/>
      <c r="N605" s="115"/>
      <c r="O605" s="115"/>
      <c r="P605" s="115"/>
    </row>
    <row r="606" spans="10:16" ht="12.5" x14ac:dyDescent="0.25">
      <c r="J606" s="115"/>
      <c r="K606" s="115"/>
      <c r="L606" s="115"/>
      <c r="M606" s="115"/>
      <c r="N606" s="115"/>
      <c r="O606" s="115"/>
      <c r="P606" s="115"/>
    </row>
    <row r="607" spans="10:16" ht="12.5" x14ac:dyDescent="0.25">
      <c r="J607" s="115"/>
      <c r="K607" s="115"/>
      <c r="L607" s="115"/>
      <c r="M607" s="115"/>
      <c r="N607" s="115"/>
      <c r="O607" s="115"/>
      <c r="P607" s="115"/>
    </row>
    <row r="608" spans="10:16" ht="12.5" x14ac:dyDescent="0.25">
      <c r="J608" s="115"/>
      <c r="K608" s="115"/>
      <c r="L608" s="115"/>
      <c r="M608" s="115"/>
      <c r="N608" s="115"/>
      <c r="O608" s="115"/>
      <c r="P608" s="115"/>
    </row>
    <row r="609" spans="10:16" ht="12.5" x14ac:dyDescent="0.25">
      <c r="J609" s="115"/>
      <c r="K609" s="115"/>
      <c r="L609" s="115"/>
      <c r="M609" s="115"/>
      <c r="N609" s="115"/>
      <c r="O609" s="115"/>
      <c r="P609" s="115"/>
    </row>
    <row r="610" spans="10:16" ht="12.5" x14ac:dyDescent="0.25">
      <c r="J610" s="115"/>
      <c r="K610" s="115"/>
      <c r="L610" s="115"/>
      <c r="M610" s="115"/>
      <c r="N610" s="115"/>
      <c r="O610" s="115"/>
      <c r="P610" s="115"/>
    </row>
    <row r="611" spans="10:16" ht="12.5" x14ac:dyDescent="0.25">
      <c r="J611" s="115"/>
      <c r="K611" s="115"/>
      <c r="L611" s="115"/>
      <c r="M611" s="115"/>
      <c r="N611" s="115"/>
      <c r="O611" s="115"/>
      <c r="P611" s="115"/>
    </row>
    <row r="612" spans="10:16" ht="12.5" x14ac:dyDescent="0.25">
      <c r="J612" s="115"/>
      <c r="K612" s="115"/>
      <c r="L612" s="115"/>
      <c r="M612" s="115"/>
      <c r="N612" s="115"/>
      <c r="O612" s="115"/>
      <c r="P612" s="115"/>
    </row>
    <row r="613" spans="10:16" ht="12.5" x14ac:dyDescent="0.25">
      <c r="J613" s="115"/>
      <c r="K613" s="115"/>
      <c r="L613" s="115"/>
      <c r="M613" s="115"/>
      <c r="N613" s="115"/>
      <c r="O613" s="115"/>
      <c r="P613" s="115"/>
    </row>
    <row r="614" spans="10:16" ht="12.5" x14ac:dyDescent="0.25">
      <c r="J614" s="115"/>
      <c r="K614" s="115"/>
      <c r="L614" s="115"/>
      <c r="M614" s="115"/>
      <c r="N614" s="115"/>
      <c r="O614" s="115"/>
      <c r="P614" s="115"/>
    </row>
    <row r="615" spans="10:16" ht="12.5" x14ac:dyDescent="0.25">
      <c r="J615" s="115"/>
      <c r="K615" s="115"/>
      <c r="L615" s="115"/>
      <c r="M615" s="115"/>
      <c r="N615" s="115"/>
      <c r="O615" s="115"/>
      <c r="P615" s="115"/>
    </row>
    <row r="616" spans="10:16" ht="12.5" x14ac:dyDescent="0.25">
      <c r="J616" s="115"/>
      <c r="K616" s="115"/>
      <c r="L616" s="115"/>
      <c r="M616" s="115"/>
      <c r="N616" s="115"/>
      <c r="O616" s="115"/>
      <c r="P616" s="115"/>
    </row>
    <row r="617" spans="10:16" ht="12.5" x14ac:dyDescent="0.25">
      <c r="J617" s="115"/>
      <c r="K617" s="115"/>
      <c r="L617" s="115"/>
      <c r="M617" s="115"/>
      <c r="N617" s="115"/>
      <c r="O617" s="115"/>
      <c r="P617" s="115"/>
    </row>
    <row r="618" spans="10:16" ht="12.5" x14ac:dyDescent="0.25">
      <c r="J618" s="115"/>
      <c r="K618" s="115"/>
      <c r="L618" s="115"/>
      <c r="M618" s="115"/>
      <c r="N618" s="115"/>
      <c r="O618" s="115"/>
      <c r="P618" s="115"/>
    </row>
    <row r="619" spans="10:16" ht="12.5" x14ac:dyDescent="0.25">
      <c r="J619" s="115"/>
      <c r="K619" s="115"/>
      <c r="L619" s="115"/>
      <c r="M619" s="115"/>
      <c r="N619" s="115"/>
      <c r="O619" s="115"/>
      <c r="P619" s="115"/>
    </row>
    <row r="620" spans="10:16" ht="12.5" x14ac:dyDescent="0.25">
      <c r="J620" s="115"/>
      <c r="K620" s="115"/>
      <c r="L620" s="115"/>
      <c r="M620" s="115"/>
      <c r="N620" s="115"/>
      <c r="O620" s="115"/>
      <c r="P620" s="115"/>
    </row>
    <row r="621" spans="10:16" ht="12.5" x14ac:dyDescent="0.25">
      <c r="J621" s="115"/>
      <c r="K621" s="115"/>
      <c r="L621" s="115"/>
      <c r="M621" s="115"/>
      <c r="N621" s="115"/>
      <c r="O621" s="115"/>
      <c r="P621" s="115"/>
    </row>
    <row r="622" spans="10:16" ht="12.5" x14ac:dyDescent="0.25">
      <c r="J622" s="115"/>
      <c r="K622" s="115"/>
      <c r="L622" s="115"/>
      <c r="M622" s="115"/>
      <c r="N622" s="115"/>
      <c r="O622" s="115"/>
      <c r="P622" s="115"/>
    </row>
    <row r="623" spans="10:16" ht="12.5" x14ac:dyDescent="0.25">
      <c r="J623" s="115"/>
      <c r="K623" s="115"/>
      <c r="L623" s="115"/>
      <c r="M623" s="115"/>
      <c r="N623" s="115"/>
      <c r="O623" s="115"/>
      <c r="P623" s="115"/>
    </row>
    <row r="624" spans="10:16" ht="12.5" x14ac:dyDescent="0.25">
      <c r="J624" s="115"/>
      <c r="K624" s="115"/>
      <c r="L624" s="115"/>
      <c r="M624" s="115"/>
      <c r="N624" s="115"/>
      <c r="O624" s="115"/>
      <c r="P624" s="115"/>
    </row>
    <row r="625" spans="10:16" ht="12.5" x14ac:dyDescent="0.25">
      <c r="J625" s="115"/>
      <c r="K625" s="115"/>
      <c r="L625" s="115"/>
      <c r="M625" s="115"/>
      <c r="N625" s="115"/>
      <c r="O625" s="115"/>
      <c r="P625" s="115"/>
    </row>
    <row r="626" spans="10:16" ht="12.5" x14ac:dyDescent="0.25">
      <c r="J626" s="115"/>
      <c r="K626" s="115"/>
      <c r="L626" s="115"/>
      <c r="M626" s="115"/>
      <c r="N626" s="115"/>
      <c r="O626" s="115"/>
      <c r="P626" s="115"/>
    </row>
    <row r="627" spans="10:16" ht="12.5" x14ac:dyDescent="0.25">
      <c r="J627" s="115"/>
      <c r="K627" s="115"/>
      <c r="L627" s="115"/>
      <c r="M627" s="115"/>
      <c r="N627" s="115"/>
      <c r="O627" s="115"/>
      <c r="P627" s="115"/>
    </row>
    <row r="628" spans="10:16" ht="12.5" x14ac:dyDescent="0.25">
      <c r="J628" s="115"/>
      <c r="K628" s="115"/>
      <c r="L628" s="115"/>
      <c r="M628" s="115"/>
      <c r="N628" s="115"/>
      <c r="O628" s="115"/>
      <c r="P628" s="115"/>
    </row>
    <row r="629" spans="10:16" ht="12.5" x14ac:dyDescent="0.25">
      <c r="J629" s="115"/>
      <c r="K629" s="115"/>
      <c r="L629" s="115"/>
      <c r="M629" s="115"/>
      <c r="N629" s="115"/>
      <c r="O629" s="115"/>
      <c r="P629" s="115"/>
    </row>
    <row r="630" spans="10:16" ht="12.5" x14ac:dyDescent="0.25">
      <c r="J630" s="115"/>
      <c r="K630" s="115"/>
      <c r="L630" s="115"/>
      <c r="M630" s="115"/>
      <c r="N630" s="115"/>
      <c r="O630" s="115"/>
      <c r="P630" s="115"/>
    </row>
    <row r="631" spans="10:16" ht="12.5" x14ac:dyDescent="0.25">
      <c r="J631" s="115"/>
      <c r="K631" s="115"/>
      <c r="L631" s="115"/>
      <c r="M631" s="115"/>
      <c r="N631" s="115"/>
      <c r="O631" s="115"/>
      <c r="P631" s="115"/>
    </row>
    <row r="632" spans="10:16" ht="12.5" x14ac:dyDescent="0.25">
      <c r="J632" s="115"/>
      <c r="K632" s="115"/>
      <c r="L632" s="115"/>
      <c r="M632" s="115"/>
      <c r="N632" s="115"/>
      <c r="O632" s="115"/>
      <c r="P632" s="115"/>
    </row>
    <row r="633" spans="10:16" ht="12.5" x14ac:dyDescent="0.25">
      <c r="J633" s="115"/>
      <c r="K633" s="115"/>
      <c r="L633" s="115"/>
      <c r="M633" s="115"/>
      <c r="N633" s="115"/>
      <c r="O633" s="115"/>
      <c r="P633" s="115"/>
    </row>
    <row r="634" spans="10:16" ht="12.5" x14ac:dyDescent="0.25">
      <c r="J634" s="115"/>
      <c r="K634" s="115"/>
      <c r="L634" s="115"/>
      <c r="M634" s="115"/>
      <c r="N634" s="115"/>
      <c r="O634" s="115"/>
      <c r="P634" s="115"/>
    </row>
    <row r="635" spans="10:16" ht="12.5" x14ac:dyDescent="0.25">
      <c r="J635" s="115"/>
      <c r="K635" s="115"/>
      <c r="L635" s="115"/>
      <c r="M635" s="115"/>
      <c r="N635" s="115"/>
      <c r="O635" s="115"/>
      <c r="P635" s="115"/>
    </row>
    <row r="636" spans="10:16" ht="12.5" x14ac:dyDescent="0.25">
      <c r="J636" s="115"/>
      <c r="K636" s="115"/>
      <c r="L636" s="115"/>
      <c r="M636" s="115"/>
      <c r="N636" s="115"/>
      <c r="O636" s="115"/>
      <c r="P636" s="115"/>
    </row>
    <row r="637" spans="10:16" ht="12.5" x14ac:dyDescent="0.25">
      <c r="J637" s="115"/>
      <c r="K637" s="115"/>
      <c r="L637" s="115"/>
      <c r="M637" s="115"/>
      <c r="N637" s="115"/>
      <c r="O637" s="115"/>
      <c r="P637" s="115"/>
    </row>
    <row r="638" spans="10:16" ht="12.5" x14ac:dyDescent="0.25">
      <c r="J638" s="115"/>
      <c r="K638" s="115"/>
      <c r="L638" s="115"/>
      <c r="M638" s="115"/>
      <c r="N638" s="115"/>
      <c r="O638" s="115"/>
      <c r="P638" s="115"/>
    </row>
    <row r="639" spans="10:16" ht="12.5" x14ac:dyDescent="0.25">
      <c r="J639" s="115"/>
      <c r="K639" s="115"/>
      <c r="L639" s="115"/>
      <c r="M639" s="115"/>
      <c r="N639" s="115"/>
      <c r="O639" s="115"/>
      <c r="P639" s="115"/>
    </row>
    <row r="640" spans="10:16" ht="12.5" x14ac:dyDescent="0.25">
      <c r="J640" s="115"/>
      <c r="K640" s="115"/>
      <c r="L640" s="115"/>
      <c r="M640" s="115"/>
      <c r="N640" s="115"/>
      <c r="O640" s="115"/>
      <c r="P640" s="115"/>
    </row>
    <row r="641" spans="10:16" ht="12.5" x14ac:dyDescent="0.25">
      <c r="J641" s="115"/>
      <c r="K641" s="115"/>
      <c r="L641" s="115"/>
      <c r="M641" s="115"/>
      <c r="N641" s="115"/>
      <c r="O641" s="115"/>
      <c r="P641" s="115"/>
    </row>
    <row r="642" spans="10:16" ht="12.5" x14ac:dyDescent="0.25">
      <c r="J642" s="115"/>
      <c r="K642" s="115"/>
      <c r="L642" s="115"/>
      <c r="M642" s="115"/>
      <c r="N642" s="115"/>
      <c r="O642" s="115"/>
      <c r="P642" s="115"/>
    </row>
    <row r="643" spans="10:16" ht="12.5" x14ac:dyDescent="0.25">
      <c r="J643" s="115"/>
      <c r="K643" s="115"/>
      <c r="L643" s="115"/>
      <c r="M643" s="115"/>
      <c r="N643" s="115"/>
      <c r="O643" s="115"/>
      <c r="P643" s="115"/>
    </row>
    <row r="644" spans="10:16" ht="12.5" x14ac:dyDescent="0.25">
      <c r="J644" s="115"/>
      <c r="K644" s="115"/>
      <c r="L644" s="115"/>
      <c r="M644" s="115"/>
      <c r="N644" s="115"/>
      <c r="O644" s="115"/>
      <c r="P644" s="115"/>
    </row>
    <row r="645" spans="10:16" ht="12.5" x14ac:dyDescent="0.25">
      <c r="J645" s="115"/>
      <c r="K645" s="115"/>
      <c r="L645" s="115"/>
      <c r="M645" s="115"/>
      <c r="N645" s="115"/>
      <c r="O645" s="115"/>
      <c r="P645" s="115"/>
    </row>
    <row r="646" spans="10:16" ht="12.5" x14ac:dyDescent="0.25">
      <c r="J646" s="115"/>
      <c r="K646" s="115"/>
      <c r="L646" s="115"/>
      <c r="M646" s="115"/>
      <c r="N646" s="115"/>
      <c r="O646" s="115"/>
      <c r="P646" s="115"/>
    </row>
    <row r="647" spans="10:16" ht="12.5" x14ac:dyDescent="0.25">
      <c r="J647" s="115"/>
      <c r="K647" s="115"/>
      <c r="L647" s="115"/>
      <c r="M647" s="115"/>
      <c r="N647" s="115"/>
      <c r="O647" s="115"/>
      <c r="P647" s="115"/>
    </row>
    <row r="648" spans="10:16" ht="12.5" x14ac:dyDescent="0.25">
      <c r="J648" s="115"/>
      <c r="K648" s="115"/>
      <c r="L648" s="115"/>
      <c r="M648" s="115"/>
      <c r="N648" s="115"/>
      <c r="O648" s="115"/>
      <c r="P648" s="115"/>
    </row>
    <row r="649" spans="10:16" ht="12.5" x14ac:dyDescent="0.25">
      <c r="J649" s="115"/>
      <c r="K649" s="115"/>
      <c r="L649" s="115"/>
      <c r="M649" s="115"/>
      <c r="N649" s="115"/>
      <c r="O649" s="115"/>
      <c r="P649" s="115"/>
    </row>
    <row r="650" spans="10:16" ht="12.5" x14ac:dyDescent="0.25">
      <c r="J650" s="115"/>
      <c r="K650" s="115"/>
      <c r="L650" s="115"/>
      <c r="M650" s="115"/>
      <c r="N650" s="115"/>
      <c r="O650" s="115"/>
      <c r="P650" s="115"/>
    </row>
    <row r="651" spans="10:16" ht="12.5" x14ac:dyDescent="0.25">
      <c r="J651" s="115"/>
      <c r="K651" s="115"/>
      <c r="L651" s="115"/>
      <c r="M651" s="115"/>
      <c r="N651" s="115"/>
      <c r="O651" s="115"/>
      <c r="P651" s="115"/>
    </row>
    <row r="652" spans="10:16" ht="12.5" x14ac:dyDescent="0.25">
      <c r="J652" s="115"/>
      <c r="K652" s="115"/>
      <c r="L652" s="115"/>
      <c r="M652" s="115"/>
      <c r="N652" s="115"/>
      <c r="O652" s="115"/>
      <c r="P652" s="115"/>
    </row>
    <row r="653" spans="10:16" ht="12.5" x14ac:dyDescent="0.25">
      <c r="J653" s="115"/>
      <c r="K653" s="115"/>
      <c r="L653" s="115"/>
      <c r="M653" s="115"/>
      <c r="N653" s="115"/>
      <c r="O653" s="115"/>
      <c r="P653" s="115"/>
    </row>
    <row r="654" spans="10:16" ht="12.5" x14ac:dyDescent="0.25">
      <c r="J654" s="115"/>
      <c r="K654" s="115"/>
      <c r="L654" s="115"/>
      <c r="M654" s="115"/>
      <c r="N654" s="115"/>
      <c r="O654" s="115"/>
      <c r="P654" s="115"/>
    </row>
    <row r="655" spans="10:16" ht="12.5" x14ac:dyDescent="0.25">
      <c r="J655" s="115"/>
      <c r="K655" s="115"/>
      <c r="L655" s="115"/>
      <c r="M655" s="115"/>
      <c r="N655" s="115"/>
      <c r="O655" s="115"/>
      <c r="P655" s="115"/>
    </row>
    <row r="656" spans="10:16" ht="12.5" x14ac:dyDescent="0.25">
      <c r="J656" s="115"/>
      <c r="K656" s="115"/>
      <c r="L656" s="115"/>
      <c r="M656" s="115"/>
      <c r="N656" s="115"/>
      <c r="O656" s="115"/>
      <c r="P656" s="115"/>
    </row>
    <row r="657" spans="10:16" ht="12.5" x14ac:dyDescent="0.25">
      <c r="J657" s="115"/>
      <c r="K657" s="115"/>
      <c r="L657" s="115"/>
      <c r="M657" s="115"/>
      <c r="N657" s="115"/>
      <c r="O657" s="115"/>
      <c r="P657" s="115"/>
    </row>
    <row r="658" spans="10:16" ht="12.5" x14ac:dyDescent="0.25">
      <c r="J658" s="115"/>
      <c r="K658" s="115"/>
      <c r="L658" s="115"/>
      <c r="M658" s="115"/>
      <c r="N658" s="115"/>
      <c r="O658" s="115"/>
      <c r="P658" s="115"/>
    </row>
    <row r="659" spans="10:16" ht="12.5" x14ac:dyDescent="0.25">
      <c r="J659" s="115"/>
      <c r="K659" s="115"/>
      <c r="L659" s="115"/>
      <c r="M659" s="115"/>
      <c r="N659" s="115"/>
      <c r="O659" s="115"/>
      <c r="P659" s="115"/>
    </row>
    <row r="660" spans="10:16" ht="12.5" x14ac:dyDescent="0.25">
      <c r="J660" s="115"/>
      <c r="K660" s="115"/>
      <c r="L660" s="115"/>
      <c r="M660" s="115"/>
      <c r="N660" s="115"/>
      <c r="O660" s="115"/>
      <c r="P660" s="115"/>
    </row>
    <row r="661" spans="10:16" ht="12.5" x14ac:dyDescent="0.25">
      <c r="J661" s="115"/>
      <c r="K661" s="115"/>
      <c r="L661" s="115"/>
      <c r="M661" s="115"/>
      <c r="N661" s="115"/>
      <c r="O661" s="115"/>
      <c r="P661" s="115"/>
    </row>
    <row r="662" spans="10:16" ht="12.5" x14ac:dyDescent="0.25">
      <c r="J662" s="115"/>
      <c r="K662" s="115"/>
      <c r="L662" s="115"/>
      <c r="M662" s="115"/>
      <c r="N662" s="115"/>
      <c r="O662" s="115"/>
      <c r="P662" s="115"/>
    </row>
    <row r="663" spans="10:16" ht="12.5" x14ac:dyDescent="0.25">
      <c r="J663" s="115"/>
      <c r="K663" s="115"/>
      <c r="L663" s="115"/>
      <c r="M663" s="115"/>
      <c r="N663" s="115"/>
      <c r="O663" s="115"/>
      <c r="P663" s="115"/>
    </row>
    <row r="664" spans="10:16" ht="12.5" x14ac:dyDescent="0.25">
      <c r="J664" s="115"/>
      <c r="K664" s="115"/>
      <c r="L664" s="115"/>
      <c r="M664" s="115"/>
      <c r="N664" s="115"/>
      <c r="O664" s="115"/>
      <c r="P664" s="115"/>
    </row>
    <row r="665" spans="10:16" ht="12.5" x14ac:dyDescent="0.25">
      <c r="J665" s="115"/>
      <c r="K665" s="115"/>
      <c r="L665" s="115"/>
      <c r="M665" s="115"/>
      <c r="N665" s="115"/>
      <c r="O665" s="115"/>
      <c r="P665" s="115"/>
    </row>
    <row r="666" spans="10:16" ht="12.5" x14ac:dyDescent="0.25">
      <c r="J666" s="115"/>
      <c r="K666" s="115"/>
      <c r="L666" s="115"/>
      <c r="M666" s="115"/>
      <c r="N666" s="115"/>
      <c r="O666" s="115"/>
      <c r="P666" s="115"/>
    </row>
    <row r="667" spans="10:16" ht="12.5" x14ac:dyDescent="0.25">
      <c r="J667" s="115"/>
      <c r="K667" s="115"/>
      <c r="L667" s="115"/>
      <c r="M667" s="115"/>
      <c r="N667" s="115"/>
      <c r="O667" s="115"/>
      <c r="P667" s="115"/>
    </row>
    <row r="668" spans="10:16" ht="12.5" x14ac:dyDescent="0.25">
      <c r="J668" s="115"/>
      <c r="K668" s="115"/>
      <c r="L668" s="115"/>
      <c r="M668" s="115"/>
      <c r="N668" s="115"/>
      <c r="O668" s="115"/>
      <c r="P668" s="115"/>
    </row>
    <row r="669" spans="10:16" ht="12.5" x14ac:dyDescent="0.25">
      <c r="J669" s="115"/>
      <c r="K669" s="115"/>
      <c r="L669" s="115"/>
      <c r="M669" s="115"/>
      <c r="N669" s="115"/>
      <c r="O669" s="115"/>
      <c r="P669" s="115"/>
    </row>
    <row r="670" spans="10:16" ht="12.5" x14ac:dyDescent="0.25">
      <c r="J670" s="115"/>
      <c r="K670" s="115"/>
      <c r="L670" s="115"/>
      <c r="M670" s="115"/>
      <c r="N670" s="115"/>
      <c r="O670" s="115"/>
      <c r="P670" s="115"/>
    </row>
    <row r="671" spans="10:16" ht="12.5" x14ac:dyDescent="0.25">
      <c r="J671" s="115"/>
      <c r="K671" s="115"/>
      <c r="L671" s="115"/>
      <c r="M671" s="115"/>
      <c r="N671" s="115"/>
      <c r="O671" s="115"/>
      <c r="P671" s="115"/>
    </row>
    <row r="672" spans="10:16" ht="12.5" x14ac:dyDescent="0.25">
      <c r="J672" s="115"/>
      <c r="K672" s="115"/>
      <c r="L672" s="115"/>
      <c r="M672" s="115"/>
      <c r="N672" s="115"/>
      <c r="O672" s="115"/>
      <c r="P672" s="115"/>
    </row>
    <row r="673" spans="10:16" ht="12.5" x14ac:dyDescent="0.25">
      <c r="J673" s="115"/>
      <c r="K673" s="115"/>
      <c r="L673" s="115"/>
      <c r="M673" s="115"/>
      <c r="N673" s="115"/>
      <c r="O673" s="115"/>
      <c r="P673" s="115"/>
    </row>
    <row r="674" spans="10:16" ht="12.5" x14ac:dyDescent="0.25">
      <c r="J674" s="115"/>
      <c r="K674" s="115"/>
      <c r="L674" s="115"/>
      <c r="M674" s="115"/>
      <c r="N674" s="115"/>
      <c r="O674" s="115"/>
      <c r="P674" s="115"/>
    </row>
    <row r="675" spans="10:16" ht="12.5" x14ac:dyDescent="0.25">
      <c r="J675" s="115"/>
      <c r="K675" s="115"/>
      <c r="L675" s="115"/>
      <c r="M675" s="115"/>
      <c r="N675" s="115"/>
      <c r="O675" s="115"/>
      <c r="P675" s="115"/>
    </row>
    <row r="676" spans="10:16" ht="12.5" x14ac:dyDescent="0.25">
      <c r="J676" s="115"/>
      <c r="K676" s="115"/>
      <c r="L676" s="115"/>
      <c r="M676" s="115"/>
      <c r="N676" s="115"/>
      <c r="O676" s="115"/>
      <c r="P676" s="115"/>
    </row>
    <row r="677" spans="10:16" ht="12.5" x14ac:dyDescent="0.25">
      <c r="J677" s="115"/>
      <c r="K677" s="115"/>
      <c r="L677" s="115"/>
      <c r="M677" s="115"/>
      <c r="N677" s="115"/>
      <c r="O677" s="115"/>
      <c r="P677" s="115"/>
    </row>
    <row r="678" spans="10:16" ht="12.5" x14ac:dyDescent="0.25">
      <c r="J678" s="115"/>
      <c r="K678" s="115"/>
      <c r="L678" s="115"/>
      <c r="M678" s="115"/>
      <c r="N678" s="115"/>
      <c r="O678" s="115"/>
      <c r="P678" s="115"/>
    </row>
    <row r="679" spans="10:16" ht="12.5" x14ac:dyDescent="0.25">
      <c r="J679" s="115"/>
      <c r="K679" s="115"/>
      <c r="L679" s="115"/>
      <c r="M679" s="115"/>
      <c r="N679" s="115"/>
      <c r="O679" s="115"/>
      <c r="P679" s="115"/>
    </row>
    <row r="680" spans="10:16" ht="12.5" x14ac:dyDescent="0.25">
      <c r="J680" s="115"/>
      <c r="K680" s="115"/>
      <c r="L680" s="115"/>
      <c r="M680" s="115"/>
      <c r="N680" s="115"/>
      <c r="O680" s="115"/>
      <c r="P680" s="115"/>
    </row>
    <row r="681" spans="10:16" ht="12.5" x14ac:dyDescent="0.25">
      <c r="J681" s="115"/>
      <c r="K681" s="115"/>
      <c r="L681" s="115"/>
      <c r="M681" s="115"/>
      <c r="N681" s="115"/>
      <c r="O681" s="115"/>
      <c r="P681" s="115"/>
    </row>
    <row r="682" spans="10:16" ht="12.5" x14ac:dyDescent="0.25">
      <c r="J682" s="115"/>
      <c r="K682" s="115"/>
      <c r="L682" s="115"/>
      <c r="M682" s="115"/>
      <c r="N682" s="115"/>
      <c r="O682" s="115"/>
      <c r="P682" s="115"/>
    </row>
    <row r="683" spans="10:16" ht="12.5" x14ac:dyDescent="0.25">
      <c r="J683" s="115"/>
      <c r="K683" s="115"/>
      <c r="L683" s="115"/>
      <c r="M683" s="115"/>
      <c r="N683" s="115"/>
      <c r="O683" s="115"/>
      <c r="P683" s="115"/>
    </row>
    <row r="684" spans="10:16" ht="12.5" x14ac:dyDescent="0.25">
      <c r="J684" s="115"/>
      <c r="K684" s="115"/>
      <c r="L684" s="115"/>
      <c r="M684" s="115"/>
      <c r="N684" s="115"/>
      <c r="O684" s="115"/>
      <c r="P684" s="115"/>
    </row>
    <row r="685" spans="10:16" ht="12.5" x14ac:dyDescent="0.25">
      <c r="J685" s="115"/>
      <c r="K685" s="115"/>
      <c r="L685" s="115"/>
      <c r="M685" s="115"/>
      <c r="N685" s="115"/>
      <c r="O685" s="115"/>
      <c r="P685" s="115"/>
    </row>
    <row r="686" spans="10:16" ht="12.5" x14ac:dyDescent="0.25">
      <c r="J686" s="115"/>
      <c r="K686" s="115"/>
      <c r="L686" s="115"/>
      <c r="M686" s="115"/>
      <c r="N686" s="115"/>
      <c r="O686" s="115"/>
      <c r="P686" s="115"/>
    </row>
    <row r="687" spans="10:16" ht="12.5" x14ac:dyDescent="0.25">
      <c r="J687" s="115"/>
      <c r="K687" s="115"/>
      <c r="L687" s="115"/>
      <c r="M687" s="115"/>
      <c r="N687" s="115"/>
      <c r="O687" s="115"/>
      <c r="P687" s="115"/>
    </row>
    <row r="688" spans="10:16" ht="12.5" x14ac:dyDescent="0.25">
      <c r="J688" s="115"/>
      <c r="K688" s="115"/>
      <c r="L688" s="115"/>
      <c r="M688" s="115"/>
      <c r="N688" s="115"/>
      <c r="O688" s="115"/>
      <c r="P688" s="115"/>
    </row>
    <row r="689" spans="10:16" ht="12.5" x14ac:dyDescent="0.25">
      <c r="J689" s="115"/>
      <c r="K689" s="115"/>
      <c r="L689" s="115"/>
      <c r="M689" s="115"/>
      <c r="N689" s="115"/>
      <c r="O689" s="115"/>
      <c r="P689" s="115"/>
    </row>
    <row r="690" spans="10:16" ht="12.5" x14ac:dyDescent="0.25">
      <c r="J690" s="115"/>
      <c r="K690" s="115"/>
      <c r="L690" s="115"/>
      <c r="M690" s="115"/>
      <c r="N690" s="115"/>
      <c r="O690" s="115"/>
      <c r="P690" s="115"/>
    </row>
    <row r="691" spans="10:16" ht="12.5" x14ac:dyDescent="0.25">
      <c r="J691" s="115"/>
      <c r="K691" s="115"/>
      <c r="L691" s="115"/>
      <c r="M691" s="115"/>
      <c r="N691" s="115"/>
      <c r="O691" s="115"/>
      <c r="P691" s="115"/>
    </row>
    <row r="692" spans="10:16" ht="12.5" x14ac:dyDescent="0.25">
      <c r="J692" s="115"/>
      <c r="K692" s="115"/>
      <c r="L692" s="115"/>
      <c r="M692" s="115"/>
      <c r="N692" s="115"/>
      <c r="O692" s="115"/>
      <c r="P692" s="115"/>
    </row>
    <row r="693" spans="10:16" ht="12.5" x14ac:dyDescent="0.25">
      <c r="J693" s="115"/>
      <c r="K693" s="115"/>
      <c r="L693" s="115"/>
      <c r="M693" s="115"/>
      <c r="N693" s="115"/>
      <c r="O693" s="115"/>
      <c r="P693" s="115"/>
    </row>
    <row r="694" spans="10:16" ht="12.5" x14ac:dyDescent="0.25">
      <c r="J694" s="115"/>
      <c r="K694" s="115"/>
      <c r="L694" s="115"/>
      <c r="M694" s="115"/>
      <c r="N694" s="115"/>
      <c r="O694" s="115"/>
      <c r="P694" s="115"/>
    </row>
    <row r="695" spans="10:16" ht="12.5" x14ac:dyDescent="0.25">
      <c r="J695" s="115"/>
      <c r="K695" s="115"/>
      <c r="L695" s="115"/>
      <c r="M695" s="115"/>
      <c r="N695" s="115"/>
      <c r="O695" s="115"/>
      <c r="P695" s="115"/>
    </row>
    <row r="696" spans="10:16" ht="12.5" x14ac:dyDescent="0.25">
      <c r="J696" s="115"/>
      <c r="K696" s="115"/>
      <c r="L696" s="115"/>
      <c r="M696" s="115"/>
      <c r="N696" s="115"/>
      <c r="O696" s="115"/>
      <c r="P696" s="115"/>
    </row>
    <row r="697" spans="10:16" ht="12.5" x14ac:dyDescent="0.25">
      <c r="J697" s="115"/>
      <c r="K697" s="115"/>
      <c r="L697" s="115"/>
      <c r="M697" s="115"/>
      <c r="N697" s="115"/>
      <c r="O697" s="115"/>
      <c r="P697" s="115"/>
    </row>
    <row r="698" spans="10:16" ht="12.5" x14ac:dyDescent="0.25">
      <c r="J698" s="115"/>
      <c r="K698" s="115"/>
      <c r="L698" s="115"/>
      <c r="M698" s="115"/>
      <c r="N698" s="115"/>
      <c r="O698" s="115"/>
      <c r="P698" s="115"/>
    </row>
    <row r="699" spans="10:16" ht="12.5" x14ac:dyDescent="0.25">
      <c r="J699" s="115"/>
      <c r="K699" s="115"/>
      <c r="L699" s="115"/>
      <c r="M699" s="115"/>
      <c r="N699" s="115"/>
      <c r="O699" s="115"/>
      <c r="P699" s="115"/>
    </row>
    <row r="700" spans="10:16" ht="12.5" x14ac:dyDescent="0.25">
      <c r="J700" s="115"/>
      <c r="K700" s="115"/>
      <c r="L700" s="115"/>
      <c r="M700" s="115"/>
      <c r="N700" s="115"/>
      <c r="O700" s="115"/>
      <c r="P700" s="115"/>
    </row>
    <row r="701" spans="10:16" ht="12.5" x14ac:dyDescent="0.25">
      <c r="J701" s="115"/>
      <c r="K701" s="115"/>
      <c r="L701" s="115"/>
      <c r="M701" s="115"/>
      <c r="N701" s="115"/>
      <c r="O701" s="115"/>
      <c r="P701" s="115"/>
    </row>
    <row r="702" spans="10:16" ht="12.5" x14ac:dyDescent="0.25">
      <c r="J702" s="115"/>
      <c r="K702" s="115"/>
      <c r="L702" s="115"/>
      <c r="M702" s="115"/>
      <c r="N702" s="115"/>
      <c r="O702" s="115"/>
      <c r="P702" s="115"/>
    </row>
    <row r="703" spans="10:16" ht="12.5" x14ac:dyDescent="0.25">
      <c r="J703" s="115"/>
      <c r="K703" s="115"/>
      <c r="L703" s="115"/>
      <c r="M703" s="115"/>
      <c r="N703" s="115"/>
      <c r="O703" s="115"/>
      <c r="P703" s="115"/>
    </row>
    <row r="704" spans="10:16" ht="12.5" x14ac:dyDescent="0.25">
      <c r="J704" s="115"/>
      <c r="K704" s="115"/>
      <c r="L704" s="115"/>
      <c r="M704" s="115"/>
      <c r="N704" s="115"/>
      <c r="O704" s="115"/>
      <c r="P704" s="115"/>
    </row>
    <row r="705" spans="10:16" ht="12.5" x14ac:dyDescent="0.25">
      <c r="J705" s="115"/>
      <c r="K705" s="115"/>
      <c r="L705" s="115"/>
      <c r="M705" s="115"/>
      <c r="N705" s="115"/>
      <c r="O705" s="115"/>
      <c r="P705" s="115"/>
    </row>
    <row r="706" spans="10:16" ht="12.5" x14ac:dyDescent="0.25">
      <c r="J706" s="115"/>
      <c r="K706" s="115"/>
      <c r="L706" s="115"/>
      <c r="M706" s="115"/>
      <c r="N706" s="115"/>
      <c r="O706" s="115"/>
      <c r="P706" s="115"/>
    </row>
    <row r="707" spans="10:16" ht="12.5" x14ac:dyDescent="0.25">
      <c r="J707" s="115"/>
      <c r="K707" s="115"/>
      <c r="L707" s="115"/>
      <c r="M707" s="115"/>
      <c r="N707" s="115"/>
      <c r="O707" s="115"/>
      <c r="P707" s="115"/>
    </row>
    <row r="708" spans="10:16" ht="12.5" x14ac:dyDescent="0.25">
      <c r="J708" s="115"/>
      <c r="K708" s="115"/>
      <c r="L708" s="115"/>
      <c r="M708" s="115"/>
      <c r="N708" s="115"/>
      <c r="O708" s="115"/>
      <c r="P708" s="115"/>
    </row>
    <row r="709" spans="10:16" ht="12.5" x14ac:dyDescent="0.25">
      <c r="J709" s="115"/>
      <c r="K709" s="115"/>
      <c r="L709" s="115"/>
      <c r="M709" s="115"/>
      <c r="N709" s="115"/>
      <c r="O709" s="115"/>
      <c r="P709" s="115"/>
    </row>
    <row r="710" spans="10:16" ht="12.5" x14ac:dyDescent="0.25">
      <c r="J710" s="115"/>
      <c r="K710" s="115"/>
      <c r="L710" s="115"/>
      <c r="M710" s="115"/>
      <c r="N710" s="115"/>
      <c r="O710" s="115"/>
      <c r="P710" s="115"/>
    </row>
    <row r="711" spans="10:16" ht="12.5" x14ac:dyDescent="0.25">
      <c r="J711" s="115"/>
      <c r="K711" s="115"/>
      <c r="L711" s="115"/>
      <c r="M711" s="115"/>
      <c r="N711" s="115"/>
      <c r="O711" s="115"/>
      <c r="P711" s="115"/>
    </row>
    <row r="712" spans="10:16" ht="12.5" x14ac:dyDescent="0.25">
      <c r="J712" s="115"/>
      <c r="K712" s="115"/>
      <c r="L712" s="115"/>
      <c r="M712" s="115"/>
      <c r="N712" s="115"/>
      <c r="O712" s="115"/>
      <c r="P712" s="115"/>
    </row>
    <row r="713" spans="10:16" ht="12.5" x14ac:dyDescent="0.25">
      <c r="J713" s="115"/>
      <c r="K713" s="115"/>
      <c r="L713" s="115"/>
      <c r="M713" s="115"/>
      <c r="N713" s="115"/>
      <c r="O713" s="115"/>
      <c r="P713" s="115"/>
    </row>
    <row r="714" spans="10:16" ht="12.5" x14ac:dyDescent="0.25">
      <c r="J714" s="115"/>
      <c r="K714" s="115"/>
      <c r="L714" s="115"/>
      <c r="M714" s="115"/>
      <c r="N714" s="115"/>
      <c r="O714" s="115"/>
      <c r="P714" s="115"/>
    </row>
    <row r="715" spans="10:16" ht="12.5" x14ac:dyDescent="0.25">
      <c r="J715" s="115"/>
      <c r="K715" s="115"/>
      <c r="L715" s="115"/>
      <c r="M715" s="115"/>
      <c r="N715" s="115"/>
      <c r="O715" s="115"/>
      <c r="P715" s="115"/>
    </row>
    <row r="716" spans="10:16" ht="12.5" x14ac:dyDescent="0.25">
      <c r="J716" s="115"/>
      <c r="K716" s="115"/>
      <c r="L716" s="115"/>
      <c r="M716" s="115"/>
      <c r="N716" s="115"/>
      <c r="O716" s="115"/>
      <c r="P716" s="115"/>
    </row>
    <row r="717" spans="10:16" ht="12.5" x14ac:dyDescent="0.25">
      <c r="J717" s="115"/>
      <c r="K717" s="115"/>
      <c r="L717" s="115"/>
      <c r="M717" s="115"/>
      <c r="N717" s="115"/>
      <c r="O717" s="115"/>
      <c r="P717" s="115"/>
    </row>
    <row r="718" spans="10:16" ht="12.5" x14ac:dyDescent="0.25">
      <c r="J718" s="115"/>
      <c r="K718" s="115"/>
      <c r="L718" s="115"/>
      <c r="M718" s="115"/>
      <c r="N718" s="115"/>
      <c r="O718" s="115"/>
      <c r="P718" s="115"/>
    </row>
    <row r="719" spans="10:16" ht="12.5" x14ac:dyDescent="0.25">
      <c r="J719" s="115"/>
      <c r="K719" s="115"/>
      <c r="L719" s="115"/>
      <c r="M719" s="115"/>
      <c r="N719" s="115"/>
      <c r="O719" s="115"/>
      <c r="P719" s="115"/>
    </row>
    <row r="720" spans="10:16" ht="12.5" x14ac:dyDescent="0.25">
      <c r="J720" s="115"/>
      <c r="K720" s="115"/>
      <c r="L720" s="115"/>
      <c r="M720" s="115"/>
      <c r="N720" s="115"/>
      <c r="O720" s="115"/>
      <c r="P720" s="115"/>
    </row>
    <row r="721" spans="10:16" ht="12.5" x14ac:dyDescent="0.25">
      <c r="J721" s="115"/>
      <c r="K721" s="115"/>
      <c r="L721" s="115"/>
      <c r="M721" s="115"/>
      <c r="N721" s="115"/>
      <c r="O721" s="115"/>
      <c r="P721" s="115"/>
    </row>
    <row r="722" spans="10:16" ht="12.5" x14ac:dyDescent="0.25">
      <c r="J722" s="115"/>
      <c r="K722" s="115"/>
      <c r="L722" s="115"/>
      <c r="M722" s="115"/>
      <c r="N722" s="115"/>
      <c r="O722" s="115"/>
      <c r="P722" s="115"/>
    </row>
    <row r="723" spans="10:16" ht="12.5" x14ac:dyDescent="0.25">
      <c r="J723" s="115"/>
      <c r="K723" s="115"/>
      <c r="L723" s="115"/>
      <c r="M723" s="115"/>
      <c r="N723" s="115"/>
      <c r="O723" s="115"/>
      <c r="P723" s="115"/>
    </row>
    <row r="724" spans="10:16" ht="12.5" x14ac:dyDescent="0.25">
      <c r="J724" s="115"/>
      <c r="K724" s="115"/>
      <c r="L724" s="115"/>
      <c r="M724" s="115"/>
      <c r="N724" s="115"/>
      <c r="O724" s="115"/>
      <c r="P724" s="115"/>
    </row>
    <row r="725" spans="10:16" ht="12.5" x14ac:dyDescent="0.25">
      <c r="J725" s="115"/>
      <c r="K725" s="115"/>
      <c r="L725" s="115"/>
      <c r="M725" s="115"/>
      <c r="N725" s="115"/>
      <c r="O725" s="115"/>
      <c r="P725" s="115"/>
    </row>
    <row r="726" spans="10:16" ht="12.5" x14ac:dyDescent="0.25">
      <c r="J726" s="115"/>
      <c r="K726" s="115"/>
      <c r="L726" s="115"/>
      <c r="M726" s="115"/>
      <c r="N726" s="115"/>
      <c r="O726" s="115"/>
      <c r="P726" s="115"/>
    </row>
    <row r="727" spans="10:16" ht="12.5" x14ac:dyDescent="0.25">
      <c r="J727" s="115"/>
      <c r="K727" s="115"/>
      <c r="L727" s="115"/>
      <c r="M727" s="115"/>
      <c r="N727" s="115"/>
      <c r="O727" s="115"/>
      <c r="P727" s="115"/>
    </row>
    <row r="728" spans="10:16" ht="12.5" x14ac:dyDescent="0.25">
      <c r="J728" s="115"/>
      <c r="K728" s="115"/>
      <c r="L728" s="115"/>
      <c r="M728" s="115"/>
      <c r="N728" s="115"/>
      <c r="O728" s="115"/>
      <c r="P728" s="115"/>
    </row>
    <row r="729" spans="10:16" ht="12.5" x14ac:dyDescent="0.25">
      <c r="J729" s="115"/>
      <c r="K729" s="115"/>
      <c r="L729" s="115"/>
      <c r="M729" s="115"/>
      <c r="N729" s="115"/>
      <c r="O729" s="115"/>
      <c r="P729" s="115"/>
    </row>
    <row r="730" spans="10:16" ht="12.5" x14ac:dyDescent="0.25">
      <c r="J730" s="115"/>
      <c r="K730" s="115"/>
      <c r="L730" s="115"/>
      <c r="M730" s="115"/>
      <c r="N730" s="115"/>
      <c r="O730" s="115"/>
      <c r="P730" s="115"/>
    </row>
    <row r="731" spans="10:16" ht="12.5" x14ac:dyDescent="0.25">
      <c r="J731" s="115"/>
      <c r="K731" s="115"/>
      <c r="L731" s="115"/>
      <c r="M731" s="115"/>
      <c r="N731" s="115"/>
      <c r="O731" s="115"/>
      <c r="P731" s="115"/>
    </row>
    <row r="732" spans="10:16" ht="12.5" x14ac:dyDescent="0.25">
      <c r="J732" s="115"/>
      <c r="K732" s="115"/>
      <c r="L732" s="115"/>
      <c r="M732" s="115"/>
      <c r="N732" s="115"/>
      <c r="O732" s="115"/>
      <c r="P732" s="115"/>
    </row>
    <row r="733" spans="10:16" ht="12.5" x14ac:dyDescent="0.25">
      <c r="J733" s="115"/>
      <c r="K733" s="115"/>
      <c r="L733" s="115"/>
      <c r="M733" s="115"/>
      <c r="N733" s="115"/>
      <c r="O733" s="115"/>
      <c r="P733" s="115"/>
    </row>
    <row r="734" spans="10:16" ht="12.5" x14ac:dyDescent="0.25">
      <c r="J734" s="115"/>
      <c r="K734" s="115"/>
      <c r="L734" s="115"/>
      <c r="M734" s="115"/>
      <c r="N734" s="115"/>
      <c r="O734" s="115"/>
      <c r="P734" s="115"/>
    </row>
    <row r="735" spans="10:16" ht="12.5" x14ac:dyDescent="0.25">
      <c r="J735" s="115"/>
      <c r="K735" s="115"/>
      <c r="L735" s="115"/>
      <c r="M735" s="115"/>
      <c r="N735" s="115"/>
      <c r="O735" s="115"/>
      <c r="P735" s="115"/>
    </row>
    <row r="736" spans="10:16" ht="12.5" x14ac:dyDescent="0.25">
      <c r="J736" s="115"/>
      <c r="K736" s="115"/>
      <c r="L736" s="115"/>
      <c r="M736" s="115"/>
      <c r="N736" s="115"/>
      <c r="O736" s="115"/>
      <c r="P736" s="115"/>
    </row>
    <row r="737" spans="10:16" ht="12.5" x14ac:dyDescent="0.25">
      <c r="J737" s="115"/>
      <c r="K737" s="115"/>
      <c r="L737" s="115"/>
      <c r="M737" s="115"/>
      <c r="N737" s="115"/>
      <c r="O737" s="115"/>
      <c r="P737" s="115"/>
    </row>
    <row r="738" spans="10:16" ht="12.5" x14ac:dyDescent="0.25">
      <c r="J738" s="115"/>
      <c r="K738" s="115"/>
      <c r="L738" s="115"/>
      <c r="M738" s="115"/>
      <c r="N738" s="115"/>
      <c r="O738" s="115"/>
      <c r="P738" s="115"/>
    </row>
    <row r="739" spans="10:16" ht="12.5" x14ac:dyDescent="0.25">
      <c r="J739" s="115"/>
      <c r="K739" s="115"/>
      <c r="L739" s="115"/>
      <c r="M739" s="115"/>
      <c r="N739" s="115"/>
      <c r="O739" s="115"/>
      <c r="P739" s="115"/>
    </row>
    <row r="740" spans="10:16" ht="12.5" x14ac:dyDescent="0.25">
      <c r="J740" s="115"/>
      <c r="K740" s="115"/>
      <c r="L740" s="115"/>
      <c r="M740" s="115"/>
      <c r="N740" s="115"/>
      <c r="O740" s="115"/>
      <c r="P740" s="115"/>
    </row>
    <row r="741" spans="10:16" ht="12.5" x14ac:dyDescent="0.25">
      <c r="J741" s="115"/>
      <c r="K741" s="115"/>
      <c r="L741" s="115"/>
      <c r="M741" s="115"/>
      <c r="N741" s="115"/>
      <c r="O741" s="115"/>
      <c r="P741" s="115"/>
    </row>
    <row r="742" spans="10:16" ht="12.5" x14ac:dyDescent="0.25">
      <c r="J742" s="115"/>
      <c r="K742" s="115"/>
      <c r="L742" s="115"/>
      <c r="M742" s="115"/>
      <c r="N742" s="115"/>
      <c r="O742" s="115"/>
      <c r="P742" s="115"/>
    </row>
    <row r="743" spans="10:16" ht="12.5" x14ac:dyDescent="0.25">
      <c r="J743" s="115"/>
      <c r="K743" s="115"/>
      <c r="L743" s="115"/>
      <c r="M743" s="115"/>
      <c r="N743" s="115"/>
      <c r="O743" s="115"/>
      <c r="P743" s="115"/>
    </row>
    <row r="744" spans="10:16" ht="12.5" x14ac:dyDescent="0.25">
      <c r="J744" s="115"/>
      <c r="K744" s="115"/>
      <c r="L744" s="115"/>
      <c r="M744" s="115"/>
      <c r="N744" s="115"/>
      <c r="O744" s="115"/>
      <c r="P744" s="115"/>
    </row>
    <row r="745" spans="10:16" ht="12.5" x14ac:dyDescent="0.25">
      <c r="J745" s="115"/>
      <c r="K745" s="115"/>
      <c r="L745" s="115"/>
      <c r="M745" s="115"/>
      <c r="N745" s="115"/>
      <c r="O745" s="115"/>
      <c r="P745" s="115"/>
    </row>
    <row r="746" spans="10:16" ht="12.5" x14ac:dyDescent="0.25">
      <c r="J746" s="115"/>
      <c r="K746" s="115"/>
      <c r="L746" s="115"/>
      <c r="M746" s="115"/>
      <c r="N746" s="115"/>
      <c r="O746" s="115"/>
      <c r="P746" s="115"/>
    </row>
    <row r="747" spans="10:16" ht="12.5" x14ac:dyDescent="0.25">
      <c r="J747" s="115"/>
      <c r="K747" s="115"/>
      <c r="L747" s="115"/>
      <c r="M747" s="115"/>
      <c r="N747" s="115"/>
      <c r="O747" s="115"/>
      <c r="P747" s="115"/>
    </row>
    <row r="748" spans="10:16" ht="12.5" x14ac:dyDescent="0.25">
      <c r="J748" s="115"/>
      <c r="K748" s="115"/>
      <c r="L748" s="115"/>
      <c r="M748" s="115"/>
      <c r="N748" s="115"/>
      <c r="O748" s="115"/>
      <c r="P748" s="115"/>
    </row>
    <row r="749" spans="10:16" ht="12.5" x14ac:dyDescent="0.25">
      <c r="J749" s="115"/>
      <c r="K749" s="115"/>
      <c r="L749" s="115"/>
      <c r="M749" s="115"/>
      <c r="N749" s="115"/>
      <c r="O749" s="115"/>
      <c r="P749" s="115"/>
    </row>
    <row r="750" spans="10:16" ht="12.5" x14ac:dyDescent="0.25">
      <c r="J750" s="115"/>
      <c r="K750" s="115"/>
      <c r="L750" s="115"/>
      <c r="M750" s="115"/>
      <c r="N750" s="115"/>
      <c r="O750" s="115"/>
      <c r="P750" s="115"/>
    </row>
    <row r="751" spans="10:16" ht="12.5" x14ac:dyDescent="0.25">
      <c r="J751" s="115"/>
      <c r="K751" s="115"/>
      <c r="L751" s="115"/>
      <c r="M751" s="115"/>
      <c r="N751" s="115"/>
      <c r="O751" s="115"/>
      <c r="P751" s="115"/>
    </row>
    <row r="752" spans="10:16" ht="12.5" x14ac:dyDescent="0.25">
      <c r="J752" s="115"/>
      <c r="K752" s="115"/>
      <c r="L752" s="115"/>
      <c r="M752" s="115"/>
      <c r="N752" s="115"/>
      <c r="O752" s="115"/>
      <c r="P752" s="115"/>
    </row>
    <row r="753" spans="10:16" ht="12.5" x14ac:dyDescent="0.25">
      <c r="J753" s="115"/>
      <c r="K753" s="115"/>
      <c r="L753" s="115"/>
      <c r="M753" s="115"/>
      <c r="N753" s="115"/>
      <c r="O753" s="115"/>
      <c r="P753" s="115"/>
    </row>
    <row r="754" spans="10:16" ht="12.5" x14ac:dyDescent="0.25">
      <c r="J754" s="115"/>
      <c r="K754" s="115"/>
      <c r="L754" s="115"/>
      <c r="M754" s="115"/>
      <c r="N754" s="115"/>
      <c r="O754" s="115"/>
      <c r="P754" s="115"/>
    </row>
    <row r="755" spans="10:16" ht="12.5" x14ac:dyDescent="0.25">
      <c r="J755" s="115"/>
      <c r="K755" s="115"/>
      <c r="L755" s="115"/>
      <c r="M755" s="115"/>
      <c r="N755" s="115"/>
      <c r="O755" s="115"/>
      <c r="P755" s="115"/>
    </row>
    <row r="756" spans="10:16" ht="12.5" x14ac:dyDescent="0.25">
      <c r="J756" s="115"/>
      <c r="K756" s="115"/>
      <c r="L756" s="115"/>
      <c r="M756" s="115"/>
      <c r="N756" s="115"/>
      <c r="O756" s="115"/>
      <c r="P756" s="115"/>
    </row>
    <row r="757" spans="10:16" ht="12.5" x14ac:dyDescent="0.25">
      <c r="J757" s="115"/>
      <c r="K757" s="115"/>
      <c r="L757" s="115"/>
      <c r="M757" s="115"/>
      <c r="N757" s="115"/>
      <c r="O757" s="115"/>
      <c r="P757" s="115"/>
    </row>
    <row r="758" spans="10:16" ht="12.5" x14ac:dyDescent="0.25">
      <c r="J758" s="115"/>
      <c r="K758" s="115"/>
      <c r="L758" s="115"/>
      <c r="M758" s="115"/>
      <c r="N758" s="115"/>
      <c r="O758" s="115"/>
      <c r="P758" s="115"/>
    </row>
    <row r="759" spans="10:16" ht="12.5" x14ac:dyDescent="0.25">
      <c r="J759" s="115"/>
      <c r="K759" s="115"/>
      <c r="L759" s="115"/>
      <c r="M759" s="115"/>
      <c r="N759" s="115"/>
      <c r="O759" s="115"/>
      <c r="P759" s="115"/>
    </row>
    <row r="760" spans="10:16" ht="12.5" x14ac:dyDescent="0.25">
      <c r="J760" s="115"/>
      <c r="K760" s="115"/>
      <c r="L760" s="115"/>
      <c r="M760" s="115"/>
      <c r="N760" s="115"/>
      <c r="O760" s="115"/>
      <c r="P760" s="115"/>
    </row>
    <row r="761" spans="10:16" ht="12.5" x14ac:dyDescent="0.25">
      <c r="J761" s="115"/>
      <c r="K761" s="115"/>
      <c r="L761" s="115"/>
      <c r="M761" s="115"/>
      <c r="N761" s="115"/>
      <c r="O761" s="115"/>
      <c r="P761" s="115"/>
    </row>
    <row r="762" spans="10:16" ht="12.5" x14ac:dyDescent="0.25">
      <c r="J762" s="115"/>
      <c r="K762" s="115"/>
      <c r="L762" s="115"/>
      <c r="M762" s="115"/>
      <c r="N762" s="115"/>
      <c r="O762" s="115"/>
      <c r="P762" s="115"/>
    </row>
    <row r="763" spans="10:16" ht="12.5" x14ac:dyDescent="0.25">
      <c r="J763" s="115"/>
      <c r="K763" s="115"/>
      <c r="L763" s="115"/>
      <c r="M763" s="115"/>
      <c r="N763" s="115"/>
      <c r="O763" s="115"/>
      <c r="P763" s="115"/>
    </row>
    <row r="764" spans="10:16" ht="12.5" x14ac:dyDescent="0.25">
      <c r="J764" s="115"/>
      <c r="K764" s="115"/>
      <c r="L764" s="115"/>
      <c r="M764" s="115"/>
      <c r="N764" s="115"/>
      <c r="O764" s="115"/>
      <c r="P764" s="115"/>
    </row>
    <row r="765" spans="10:16" ht="12.5" x14ac:dyDescent="0.25">
      <c r="J765" s="115"/>
      <c r="K765" s="115"/>
      <c r="L765" s="115"/>
      <c r="M765" s="115"/>
      <c r="N765" s="115"/>
      <c r="O765" s="115"/>
      <c r="P765" s="115"/>
    </row>
    <row r="766" spans="10:16" ht="12.5" x14ac:dyDescent="0.25">
      <c r="J766" s="115"/>
      <c r="K766" s="115"/>
      <c r="L766" s="115"/>
      <c r="M766" s="115"/>
      <c r="N766" s="115"/>
      <c r="O766" s="115"/>
      <c r="P766" s="115"/>
    </row>
    <row r="767" spans="10:16" ht="12.5" x14ac:dyDescent="0.25">
      <c r="J767" s="115"/>
      <c r="K767" s="115"/>
      <c r="L767" s="115"/>
      <c r="M767" s="115"/>
      <c r="N767" s="115"/>
      <c r="O767" s="115"/>
      <c r="P767" s="115"/>
    </row>
    <row r="768" spans="10:16" ht="12.5" x14ac:dyDescent="0.25">
      <c r="J768" s="115"/>
      <c r="K768" s="115"/>
      <c r="L768" s="115"/>
      <c r="M768" s="115"/>
      <c r="N768" s="115"/>
      <c r="O768" s="115"/>
      <c r="P768" s="115"/>
    </row>
    <row r="769" spans="10:16" ht="12.5" x14ac:dyDescent="0.25">
      <c r="J769" s="115"/>
      <c r="K769" s="115"/>
      <c r="L769" s="115"/>
      <c r="M769" s="115"/>
      <c r="N769" s="115"/>
      <c r="O769" s="115"/>
      <c r="P769" s="115"/>
    </row>
    <row r="770" spans="10:16" ht="12.5" x14ac:dyDescent="0.25">
      <c r="J770" s="115"/>
      <c r="K770" s="115"/>
      <c r="L770" s="115"/>
      <c r="M770" s="115"/>
      <c r="N770" s="115"/>
      <c r="O770" s="115"/>
      <c r="P770" s="115"/>
    </row>
    <row r="771" spans="10:16" ht="12.5" x14ac:dyDescent="0.25">
      <c r="J771" s="115"/>
      <c r="K771" s="115"/>
      <c r="L771" s="115"/>
      <c r="M771" s="115"/>
      <c r="N771" s="115"/>
      <c r="O771" s="115"/>
      <c r="P771" s="115"/>
    </row>
    <row r="772" spans="10:16" ht="12.5" x14ac:dyDescent="0.25">
      <c r="J772" s="115"/>
      <c r="K772" s="115"/>
      <c r="L772" s="115"/>
      <c r="M772" s="115"/>
      <c r="N772" s="115"/>
      <c r="O772" s="115"/>
      <c r="P772" s="115"/>
    </row>
    <row r="773" spans="10:16" ht="12.5" x14ac:dyDescent="0.25">
      <c r="J773" s="115"/>
      <c r="K773" s="115"/>
      <c r="L773" s="115"/>
      <c r="M773" s="115"/>
      <c r="N773" s="115"/>
      <c r="O773" s="115"/>
      <c r="P773" s="115"/>
    </row>
    <row r="774" spans="10:16" ht="12.5" x14ac:dyDescent="0.25">
      <c r="J774" s="115"/>
      <c r="K774" s="115"/>
      <c r="L774" s="115"/>
      <c r="M774" s="115"/>
      <c r="N774" s="115"/>
      <c r="O774" s="115"/>
      <c r="P774" s="115"/>
    </row>
    <row r="775" spans="10:16" ht="12.5" x14ac:dyDescent="0.25">
      <c r="J775" s="115"/>
      <c r="K775" s="115"/>
      <c r="L775" s="115"/>
      <c r="M775" s="115"/>
      <c r="N775" s="115"/>
      <c r="O775" s="115"/>
      <c r="P775" s="115"/>
    </row>
    <row r="776" spans="10:16" ht="12.5" x14ac:dyDescent="0.25">
      <c r="J776" s="115"/>
      <c r="K776" s="115"/>
      <c r="L776" s="115"/>
      <c r="M776" s="115"/>
      <c r="N776" s="115"/>
      <c r="O776" s="115"/>
      <c r="P776" s="115"/>
    </row>
    <row r="777" spans="10:16" ht="12.5" x14ac:dyDescent="0.25">
      <c r="J777" s="115"/>
      <c r="K777" s="115"/>
      <c r="L777" s="115"/>
      <c r="M777" s="115"/>
      <c r="N777" s="115"/>
      <c r="O777" s="115"/>
      <c r="P777" s="115"/>
    </row>
    <row r="778" spans="10:16" ht="12.5" x14ac:dyDescent="0.25">
      <c r="J778" s="115"/>
      <c r="K778" s="115"/>
      <c r="L778" s="115"/>
      <c r="M778" s="115"/>
      <c r="N778" s="115"/>
      <c r="O778" s="115"/>
      <c r="P778" s="115"/>
    </row>
    <row r="779" spans="10:16" ht="12.5" x14ac:dyDescent="0.25">
      <c r="J779" s="115"/>
      <c r="K779" s="115"/>
      <c r="L779" s="115"/>
      <c r="M779" s="115"/>
      <c r="N779" s="115"/>
      <c r="O779" s="115"/>
      <c r="P779" s="115"/>
    </row>
    <row r="780" spans="10:16" ht="12.5" x14ac:dyDescent="0.25">
      <c r="J780" s="115"/>
      <c r="K780" s="115"/>
      <c r="L780" s="115"/>
      <c r="M780" s="115"/>
      <c r="N780" s="115"/>
      <c r="O780" s="115"/>
      <c r="P780" s="115"/>
    </row>
    <row r="781" spans="10:16" ht="12.5" x14ac:dyDescent="0.25">
      <c r="J781" s="115"/>
      <c r="K781" s="115"/>
      <c r="L781" s="115"/>
      <c r="M781" s="115"/>
      <c r="N781" s="115"/>
      <c r="O781" s="115"/>
      <c r="P781" s="115"/>
    </row>
    <row r="782" spans="10:16" ht="12.5" x14ac:dyDescent="0.25">
      <c r="J782" s="115"/>
      <c r="K782" s="115"/>
      <c r="L782" s="115"/>
      <c r="M782" s="115"/>
      <c r="N782" s="115"/>
      <c r="O782" s="115"/>
      <c r="P782" s="115"/>
    </row>
    <row r="783" spans="10:16" ht="12.5" x14ac:dyDescent="0.25">
      <c r="J783" s="115"/>
      <c r="K783" s="115"/>
      <c r="L783" s="115"/>
      <c r="M783" s="115"/>
      <c r="N783" s="115"/>
      <c r="O783" s="115"/>
      <c r="P783" s="115"/>
    </row>
    <row r="784" spans="10:16" ht="12.5" x14ac:dyDescent="0.25">
      <c r="J784" s="115"/>
      <c r="K784" s="115"/>
      <c r="L784" s="115"/>
      <c r="M784" s="115"/>
      <c r="N784" s="115"/>
      <c r="O784" s="115"/>
      <c r="P784" s="115"/>
    </row>
    <row r="785" spans="10:16" ht="12.5" x14ac:dyDescent="0.25">
      <c r="J785" s="115"/>
      <c r="K785" s="115"/>
      <c r="L785" s="115"/>
      <c r="M785" s="115"/>
      <c r="N785" s="115"/>
      <c r="O785" s="115"/>
      <c r="P785" s="115"/>
    </row>
    <row r="786" spans="10:16" ht="12.5" x14ac:dyDescent="0.25">
      <c r="J786" s="115"/>
      <c r="K786" s="115"/>
      <c r="L786" s="115"/>
      <c r="M786" s="115"/>
      <c r="N786" s="115"/>
      <c r="O786" s="115"/>
      <c r="P786" s="115"/>
    </row>
    <row r="787" spans="10:16" ht="12.5" x14ac:dyDescent="0.25">
      <c r="J787" s="115"/>
      <c r="K787" s="115"/>
      <c r="L787" s="115"/>
      <c r="M787" s="115"/>
      <c r="N787" s="115"/>
      <c r="O787" s="115"/>
      <c r="P787" s="115"/>
    </row>
    <row r="788" spans="10:16" ht="12.5" x14ac:dyDescent="0.25">
      <c r="J788" s="115"/>
      <c r="K788" s="115"/>
      <c r="L788" s="115"/>
      <c r="M788" s="115"/>
      <c r="N788" s="115"/>
      <c r="O788" s="115"/>
      <c r="P788" s="115"/>
    </row>
    <row r="789" spans="10:16" ht="12.5" x14ac:dyDescent="0.25">
      <c r="J789" s="115"/>
      <c r="K789" s="115"/>
      <c r="L789" s="115"/>
      <c r="M789" s="115"/>
      <c r="N789" s="115"/>
      <c r="O789" s="115"/>
      <c r="P789" s="115"/>
    </row>
    <row r="790" spans="10:16" ht="12.5" x14ac:dyDescent="0.25">
      <c r="J790" s="115"/>
      <c r="K790" s="115"/>
      <c r="L790" s="115"/>
      <c r="M790" s="115"/>
      <c r="N790" s="115"/>
      <c r="O790" s="115"/>
      <c r="P790" s="115"/>
    </row>
    <row r="791" spans="10:16" ht="12.5" x14ac:dyDescent="0.25">
      <c r="J791" s="115"/>
      <c r="K791" s="115"/>
      <c r="L791" s="115"/>
      <c r="M791" s="115"/>
      <c r="N791" s="115"/>
      <c r="O791" s="115"/>
      <c r="P791" s="115"/>
    </row>
    <row r="792" spans="10:16" ht="12.5" x14ac:dyDescent="0.25">
      <c r="J792" s="115"/>
      <c r="K792" s="115"/>
      <c r="L792" s="115"/>
      <c r="M792" s="115"/>
      <c r="N792" s="115"/>
      <c r="O792" s="115"/>
      <c r="P792" s="115"/>
    </row>
    <row r="793" spans="10:16" ht="12.5" x14ac:dyDescent="0.25">
      <c r="J793" s="115"/>
      <c r="K793" s="115"/>
      <c r="L793" s="115"/>
      <c r="M793" s="115"/>
      <c r="N793" s="115"/>
      <c r="O793" s="115"/>
      <c r="P793" s="115"/>
    </row>
    <row r="794" spans="10:16" ht="12.5" x14ac:dyDescent="0.25">
      <c r="J794" s="115"/>
      <c r="K794" s="115"/>
      <c r="L794" s="115"/>
      <c r="M794" s="115"/>
      <c r="N794" s="115"/>
      <c r="O794" s="115"/>
      <c r="P794" s="115"/>
    </row>
    <row r="795" spans="10:16" ht="12.5" x14ac:dyDescent="0.25">
      <c r="J795" s="115"/>
      <c r="K795" s="115"/>
      <c r="L795" s="115"/>
      <c r="M795" s="115"/>
      <c r="N795" s="115"/>
      <c r="O795" s="115"/>
      <c r="P795" s="115"/>
    </row>
    <row r="796" spans="10:16" ht="12.5" x14ac:dyDescent="0.25">
      <c r="J796" s="115"/>
      <c r="K796" s="115"/>
      <c r="L796" s="115"/>
      <c r="M796" s="115"/>
      <c r="N796" s="115"/>
      <c r="O796" s="115"/>
      <c r="P796" s="115"/>
    </row>
    <row r="797" spans="10:16" ht="12.5" x14ac:dyDescent="0.25">
      <c r="J797" s="115"/>
      <c r="K797" s="115"/>
      <c r="L797" s="115"/>
      <c r="M797" s="115"/>
      <c r="N797" s="115"/>
      <c r="O797" s="115"/>
      <c r="P797" s="115"/>
    </row>
    <row r="798" spans="10:16" ht="12.5" x14ac:dyDescent="0.25">
      <c r="J798" s="115"/>
      <c r="K798" s="115"/>
      <c r="L798" s="115"/>
      <c r="M798" s="115"/>
      <c r="N798" s="115"/>
      <c r="O798" s="115"/>
      <c r="P798" s="115"/>
    </row>
    <row r="799" spans="10:16" ht="12.5" x14ac:dyDescent="0.25">
      <c r="J799" s="115"/>
      <c r="K799" s="115"/>
      <c r="L799" s="115"/>
      <c r="M799" s="115"/>
      <c r="N799" s="115"/>
      <c r="O799" s="115"/>
      <c r="P799" s="115"/>
    </row>
    <row r="800" spans="10:16" ht="12.5" x14ac:dyDescent="0.25">
      <c r="J800" s="115"/>
      <c r="K800" s="115"/>
      <c r="L800" s="115"/>
      <c r="M800" s="115"/>
      <c r="N800" s="115"/>
      <c r="O800" s="115"/>
      <c r="P800" s="115"/>
    </row>
    <row r="801" spans="10:16" ht="12.5" x14ac:dyDescent="0.25">
      <c r="J801" s="115"/>
      <c r="K801" s="115"/>
      <c r="L801" s="115"/>
      <c r="M801" s="115"/>
      <c r="N801" s="115"/>
      <c r="O801" s="115"/>
      <c r="P801" s="115"/>
    </row>
    <row r="802" spans="10:16" ht="12.5" x14ac:dyDescent="0.25">
      <c r="J802" s="115"/>
      <c r="K802" s="115"/>
      <c r="L802" s="115"/>
      <c r="M802" s="115"/>
      <c r="N802" s="115"/>
      <c r="O802" s="115"/>
      <c r="P802" s="115"/>
    </row>
    <row r="803" spans="10:16" ht="12.5" x14ac:dyDescent="0.25">
      <c r="J803" s="115"/>
      <c r="K803" s="115"/>
      <c r="L803" s="115"/>
      <c r="M803" s="115"/>
      <c r="N803" s="115"/>
      <c r="O803" s="115"/>
      <c r="P803" s="115"/>
    </row>
    <row r="804" spans="10:16" ht="12.5" x14ac:dyDescent="0.25">
      <c r="J804" s="115"/>
      <c r="K804" s="115"/>
      <c r="L804" s="115"/>
      <c r="M804" s="115"/>
      <c r="N804" s="115"/>
      <c r="O804" s="115"/>
      <c r="P804" s="115"/>
    </row>
    <row r="805" spans="10:16" ht="12.5" x14ac:dyDescent="0.25">
      <c r="J805" s="115"/>
      <c r="K805" s="115"/>
      <c r="L805" s="115"/>
      <c r="M805" s="115"/>
      <c r="N805" s="115"/>
      <c r="O805" s="115"/>
      <c r="P805" s="115"/>
    </row>
    <row r="806" spans="10:16" ht="12.5" x14ac:dyDescent="0.25">
      <c r="J806" s="115"/>
      <c r="K806" s="115"/>
      <c r="L806" s="115"/>
      <c r="M806" s="115"/>
      <c r="N806" s="115"/>
      <c r="O806" s="115"/>
      <c r="P806" s="115"/>
    </row>
    <row r="807" spans="10:16" ht="12.5" x14ac:dyDescent="0.25">
      <c r="J807" s="115"/>
      <c r="K807" s="115"/>
      <c r="L807" s="115"/>
      <c r="M807" s="115"/>
      <c r="N807" s="115"/>
      <c r="O807" s="115"/>
      <c r="P807" s="115"/>
    </row>
    <row r="808" spans="10:16" ht="12.5" x14ac:dyDescent="0.25">
      <c r="J808" s="115"/>
      <c r="K808" s="115"/>
      <c r="L808" s="115"/>
      <c r="M808" s="115"/>
      <c r="N808" s="115"/>
      <c r="O808" s="115"/>
      <c r="P808" s="115"/>
    </row>
    <row r="809" spans="10:16" ht="12.5" x14ac:dyDescent="0.25">
      <c r="J809" s="115"/>
      <c r="K809" s="115"/>
      <c r="L809" s="115"/>
      <c r="M809" s="115"/>
      <c r="N809" s="115"/>
      <c r="O809" s="115"/>
      <c r="P809" s="115"/>
    </row>
    <row r="810" spans="10:16" ht="12.5" x14ac:dyDescent="0.25">
      <c r="J810" s="115"/>
      <c r="K810" s="115"/>
      <c r="L810" s="115"/>
      <c r="M810" s="115"/>
      <c r="N810" s="115"/>
      <c r="O810" s="115"/>
      <c r="P810" s="115"/>
    </row>
    <row r="811" spans="10:16" ht="12.5" x14ac:dyDescent="0.25">
      <c r="J811" s="115"/>
      <c r="K811" s="115"/>
      <c r="L811" s="115"/>
      <c r="M811" s="115"/>
      <c r="N811" s="115"/>
      <c r="O811" s="115"/>
      <c r="P811" s="115"/>
    </row>
    <row r="812" spans="10:16" ht="12.5" x14ac:dyDescent="0.25">
      <c r="J812" s="115"/>
      <c r="K812" s="115"/>
      <c r="L812" s="115"/>
      <c r="M812" s="115"/>
      <c r="N812" s="115"/>
      <c r="O812" s="115"/>
      <c r="P812" s="115"/>
    </row>
    <row r="813" spans="10:16" ht="12.5" x14ac:dyDescent="0.25">
      <c r="J813" s="115"/>
      <c r="K813" s="115"/>
      <c r="L813" s="115"/>
      <c r="M813" s="115"/>
      <c r="N813" s="115"/>
      <c r="O813" s="115"/>
      <c r="P813" s="115"/>
    </row>
    <row r="814" spans="10:16" ht="12.5" x14ac:dyDescent="0.25">
      <c r="J814" s="115"/>
      <c r="K814" s="115"/>
      <c r="L814" s="115"/>
      <c r="M814" s="115"/>
      <c r="N814" s="115"/>
      <c r="O814" s="115"/>
      <c r="P814" s="115"/>
    </row>
    <row r="815" spans="10:16" ht="12.5" x14ac:dyDescent="0.25">
      <c r="J815" s="115"/>
      <c r="K815" s="115"/>
      <c r="L815" s="115"/>
      <c r="M815" s="115"/>
      <c r="N815" s="115"/>
      <c r="O815" s="115"/>
      <c r="P815" s="115"/>
    </row>
    <row r="816" spans="10:16" ht="12.5" x14ac:dyDescent="0.25">
      <c r="J816" s="115"/>
      <c r="K816" s="115"/>
      <c r="L816" s="115"/>
      <c r="M816" s="115"/>
      <c r="N816" s="115"/>
      <c r="O816" s="115"/>
      <c r="P816" s="115"/>
    </row>
    <row r="817" spans="10:16" ht="12.5" x14ac:dyDescent="0.25">
      <c r="J817" s="115"/>
      <c r="K817" s="115"/>
      <c r="L817" s="115"/>
      <c r="M817" s="115"/>
      <c r="N817" s="115"/>
      <c r="O817" s="115"/>
      <c r="P817" s="115"/>
    </row>
    <row r="818" spans="10:16" ht="12.5" x14ac:dyDescent="0.25">
      <c r="J818" s="115"/>
      <c r="K818" s="115"/>
      <c r="L818" s="115"/>
      <c r="M818" s="115"/>
      <c r="N818" s="115"/>
      <c r="O818" s="115"/>
      <c r="P818" s="115"/>
    </row>
    <row r="819" spans="10:16" ht="12.5" x14ac:dyDescent="0.25">
      <c r="J819" s="115"/>
      <c r="K819" s="115"/>
      <c r="L819" s="115"/>
      <c r="M819" s="115"/>
      <c r="N819" s="115"/>
      <c r="O819" s="115"/>
      <c r="P819" s="115"/>
    </row>
    <row r="820" spans="10:16" ht="12.5" x14ac:dyDescent="0.25">
      <c r="J820" s="115"/>
      <c r="K820" s="115"/>
      <c r="L820" s="115"/>
      <c r="M820" s="115"/>
      <c r="N820" s="115"/>
      <c r="O820" s="115"/>
      <c r="P820" s="115"/>
    </row>
    <row r="821" spans="10:16" ht="12.5" x14ac:dyDescent="0.25">
      <c r="J821" s="115"/>
      <c r="K821" s="115"/>
      <c r="L821" s="115"/>
      <c r="M821" s="115"/>
      <c r="N821" s="115"/>
      <c r="O821" s="115"/>
      <c r="P821" s="115"/>
    </row>
    <row r="822" spans="10:16" ht="12.5" x14ac:dyDescent="0.25">
      <c r="J822" s="115"/>
      <c r="K822" s="115"/>
      <c r="L822" s="115"/>
      <c r="M822" s="115"/>
      <c r="N822" s="115"/>
      <c r="O822" s="115"/>
      <c r="P822" s="115"/>
    </row>
    <row r="823" spans="10:16" ht="12.5" x14ac:dyDescent="0.25">
      <c r="J823" s="115"/>
      <c r="K823" s="115"/>
      <c r="L823" s="115"/>
      <c r="M823" s="115"/>
      <c r="N823" s="115"/>
      <c r="O823" s="115"/>
      <c r="P823" s="115"/>
    </row>
    <row r="824" spans="10:16" ht="12.5" x14ac:dyDescent="0.25">
      <c r="J824" s="115"/>
      <c r="K824" s="115"/>
      <c r="L824" s="115"/>
      <c r="M824" s="115"/>
      <c r="N824" s="115"/>
      <c r="O824" s="115"/>
      <c r="P824" s="115"/>
    </row>
    <row r="825" spans="10:16" ht="12.5" x14ac:dyDescent="0.25">
      <c r="J825" s="115"/>
      <c r="K825" s="115"/>
      <c r="L825" s="115"/>
      <c r="M825" s="115"/>
      <c r="N825" s="115"/>
      <c r="O825" s="115"/>
      <c r="P825" s="115"/>
    </row>
    <row r="826" spans="10:16" ht="12.5" x14ac:dyDescent="0.25">
      <c r="J826" s="115"/>
      <c r="K826" s="115"/>
      <c r="L826" s="115"/>
      <c r="M826" s="115"/>
      <c r="N826" s="115"/>
      <c r="O826" s="115"/>
      <c r="P826" s="115"/>
    </row>
    <row r="827" spans="10:16" ht="12.5" x14ac:dyDescent="0.25">
      <c r="J827" s="115"/>
      <c r="K827" s="115"/>
      <c r="L827" s="115"/>
      <c r="M827" s="115"/>
      <c r="N827" s="115"/>
      <c r="O827" s="115"/>
      <c r="P827" s="115"/>
    </row>
    <row r="828" spans="10:16" ht="12.5" x14ac:dyDescent="0.25">
      <c r="J828" s="115"/>
      <c r="K828" s="115"/>
      <c r="L828" s="115"/>
      <c r="M828" s="115"/>
      <c r="N828" s="115"/>
      <c r="O828" s="115"/>
      <c r="P828" s="115"/>
    </row>
    <row r="829" spans="10:16" ht="12.5" x14ac:dyDescent="0.25">
      <c r="J829" s="115"/>
      <c r="K829" s="115"/>
      <c r="L829" s="115"/>
      <c r="M829" s="115"/>
      <c r="N829" s="115"/>
      <c r="O829" s="115"/>
      <c r="P829" s="115"/>
    </row>
    <row r="830" spans="10:16" ht="12.5" x14ac:dyDescent="0.25">
      <c r="J830" s="115"/>
      <c r="K830" s="115"/>
      <c r="L830" s="115"/>
      <c r="M830" s="115"/>
      <c r="N830" s="115"/>
      <c r="O830" s="115"/>
      <c r="P830" s="115"/>
    </row>
    <row r="831" spans="10:16" ht="12.5" x14ac:dyDescent="0.25">
      <c r="J831" s="115"/>
      <c r="K831" s="115"/>
      <c r="L831" s="115"/>
      <c r="M831" s="115"/>
      <c r="N831" s="115"/>
      <c r="O831" s="115"/>
      <c r="P831" s="115"/>
    </row>
    <row r="832" spans="10:16" ht="12.5" x14ac:dyDescent="0.25">
      <c r="J832" s="115"/>
      <c r="K832" s="115"/>
      <c r="L832" s="115"/>
      <c r="M832" s="115"/>
      <c r="N832" s="115"/>
      <c r="O832" s="115"/>
      <c r="P832" s="115"/>
    </row>
    <row r="833" spans="10:16" ht="12.5" x14ac:dyDescent="0.25">
      <c r="J833" s="115"/>
      <c r="K833" s="115"/>
      <c r="L833" s="115"/>
      <c r="M833" s="115"/>
      <c r="N833" s="115"/>
      <c r="O833" s="115"/>
      <c r="P833" s="115"/>
    </row>
    <row r="834" spans="10:16" ht="12.5" x14ac:dyDescent="0.25">
      <c r="J834" s="115"/>
      <c r="K834" s="115"/>
      <c r="L834" s="115"/>
      <c r="M834" s="115"/>
      <c r="N834" s="115"/>
      <c r="O834" s="115"/>
      <c r="P834" s="115"/>
    </row>
    <row r="835" spans="10:16" ht="12.5" x14ac:dyDescent="0.25">
      <c r="J835" s="115"/>
      <c r="K835" s="115"/>
      <c r="L835" s="115"/>
      <c r="M835" s="115"/>
      <c r="N835" s="115"/>
      <c r="O835" s="115"/>
      <c r="P835" s="115"/>
    </row>
    <row r="836" spans="10:16" ht="12.5" x14ac:dyDescent="0.25">
      <c r="J836" s="115"/>
      <c r="K836" s="115"/>
      <c r="L836" s="115"/>
      <c r="M836" s="115"/>
      <c r="N836" s="115"/>
      <c r="O836" s="115"/>
      <c r="P836" s="115"/>
    </row>
    <row r="837" spans="10:16" ht="12.5" x14ac:dyDescent="0.25">
      <c r="J837" s="115"/>
      <c r="K837" s="115"/>
      <c r="L837" s="115"/>
      <c r="M837" s="115"/>
      <c r="N837" s="115"/>
      <c r="O837" s="115"/>
      <c r="P837" s="115"/>
    </row>
    <row r="838" spans="10:16" ht="12.5" x14ac:dyDescent="0.25">
      <c r="J838" s="115"/>
      <c r="K838" s="115"/>
      <c r="L838" s="115"/>
      <c r="M838" s="115"/>
      <c r="N838" s="115"/>
      <c r="O838" s="115"/>
      <c r="P838" s="115"/>
    </row>
    <row r="839" spans="10:16" ht="12.5" x14ac:dyDescent="0.25">
      <c r="J839" s="115"/>
      <c r="K839" s="115"/>
      <c r="L839" s="115"/>
      <c r="M839" s="115"/>
      <c r="N839" s="115"/>
      <c r="O839" s="115"/>
      <c r="P839" s="115"/>
    </row>
    <row r="840" spans="10:16" ht="12.5" x14ac:dyDescent="0.25">
      <c r="J840" s="115"/>
      <c r="K840" s="115"/>
      <c r="L840" s="115"/>
      <c r="M840" s="115"/>
      <c r="N840" s="115"/>
      <c r="O840" s="115"/>
      <c r="P840" s="115"/>
    </row>
    <row r="841" spans="10:16" ht="12.5" x14ac:dyDescent="0.25">
      <c r="J841" s="115"/>
      <c r="K841" s="115"/>
      <c r="L841" s="115"/>
      <c r="M841" s="115"/>
      <c r="N841" s="115"/>
      <c r="O841" s="115"/>
      <c r="P841" s="115"/>
    </row>
    <row r="842" spans="10:16" ht="12.5" x14ac:dyDescent="0.25">
      <c r="J842" s="115"/>
      <c r="K842" s="115"/>
      <c r="L842" s="115"/>
      <c r="M842" s="115"/>
      <c r="N842" s="115"/>
      <c r="O842" s="115"/>
      <c r="P842" s="115"/>
    </row>
    <row r="843" spans="10:16" ht="12.5" x14ac:dyDescent="0.25">
      <c r="J843" s="115"/>
      <c r="K843" s="115"/>
      <c r="L843" s="115"/>
      <c r="M843" s="115"/>
      <c r="N843" s="115"/>
      <c r="O843" s="115"/>
      <c r="P843" s="115"/>
    </row>
    <row r="844" spans="10:16" ht="12.5" x14ac:dyDescent="0.25">
      <c r="J844" s="115"/>
      <c r="K844" s="115"/>
      <c r="L844" s="115"/>
      <c r="M844" s="115"/>
      <c r="N844" s="115"/>
      <c r="O844" s="115"/>
      <c r="P844" s="115"/>
    </row>
    <row r="845" spans="10:16" ht="12.5" x14ac:dyDescent="0.25">
      <c r="J845" s="115"/>
      <c r="K845" s="115"/>
      <c r="L845" s="115"/>
      <c r="M845" s="115"/>
      <c r="N845" s="115"/>
      <c r="O845" s="115"/>
      <c r="P845" s="115"/>
    </row>
    <row r="846" spans="10:16" ht="12.5" x14ac:dyDescent="0.25">
      <c r="J846" s="115"/>
      <c r="K846" s="115"/>
      <c r="L846" s="115"/>
      <c r="M846" s="115"/>
      <c r="N846" s="115"/>
      <c r="O846" s="115"/>
      <c r="P846" s="115"/>
    </row>
    <row r="847" spans="10:16" ht="12.5" x14ac:dyDescent="0.25">
      <c r="J847" s="115"/>
      <c r="K847" s="115"/>
      <c r="L847" s="115"/>
      <c r="M847" s="115"/>
      <c r="N847" s="115"/>
      <c r="O847" s="115"/>
      <c r="P847" s="115"/>
    </row>
    <row r="848" spans="10:16" ht="12.5" x14ac:dyDescent="0.25">
      <c r="J848" s="115"/>
      <c r="K848" s="115"/>
      <c r="L848" s="115"/>
      <c r="M848" s="115"/>
      <c r="N848" s="115"/>
      <c r="O848" s="115"/>
      <c r="P848" s="115"/>
    </row>
    <row r="849" spans="10:16" ht="12.5" x14ac:dyDescent="0.25">
      <c r="J849" s="115"/>
      <c r="K849" s="115"/>
      <c r="L849" s="115"/>
      <c r="M849" s="115"/>
      <c r="N849" s="115"/>
      <c r="O849" s="115"/>
      <c r="P849" s="115"/>
    </row>
    <row r="850" spans="10:16" ht="12.5" x14ac:dyDescent="0.25">
      <c r="J850" s="115"/>
      <c r="K850" s="115"/>
      <c r="L850" s="115"/>
      <c r="M850" s="115"/>
      <c r="N850" s="115"/>
      <c r="O850" s="115"/>
      <c r="P850" s="115"/>
    </row>
    <row r="851" spans="10:16" ht="12.5" x14ac:dyDescent="0.25">
      <c r="J851" s="115"/>
      <c r="K851" s="115"/>
      <c r="L851" s="115"/>
      <c r="M851" s="115"/>
      <c r="N851" s="115"/>
      <c r="O851" s="115"/>
      <c r="P851" s="115"/>
    </row>
    <row r="852" spans="10:16" ht="12.5" x14ac:dyDescent="0.25">
      <c r="J852" s="115"/>
      <c r="K852" s="115"/>
      <c r="L852" s="115"/>
      <c r="M852" s="115"/>
      <c r="N852" s="115"/>
      <c r="O852" s="115"/>
      <c r="P852" s="115"/>
    </row>
    <row r="853" spans="10:16" ht="12.5" x14ac:dyDescent="0.25">
      <c r="J853" s="115"/>
      <c r="K853" s="115"/>
      <c r="L853" s="115"/>
      <c r="M853" s="115"/>
      <c r="N853" s="115"/>
      <c r="O853" s="115"/>
      <c r="P853" s="115"/>
    </row>
    <row r="854" spans="10:16" ht="12.5" x14ac:dyDescent="0.25">
      <c r="J854" s="115"/>
      <c r="K854" s="115"/>
      <c r="L854" s="115"/>
      <c r="M854" s="115"/>
      <c r="N854" s="115"/>
      <c r="O854" s="115"/>
      <c r="P854" s="115"/>
    </row>
    <row r="855" spans="10:16" ht="12.5" x14ac:dyDescent="0.25">
      <c r="J855" s="115"/>
      <c r="K855" s="115"/>
      <c r="L855" s="115"/>
      <c r="M855" s="115"/>
      <c r="N855" s="115"/>
      <c r="O855" s="115"/>
      <c r="P855" s="115"/>
    </row>
    <row r="856" spans="10:16" ht="12.5" x14ac:dyDescent="0.25">
      <c r="J856" s="115"/>
      <c r="K856" s="115"/>
      <c r="L856" s="115"/>
      <c r="M856" s="115"/>
      <c r="N856" s="115"/>
      <c r="O856" s="115"/>
      <c r="P856" s="115"/>
    </row>
    <row r="857" spans="10:16" ht="12.5" x14ac:dyDescent="0.25">
      <c r="J857" s="115"/>
      <c r="K857" s="115"/>
      <c r="L857" s="115"/>
      <c r="M857" s="115"/>
      <c r="N857" s="115"/>
      <c r="O857" s="115"/>
      <c r="P857" s="115"/>
    </row>
    <row r="858" spans="10:16" ht="12.5" x14ac:dyDescent="0.25">
      <c r="J858" s="115"/>
      <c r="K858" s="115"/>
      <c r="L858" s="115"/>
      <c r="M858" s="115"/>
      <c r="N858" s="115"/>
      <c r="O858" s="115"/>
      <c r="P858" s="115"/>
    </row>
    <row r="859" spans="10:16" ht="12.5" x14ac:dyDescent="0.25">
      <c r="J859" s="115"/>
      <c r="K859" s="115"/>
      <c r="L859" s="115"/>
      <c r="M859" s="115"/>
      <c r="N859" s="115"/>
      <c r="O859" s="115"/>
      <c r="P859" s="115"/>
    </row>
    <row r="860" spans="10:16" ht="12.5" x14ac:dyDescent="0.25">
      <c r="J860" s="115"/>
      <c r="K860" s="115"/>
      <c r="L860" s="115"/>
      <c r="M860" s="115"/>
      <c r="N860" s="115"/>
      <c r="O860" s="115"/>
      <c r="P860" s="115"/>
    </row>
    <row r="861" spans="10:16" ht="12.5" x14ac:dyDescent="0.25">
      <c r="J861" s="115"/>
      <c r="K861" s="115"/>
      <c r="L861" s="115"/>
      <c r="M861" s="115"/>
      <c r="N861" s="115"/>
      <c r="O861" s="115"/>
      <c r="P861" s="115"/>
    </row>
    <row r="862" spans="10:16" ht="12.5" x14ac:dyDescent="0.25">
      <c r="J862" s="115"/>
      <c r="K862" s="115"/>
      <c r="L862" s="115"/>
      <c r="M862" s="115"/>
      <c r="N862" s="115"/>
      <c r="O862" s="115"/>
      <c r="P862" s="115"/>
    </row>
    <row r="863" spans="10:16" ht="12.5" x14ac:dyDescent="0.25">
      <c r="J863" s="115"/>
      <c r="K863" s="115"/>
      <c r="L863" s="115"/>
      <c r="M863" s="115"/>
      <c r="N863" s="115"/>
      <c r="O863" s="115"/>
      <c r="P863" s="115"/>
    </row>
    <row r="864" spans="10:16" ht="12.5" x14ac:dyDescent="0.25">
      <c r="J864" s="115"/>
      <c r="K864" s="115"/>
      <c r="L864" s="115"/>
      <c r="M864" s="115"/>
      <c r="N864" s="115"/>
      <c r="O864" s="115"/>
      <c r="P864" s="115"/>
    </row>
    <row r="865" spans="10:16" ht="12.5" x14ac:dyDescent="0.25">
      <c r="J865" s="115"/>
      <c r="K865" s="115"/>
      <c r="L865" s="115"/>
      <c r="M865" s="115"/>
      <c r="N865" s="115"/>
      <c r="O865" s="115"/>
      <c r="P865" s="115"/>
    </row>
    <row r="866" spans="10:16" ht="12.5" x14ac:dyDescent="0.25">
      <c r="J866" s="115"/>
      <c r="K866" s="115"/>
      <c r="L866" s="115"/>
      <c r="M866" s="115"/>
      <c r="N866" s="115"/>
      <c r="O866" s="115"/>
      <c r="P866" s="115"/>
    </row>
    <row r="867" spans="10:16" ht="12.5" x14ac:dyDescent="0.25">
      <c r="J867" s="115"/>
      <c r="K867" s="115"/>
      <c r="L867" s="115"/>
      <c r="M867" s="115"/>
      <c r="N867" s="115"/>
      <c r="O867" s="115"/>
      <c r="P867" s="115"/>
    </row>
    <row r="868" spans="10:16" ht="12.5" x14ac:dyDescent="0.25">
      <c r="J868" s="115"/>
      <c r="K868" s="115"/>
      <c r="L868" s="115"/>
      <c r="M868" s="115"/>
      <c r="N868" s="115"/>
      <c r="O868" s="115"/>
      <c r="P868" s="115"/>
    </row>
    <row r="869" spans="10:16" ht="12.5" x14ac:dyDescent="0.25">
      <c r="J869" s="115"/>
      <c r="K869" s="115"/>
      <c r="L869" s="115"/>
      <c r="M869" s="115"/>
      <c r="N869" s="115"/>
      <c r="O869" s="115"/>
      <c r="P869" s="115"/>
    </row>
    <row r="870" spans="10:16" ht="12.5" x14ac:dyDescent="0.25">
      <c r="J870" s="115"/>
      <c r="K870" s="115"/>
      <c r="L870" s="115"/>
      <c r="M870" s="115"/>
      <c r="N870" s="115"/>
      <c r="O870" s="115"/>
      <c r="P870" s="115"/>
    </row>
    <row r="871" spans="10:16" ht="12.5" x14ac:dyDescent="0.25">
      <c r="J871" s="115"/>
      <c r="K871" s="115"/>
      <c r="L871" s="115"/>
      <c r="M871" s="115"/>
      <c r="N871" s="115"/>
      <c r="O871" s="115"/>
      <c r="P871" s="115"/>
    </row>
    <row r="872" spans="10:16" ht="12.5" x14ac:dyDescent="0.25">
      <c r="J872" s="115"/>
      <c r="K872" s="115"/>
      <c r="L872" s="115"/>
      <c r="M872" s="115"/>
      <c r="N872" s="115"/>
      <c r="O872" s="115"/>
      <c r="P872" s="115"/>
    </row>
    <row r="873" spans="10:16" ht="12.5" x14ac:dyDescent="0.25">
      <c r="J873" s="115"/>
      <c r="K873" s="115"/>
      <c r="L873" s="115"/>
      <c r="M873" s="115"/>
      <c r="N873" s="115"/>
      <c r="O873" s="115"/>
      <c r="P873" s="115"/>
    </row>
    <row r="874" spans="10:16" ht="12.5" x14ac:dyDescent="0.25">
      <c r="J874" s="115"/>
      <c r="K874" s="115"/>
      <c r="L874" s="115"/>
      <c r="M874" s="115"/>
      <c r="N874" s="115"/>
      <c r="O874" s="115"/>
      <c r="P874" s="115"/>
    </row>
    <row r="875" spans="10:16" ht="12.5" x14ac:dyDescent="0.25">
      <c r="J875" s="115"/>
      <c r="K875" s="115"/>
      <c r="L875" s="115"/>
      <c r="M875" s="115"/>
      <c r="N875" s="115"/>
      <c r="O875" s="115"/>
      <c r="P875" s="115"/>
    </row>
    <row r="876" spans="10:16" ht="12.5" x14ac:dyDescent="0.25">
      <c r="J876" s="115"/>
      <c r="K876" s="115"/>
      <c r="L876" s="115"/>
      <c r="M876" s="115"/>
      <c r="N876" s="115"/>
      <c r="O876" s="115"/>
      <c r="P876" s="115"/>
    </row>
    <row r="877" spans="10:16" ht="12.5" x14ac:dyDescent="0.25">
      <c r="J877" s="115"/>
      <c r="K877" s="115"/>
      <c r="L877" s="115"/>
      <c r="M877" s="115"/>
      <c r="N877" s="115"/>
      <c r="O877" s="115"/>
      <c r="P877" s="115"/>
    </row>
    <row r="878" spans="10:16" ht="12.5" x14ac:dyDescent="0.25">
      <c r="J878" s="115"/>
      <c r="K878" s="115"/>
      <c r="L878" s="115"/>
      <c r="M878" s="115"/>
      <c r="N878" s="115"/>
      <c r="O878" s="115"/>
      <c r="P878" s="115"/>
    </row>
    <row r="879" spans="10:16" ht="12.5" x14ac:dyDescent="0.25">
      <c r="J879" s="115"/>
      <c r="K879" s="115"/>
      <c r="L879" s="115"/>
      <c r="M879" s="115"/>
      <c r="N879" s="115"/>
      <c r="O879" s="115"/>
      <c r="P879" s="115"/>
    </row>
    <row r="880" spans="10:16" ht="12.5" x14ac:dyDescent="0.25">
      <c r="J880" s="115"/>
      <c r="K880" s="115"/>
      <c r="L880" s="115"/>
      <c r="M880" s="115"/>
      <c r="N880" s="115"/>
      <c r="O880" s="115"/>
      <c r="P880" s="115"/>
    </row>
    <row r="881" spans="10:16" ht="12.5" x14ac:dyDescent="0.25">
      <c r="J881" s="115"/>
      <c r="K881" s="115"/>
      <c r="L881" s="115"/>
      <c r="M881" s="115"/>
      <c r="N881" s="115"/>
      <c r="O881" s="115"/>
      <c r="P881" s="115"/>
    </row>
    <row r="882" spans="10:16" ht="12.5" x14ac:dyDescent="0.25">
      <c r="J882" s="115"/>
      <c r="K882" s="115"/>
      <c r="L882" s="115"/>
      <c r="M882" s="115"/>
      <c r="N882" s="115"/>
      <c r="O882" s="115"/>
      <c r="P882" s="115"/>
    </row>
    <row r="883" spans="10:16" ht="12.5" x14ac:dyDescent="0.25">
      <c r="J883" s="115"/>
      <c r="K883" s="115"/>
      <c r="L883" s="115"/>
      <c r="M883" s="115"/>
      <c r="N883" s="115"/>
      <c r="O883" s="115"/>
      <c r="P883" s="115"/>
    </row>
    <row r="884" spans="10:16" ht="12.5" x14ac:dyDescent="0.25">
      <c r="J884" s="115"/>
      <c r="K884" s="115"/>
      <c r="L884" s="115"/>
      <c r="M884" s="115"/>
      <c r="N884" s="115"/>
      <c r="O884" s="115"/>
      <c r="P884" s="115"/>
    </row>
    <row r="885" spans="10:16" ht="12.5" x14ac:dyDescent="0.25">
      <c r="J885" s="115"/>
      <c r="K885" s="115"/>
      <c r="L885" s="115"/>
      <c r="M885" s="115"/>
      <c r="N885" s="115"/>
      <c r="O885" s="115"/>
      <c r="P885" s="115"/>
    </row>
    <row r="886" spans="10:16" ht="12.5" x14ac:dyDescent="0.25">
      <c r="J886" s="115"/>
      <c r="K886" s="115"/>
      <c r="L886" s="115"/>
      <c r="M886" s="115"/>
      <c r="N886" s="115"/>
      <c r="O886" s="115"/>
      <c r="P886" s="115"/>
    </row>
    <row r="887" spans="10:16" ht="12.5" x14ac:dyDescent="0.25">
      <c r="J887" s="115"/>
      <c r="K887" s="115"/>
      <c r="L887" s="115"/>
      <c r="M887" s="115"/>
      <c r="N887" s="115"/>
      <c r="O887" s="115"/>
      <c r="P887" s="115"/>
    </row>
    <row r="888" spans="10:16" ht="12.5" x14ac:dyDescent="0.25">
      <c r="J888" s="115"/>
      <c r="K888" s="115"/>
      <c r="L888" s="115"/>
      <c r="M888" s="115"/>
      <c r="N888" s="115"/>
      <c r="O888" s="115"/>
      <c r="P888" s="115"/>
    </row>
    <row r="889" spans="10:16" ht="12.5" x14ac:dyDescent="0.25">
      <c r="J889" s="115"/>
      <c r="K889" s="115"/>
      <c r="L889" s="115"/>
      <c r="M889" s="115"/>
      <c r="N889" s="115"/>
      <c r="O889" s="115"/>
      <c r="P889" s="115"/>
    </row>
    <row r="890" spans="10:16" ht="12.5" x14ac:dyDescent="0.25">
      <c r="J890" s="115"/>
      <c r="K890" s="115"/>
      <c r="L890" s="115"/>
      <c r="M890" s="115"/>
      <c r="N890" s="115"/>
      <c r="O890" s="115"/>
      <c r="P890" s="115"/>
    </row>
    <row r="891" spans="10:16" ht="12.5" x14ac:dyDescent="0.25">
      <c r="J891" s="115"/>
      <c r="K891" s="115"/>
      <c r="L891" s="115"/>
      <c r="M891" s="115"/>
      <c r="N891" s="115"/>
      <c r="O891" s="115"/>
      <c r="P891" s="115"/>
    </row>
    <row r="892" spans="10:16" ht="12.5" x14ac:dyDescent="0.25">
      <c r="J892" s="115"/>
      <c r="K892" s="115"/>
      <c r="L892" s="115"/>
      <c r="M892" s="115"/>
      <c r="N892" s="115"/>
      <c r="O892" s="115"/>
      <c r="P892" s="115"/>
    </row>
    <row r="893" spans="10:16" ht="12.5" x14ac:dyDescent="0.25">
      <c r="J893" s="115"/>
      <c r="K893" s="115"/>
      <c r="L893" s="115"/>
      <c r="M893" s="115"/>
      <c r="N893" s="115"/>
      <c r="O893" s="115"/>
      <c r="P893" s="115"/>
    </row>
    <row r="894" spans="10:16" ht="12.5" x14ac:dyDescent="0.25">
      <c r="J894" s="115"/>
      <c r="K894" s="115"/>
      <c r="L894" s="115"/>
      <c r="M894" s="115"/>
      <c r="N894" s="115"/>
      <c r="O894" s="115"/>
      <c r="P894" s="115"/>
    </row>
    <row r="895" spans="10:16" ht="12.5" x14ac:dyDescent="0.25">
      <c r="J895" s="115"/>
      <c r="K895" s="115"/>
      <c r="L895" s="115"/>
      <c r="M895" s="115"/>
      <c r="N895" s="115"/>
      <c r="O895" s="115"/>
      <c r="P895" s="115"/>
    </row>
    <row r="896" spans="10:16" ht="12.5" x14ac:dyDescent="0.25">
      <c r="J896" s="115"/>
      <c r="K896" s="115"/>
      <c r="L896" s="115"/>
      <c r="M896" s="115"/>
      <c r="N896" s="115"/>
      <c r="O896" s="115"/>
      <c r="P896" s="115"/>
    </row>
    <row r="897" spans="10:16" ht="12.5" x14ac:dyDescent="0.25">
      <c r="J897" s="115"/>
      <c r="K897" s="115"/>
      <c r="L897" s="115"/>
      <c r="M897" s="115"/>
      <c r="N897" s="115"/>
      <c r="O897" s="115"/>
      <c r="P897" s="115"/>
    </row>
    <row r="898" spans="10:16" ht="12.5" x14ac:dyDescent="0.25">
      <c r="J898" s="115"/>
      <c r="K898" s="115"/>
      <c r="L898" s="115"/>
      <c r="M898" s="115"/>
      <c r="N898" s="115"/>
      <c r="O898" s="115"/>
      <c r="P898" s="115"/>
    </row>
    <row r="899" spans="10:16" ht="12.5" x14ac:dyDescent="0.25">
      <c r="J899" s="115"/>
      <c r="K899" s="115"/>
      <c r="L899" s="115"/>
      <c r="M899" s="115"/>
      <c r="N899" s="115"/>
      <c r="O899" s="115"/>
      <c r="P899" s="115"/>
    </row>
    <row r="900" spans="10:16" ht="12.5" x14ac:dyDescent="0.25">
      <c r="J900" s="115"/>
      <c r="K900" s="115"/>
      <c r="L900" s="115"/>
      <c r="M900" s="115"/>
      <c r="N900" s="115"/>
      <c r="O900" s="115"/>
      <c r="P900" s="115"/>
    </row>
    <row r="901" spans="10:16" ht="12.5" x14ac:dyDescent="0.25">
      <c r="J901" s="115"/>
      <c r="K901" s="115"/>
      <c r="L901" s="115"/>
      <c r="M901" s="115"/>
      <c r="N901" s="115"/>
      <c r="O901" s="115"/>
      <c r="P901" s="115"/>
    </row>
    <row r="902" spans="10:16" ht="12.5" x14ac:dyDescent="0.25">
      <c r="J902" s="115"/>
      <c r="K902" s="115"/>
      <c r="L902" s="115"/>
      <c r="M902" s="115"/>
      <c r="N902" s="115"/>
      <c r="O902" s="115"/>
      <c r="P902" s="115"/>
    </row>
    <row r="903" spans="10:16" ht="12.5" x14ac:dyDescent="0.25">
      <c r="J903" s="115"/>
      <c r="K903" s="115"/>
      <c r="L903" s="115"/>
      <c r="M903" s="115"/>
      <c r="N903" s="115"/>
      <c r="O903" s="115"/>
      <c r="P903" s="115"/>
    </row>
    <row r="904" spans="10:16" ht="12.5" x14ac:dyDescent="0.25">
      <c r="J904" s="115"/>
      <c r="K904" s="115"/>
      <c r="L904" s="115"/>
      <c r="M904" s="115"/>
      <c r="N904" s="115"/>
      <c r="O904" s="115"/>
      <c r="P904" s="115"/>
    </row>
    <row r="905" spans="10:16" ht="12.5" x14ac:dyDescent="0.25">
      <c r="J905" s="115"/>
      <c r="K905" s="115"/>
      <c r="L905" s="115"/>
      <c r="M905" s="115"/>
      <c r="N905" s="115"/>
      <c r="O905" s="115"/>
      <c r="P905" s="115"/>
    </row>
    <row r="906" spans="10:16" ht="12.5" x14ac:dyDescent="0.25">
      <c r="J906" s="115"/>
      <c r="K906" s="115"/>
      <c r="L906" s="115"/>
      <c r="M906" s="115"/>
      <c r="N906" s="115"/>
      <c r="O906" s="115"/>
      <c r="P906" s="115"/>
    </row>
    <row r="907" spans="10:16" ht="12.5" x14ac:dyDescent="0.25">
      <c r="J907" s="115"/>
      <c r="K907" s="115"/>
      <c r="L907" s="115"/>
      <c r="M907" s="115"/>
      <c r="N907" s="115"/>
      <c r="O907" s="115"/>
      <c r="P907" s="115"/>
    </row>
    <row r="908" spans="10:16" ht="12.5" x14ac:dyDescent="0.25">
      <c r="J908" s="115"/>
      <c r="K908" s="115"/>
      <c r="L908" s="115"/>
      <c r="M908" s="115"/>
      <c r="N908" s="115"/>
      <c r="O908" s="115"/>
      <c r="P908" s="115"/>
    </row>
    <row r="909" spans="10:16" ht="12.5" x14ac:dyDescent="0.25">
      <c r="J909" s="115"/>
      <c r="K909" s="115"/>
      <c r="L909" s="115"/>
      <c r="M909" s="115"/>
      <c r="N909" s="115"/>
      <c r="O909" s="115"/>
      <c r="P909" s="115"/>
    </row>
    <row r="910" spans="10:16" ht="12.5" x14ac:dyDescent="0.25">
      <c r="J910" s="115"/>
      <c r="K910" s="115"/>
      <c r="L910" s="115"/>
      <c r="M910" s="115"/>
      <c r="N910" s="115"/>
      <c r="O910" s="115"/>
      <c r="P910" s="115"/>
    </row>
    <row r="911" spans="10:16" ht="12.5" x14ac:dyDescent="0.25">
      <c r="J911" s="115"/>
      <c r="K911" s="115"/>
      <c r="L911" s="115"/>
      <c r="M911" s="115"/>
      <c r="N911" s="115"/>
      <c r="O911" s="115"/>
      <c r="P911" s="115"/>
    </row>
    <row r="912" spans="10:16" ht="12.5" x14ac:dyDescent="0.25">
      <c r="J912" s="115"/>
      <c r="K912" s="115"/>
      <c r="L912" s="115"/>
      <c r="M912" s="115"/>
      <c r="N912" s="115"/>
      <c r="O912" s="115"/>
      <c r="P912" s="115"/>
    </row>
    <row r="913" spans="10:16" ht="12.5" x14ac:dyDescent="0.25">
      <c r="J913" s="115"/>
      <c r="K913" s="115"/>
      <c r="L913" s="115"/>
      <c r="M913" s="115"/>
      <c r="N913" s="115"/>
      <c r="O913" s="115"/>
      <c r="P913" s="115"/>
    </row>
    <row r="914" spans="10:16" ht="12.5" x14ac:dyDescent="0.25">
      <c r="J914" s="115"/>
      <c r="K914" s="115"/>
      <c r="L914" s="115"/>
      <c r="M914" s="115"/>
      <c r="N914" s="115"/>
      <c r="O914" s="115"/>
      <c r="P914" s="115"/>
    </row>
    <row r="915" spans="10:16" ht="12.5" x14ac:dyDescent="0.25">
      <c r="J915" s="115"/>
      <c r="K915" s="115"/>
      <c r="L915" s="115"/>
      <c r="M915" s="115"/>
      <c r="N915" s="115"/>
      <c r="O915" s="115"/>
      <c r="P915" s="115"/>
    </row>
    <row r="916" spans="10:16" ht="12.5" x14ac:dyDescent="0.25">
      <c r="J916" s="115"/>
      <c r="K916" s="115"/>
      <c r="L916" s="115"/>
      <c r="M916" s="115"/>
      <c r="N916" s="115"/>
      <c r="O916" s="115"/>
      <c r="P916" s="115"/>
    </row>
    <row r="917" spans="10:16" ht="12.5" x14ac:dyDescent="0.25">
      <c r="J917" s="115"/>
      <c r="K917" s="115"/>
      <c r="L917" s="115"/>
      <c r="M917" s="115"/>
      <c r="N917" s="115"/>
      <c r="O917" s="115"/>
      <c r="P917" s="115"/>
    </row>
    <row r="918" spans="10:16" ht="12.5" x14ac:dyDescent="0.25">
      <c r="J918" s="115"/>
      <c r="K918" s="115"/>
      <c r="L918" s="115"/>
      <c r="M918" s="115"/>
      <c r="N918" s="115"/>
      <c r="O918" s="115"/>
      <c r="P918" s="115"/>
    </row>
    <row r="919" spans="10:16" ht="12.5" x14ac:dyDescent="0.25">
      <c r="J919" s="115"/>
      <c r="K919" s="115"/>
      <c r="L919" s="115"/>
      <c r="M919" s="115"/>
      <c r="N919" s="115"/>
      <c r="O919" s="115"/>
      <c r="P919" s="115"/>
    </row>
    <row r="920" spans="10:16" ht="12.5" x14ac:dyDescent="0.25">
      <c r="J920" s="115"/>
      <c r="K920" s="115"/>
      <c r="L920" s="115"/>
      <c r="M920" s="115"/>
      <c r="N920" s="115"/>
      <c r="O920" s="115"/>
      <c r="P920" s="115"/>
    </row>
    <row r="921" spans="10:16" ht="12.5" x14ac:dyDescent="0.25">
      <c r="J921" s="115"/>
      <c r="K921" s="115"/>
      <c r="L921" s="115"/>
      <c r="M921" s="115"/>
      <c r="N921" s="115"/>
      <c r="O921" s="115"/>
      <c r="P921" s="115"/>
    </row>
    <row r="922" spans="10:16" ht="12.5" x14ac:dyDescent="0.25">
      <c r="J922" s="115"/>
      <c r="K922" s="115"/>
      <c r="L922" s="115"/>
      <c r="M922" s="115"/>
      <c r="N922" s="115"/>
      <c r="O922" s="115"/>
      <c r="P922" s="115"/>
    </row>
    <row r="923" spans="10:16" ht="12.5" x14ac:dyDescent="0.25">
      <c r="J923" s="115"/>
      <c r="K923" s="115"/>
      <c r="L923" s="115"/>
      <c r="M923" s="115"/>
      <c r="N923" s="115"/>
      <c r="O923" s="115"/>
      <c r="P923" s="115"/>
    </row>
    <row r="924" spans="10:16" ht="12.5" x14ac:dyDescent="0.25">
      <c r="J924" s="115"/>
      <c r="K924" s="115"/>
      <c r="L924" s="115"/>
      <c r="M924" s="115"/>
      <c r="N924" s="115"/>
      <c r="O924" s="115"/>
      <c r="P924" s="115"/>
    </row>
    <row r="925" spans="10:16" ht="12.5" x14ac:dyDescent="0.25">
      <c r="J925" s="115"/>
      <c r="K925" s="115"/>
      <c r="L925" s="115"/>
      <c r="M925" s="115"/>
      <c r="N925" s="115"/>
      <c r="O925" s="115"/>
      <c r="P925" s="115"/>
    </row>
    <row r="926" spans="10:16" ht="12.5" x14ac:dyDescent="0.25">
      <c r="J926" s="115"/>
      <c r="K926" s="115"/>
      <c r="L926" s="115"/>
      <c r="M926" s="115"/>
      <c r="N926" s="115"/>
      <c r="O926" s="115"/>
      <c r="P926" s="115"/>
    </row>
    <row r="927" spans="10:16" ht="12.5" x14ac:dyDescent="0.25">
      <c r="J927" s="115"/>
      <c r="K927" s="115"/>
      <c r="L927" s="115"/>
      <c r="M927" s="115"/>
      <c r="N927" s="115"/>
      <c r="O927" s="115"/>
      <c r="P927" s="115"/>
    </row>
    <row r="928" spans="10:16" ht="12.5" x14ac:dyDescent="0.25">
      <c r="J928" s="115"/>
      <c r="K928" s="115"/>
      <c r="L928" s="115"/>
      <c r="M928" s="115"/>
      <c r="N928" s="115"/>
      <c r="O928" s="115"/>
      <c r="P928" s="115"/>
    </row>
    <row r="929" spans="10:16" ht="12.5" x14ac:dyDescent="0.25">
      <c r="J929" s="115"/>
      <c r="K929" s="115"/>
      <c r="L929" s="115"/>
      <c r="M929" s="115"/>
      <c r="N929" s="115"/>
      <c r="O929" s="115"/>
      <c r="P929" s="115"/>
    </row>
    <row r="930" spans="10:16" ht="12.5" x14ac:dyDescent="0.25">
      <c r="J930" s="115"/>
      <c r="K930" s="115"/>
      <c r="L930" s="115"/>
      <c r="M930" s="115"/>
      <c r="N930" s="115"/>
      <c r="O930" s="115"/>
      <c r="P930" s="115"/>
    </row>
    <row r="931" spans="10:16" ht="12.5" x14ac:dyDescent="0.25">
      <c r="J931" s="115"/>
      <c r="K931" s="115"/>
      <c r="L931" s="115"/>
      <c r="M931" s="115"/>
      <c r="N931" s="115"/>
      <c r="O931" s="115"/>
      <c r="P931" s="115"/>
    </row>
    <row r="932" spans="10:16" ht="12.5" x14ac:dyDescent="0.25">
      <c r="J932" s="115"/>
      <c r="K932" s="115"/>
      <c r="L932" s="115"/>
      <c r="M932" s="115"/>
      <c r="N932" s="115"/>
      <c r="O932" s="115"/>
      <c r="P932" s="115"/>
    </row>
    <row r="933" spans="10:16" ht="12.5" x14ac:dyDescent="0.25">
      <c r="J933" s="115"/>
      <c r="K933" s="115"/>
      <c r="L933" s="115"/>
      <c r="M933" s="115"/>
      <c r="N933" s="115"/>
      <c r="O933" s="115"/>
      <c r="P933" s="115"/>
    </row>
    <row r="934" spans="10:16" ht="12.5" x14ac:dyDescent="0.25">
      <c r="J934" s="115"/>
      <c r="K934" s="115"/>
      <c r="L934" s="115"/>
      <c r="M934" s="115"/>
      <c r="N934" s="115"/>
      <c r="O934" s="115"/>
      <c r="P934" s="115"/>
    </row>
    <row r="935" spans="10:16" ht="12.5" x14ac:dyDescent="0.25">
      <c r="J935" s="115"/>
      <c r="K935" s="115"/>
      <c r="L935" s="115"/>
      <c r="M935" s="115"/>
      <c r="N935" s="115"/>
      <c r="O935" s="115"/>
      <c r="P935" s="115"/>
    </row>
    <row r="936" spans="10:16" ht="12.5" x14ac:dyDescent="0.25">
      <c r="J936" s="115"/>
      <c r="K936" s="115"/>
      <c r="L936" s="115"/>
      <c r="M936" s="115"/>
      <c r="N936" s="115"/>
      <c r="O936" s="115"/>
      <c r="P936" s="115"/>
    </row>
    <row r="937" spans="10:16" ht="12.5" x14ac:dyDescent="0.25">
      <c r="J937" s="115"/>
      <c r="K937" s="115"/>
      <c r="L937" s="115"/>
      <c r="M937" s="115"/>
      <c r="N937" s="115"/>
      <c r="O937" s="115"/>
      <c r="P937" s="115"/>
    </row>
    <row r="938" spans="10:16" ht="12.5" x14ac:dyDescent="0.25">
      <c r="J938" s="115"/>
      <c r="K938" s="115"/>
      <c r="L938" s="115"/>
      <c r="M938" s="115"/>
      <c r="N938" s="115"/>
      <c r="O938" s="115"/>
      <c r="P938" s="115"/>
    </row>
    <row r="939" spans="10:16" ht="12.5" x14ac:dyDescent="0.25">
      <c r="J939" s="115"/>
      <c r="K939" s="115"/>
      <c r="L939" s="115"/>
      <c r="M939" s="115"/>
      <c r="N939" s="115"/>
      <c r="O939" s="115"/>
      <c r="P939" s="115"/>
    </row>
    <row r="940" spans="10:16" ht="12.5" x14ac:dyDescent="0.25">
      <c r="J940" s="115"/>
      <c r="K940" s="115"/>
      <c r="L940" s="115"/>
      <c r="M940" s="115"/>
      <c r="N940" s="115"/>
      <c r="O940" s="115"/>
      <c r="P940" s="115"/>
    </row>
    <row r="941" spans="10:16" ht="12.5" x14ac:dyDescent="0.25">
      <c r="J941" s="115"/>
      <c r="K941" s="115"/>
      <c r="L941" s="115"/>
      <c r="M941" s="115"/>
      <c r="N941" s="115"/>
      <c r="O941" s="115"/>
      <c r="P941" s="115"/>
    </row>
    <row r="942" spans="10:16" ht="12.5" x14ac:dyDescent="0.25">
      <c r="J942" s="115"/>
      <c r="K942" s="115"/>
      <c r="L942" s="115"/>
      <c r="M942" s="115"/>
      <c r="N942" s="115"/>
      <c r="O942" s="115"/>
      <c r="P942" s="115"/>
    </row>
    <row r="943" spans="10:16" ht="12.5" x14ac:dyDescent="0.25">
      <c r="J943" s="115"/>
      <c r="K943" s="115"/>
      <c r="L943" s="115"/>
      <c r="M943" s="115"/>
      <c r="N943" s="115"/>
      <c r="O943" s="115"/>
      <c r="P943" s="115"/>
    </row>
    <row r="944" spans="10:16" ht="12.5" x14ac:dyDescent="0.25">
      <c r="J944" s="115"/>
      <c r="K944" s="115"/>
      <c r="L944" s="115"/>
      <c r="M944" s="115"/>
      <c r="N944" s="115"/>
      <c r="O944" s="115"/>
      <c r="P944" s="115"/>
    </row>
    <row r="945" spans="10:16" ht="12.5" x14ac:dyDescent="0.25">
      <c r="J945" s="115"/>
      <c r="K945" s="115"/>
      <c r="L945" s="115"/>
      <c r="M945" s="115"/>
      <c r="N945" s="115"/>
      <c r="O945" s="115"/>
      <c r="P945" s="115"/>
    </row>
    <row r="946" spans="10:16" ht="12.5" x14ac:dyDescent="0.25">
      <c r="J946" s="115"/>
      <c r="K946" s="115"/>
      <c r="L946" s="115"/>
      <c r="M946" s="115"/>
      <c r="N946" s="115"/>
      <c r="O946" s="115"/>
      <c r="P946" s="115"/>
    </row>
    <row r="947" spans="10:16" ht="12.5" x14ac:dyDescent="0.25">
      <c r="J947" s="115"/>
      <c r="K947" s="115"/>
      <c r="L947" s="115"/>
      <c r="M947" s="115"/>
      <c r="N947" s="115"/>
      <c r="O947" s="115"/>
      <c r="P947" s="115"/>
    </row>
    <row r="948" spans="10:16" ht="12.5" x14ac:dyDescent="0.25">
      <c r="J948" s="115"/>
      <c r="K948" s="115"/>
      <c r="L948" s="115"/>
      <c r="M948" s="115"/>
      <c r="N948" s="115"/>
      <c r="O948" s="115"/>
      <c r="P948" s="115"/>
    </row>
    <row r="949" spans="10:16" ht="12.5" x14ac:dyDescent="0.25">
      <c r="J949" s="115"/>
      <c r="K949" s="115"/>
      <c r="L949" s="115"/>
      <c r="M949" s="115"/>
      <c r="N949" s="115"/>
      <c r="O949" s="115"/>
      <c r="P949" s="115"/>
    </row>
    <row r="950" spans="10:16" ht="12.5" x14ac:dyDescent="0.25">
      <c r="J950" s="115"/>
      <c r="K950" s="115"/>
      <c r="L950" s="115"/>
      <c r="M950" s="115"/>
      <c r="N950" s="115"/>
      <c r="O950" s="115"/>
      <c r="P950" s="115"/>
    </row>
    <row r="951" spans="10:16" ht="12.5" x14ac:dyDescent="0.25">
      <c r="J951" s="115"/>
      <c r="K951" s="115"/>
      <c r="L951" s="115"/>
      <c r="M951" s="115"/>
      <c r="N951" s="115"/>
      <c r="O951" s="115"/>
      <c r="P951" s="115"/>
    </row>
    <row r="952" spans="10:16" ht="12.5" x14ac:dyDescent="0.25">
      <c r="J952" s="115"/>
      <c r="K952" s="115"/>
      <c r="L952" s="115"/>
      <c r="M952" s="115"/>
      <c r="N952" s="115"/>
      <c r="O952" s="115"/>
      <c r="P952" s="115"/>
    </row>
    <row r="953" spans="10:16" ht="12.5" x14ac:dyDescent="0.25">
      <c r="J953" s="115"/>
      <c r="K953" s="115"/>
      <c r="L953" s="115"/>
      <c r="M953" s="115"/>
      <c r="N953" s="115"/>
      <c r="O953" s="115"/>
      <c r="P953" s="115"/>
    </row>
    <row r="954" spans="10:16" ht="12.5" x14ac:dyDescent="0.25">
      <c r="J954" s="115"/>
      <c r="K954" s="115"/>
      <c r="L954" s="115"/>
      <c r="M954" s="115"/>
      <c r="N954" s="115"/>
      <c r="O954" s="115"/>
      <c r="P954" s="115"/>
    </row>
    <row r="955" spans="10:16" ht="12.5" x14ac:dyDescent="0.25">
      <c r="J955" s="115"/>
      <c r="K955" s="115"/>
      <c r="L955" s="115"/>
      <c r="M955" s="115"/>
      <c r="N955" s="115"/>
      <c r="O955" s="115"/>
      <c r="P955" s="115"/>
    </row>
    <row r="956" spans="10:16" ht="12.5" x14ac:dyDescent="0.25">
      <c r="J956" s="115"/>
      <c r="K956" s="115"/>
      <c r="L956" s="115"/>
      <c r="M956" s="115"/>
      <c r="N956" s="115"/>
      <c r="O956" s="115"/>
      <c r="P956" s="115"/>
    </row>
    <row r="957" spans="10:16" ht="12.5" x14ac:dyDescent="0.25">
      <c r="J957" s="115"/>
      <c r="K957" s="115"/>
      <c r="L957" s="115"/>
      <c r="M957" s="115"/>
      <c r="N957" s="115"/>
      <c r="O957" s="115"/>
      <c r="P957" s="115"/>
    </row>
    <row r="958" spans="10:16" ht="12.5" x14ac:dyDescent="0.25">
      <c r="J958" s="115"/>
      <c r="K958" s="115"/>
      <c r="L958" s="115"/>
      <c r="M958" s="115"/>
      <c r="N958" s="115"/>
      <c r="O958" s="115"/>
      <c r="P958" s="115"/>
    </row>
    <row r="959" spans="10:16" ht="12.5" x14ac:dyDescent="0.25">
      <c r="J959" s="115"/>
      <c r="K959" s="115"/>
      <c r="L959" s="115"/>
      <c r="M959" s="115"/>
      <c r="N959" s="115"/>
      <c r="O959" s="115"/>
      <c r="P959" s="115"/>
    </row>
    <row r="960" spans="10:16" ht="12.5" x14ac:dyDescent="0.25">
      <c r="J960" s="115"/>
      <c r="K960" s="115"/>
      <c r="L960" s="115"/>
      <c r="M960" s="115"/>
      <c r="N960" s="115"/>
      <c r="O960" s="115"/>
      <c r="P960" s="115"/>
    </row>
    <row r="961" spans="10:16" ht="12.5" x14ac:dyDescent="0.25">
      <c r="J961" s="115"/>
      <c r="K961" s="115"/>
      <c r="L961" s="115"/>
      <c r="M961" s="115"/>
      <c r="N961" s="115"/>
      <c r="O961" s="115"/>
      <c r="P961" s="115"/>
    </row>
    <row r="962" spans="10:16" ht="12.5" x14ac:dyDescent="0.25">
      <c r="J962" s="115"/>
      <c r="K962" s="115"/>
      <c r="L962" s="115"/>
      <c r="M962" s="115"/>
      <c r="N962" s="115"/>
      <c r="O962" s="115"/>
      <c r="P962" s="115"/>
    </row>
    <row r="963" spans="10:16" ht="12.5" x14ac:dyDescent="0.25">
      <c r="J963" s="115"/>
      <c r="K963" s="115"/>
      <c r="L963" s="115"/>
      <c r="M963" s="115"/>
      <c r="N963" s="115"/>
      <c r="O963" s="115"/>
      <c r="P963" s="115"/>
    </row>
    <row r="964" spans="10:16" ht="12.5" x14ac:dyDescent="0.25">
      <c r="J964" s="115"/>
      <c r="K964" s="115"/>
      <c r="L964" s="115"/>
      <c r="M964" s="115"/>
      <c r="N964" s="115"/>
      <c r="O964" s="115"/>
      <c r="P964" s="115"/>
    </row>
    <row r="965" spans="10:16" ht="12.5" x14ac:dyDescent="0.25">
      <c r="J965" s="115"/>
      <c r="K965" s="115"/>
      <c r="L965" s="115"/>
      <c r="M965" s="115"/>
      <c r="N965" s="115"/>
      <c r="O965" s="115"/>
      <c r="P965" s="115"/>
    </row>
    <row r="966" spans="10:16" ht="12.5" x14ac:dyDescent="0.25">
      <c r="J966" s="115"/>
      <c r="K966" s="115"/>
      <c r="L966" s="115"/>
      <c r="M966" s="115"/>
      <c r="N966" s="115"/>
      <c r="O966" s="115"/>
      <c r="P966" s="115"/>
    </row>
    <row r="967" spans="10:16" ht="12.5" x14ac:dyDescent="0.25">
      <c r="J967" s="115"/>
      <c r="K967" s="115"/>
      <c r="L967" s="115"/>
      <c r="M967" s="115"/>
      <c r="N967" s="115"/>
      <c r="O967" s="115"/>
      <c r="P967" s="115"/>
    </row>
    <row r="968" spans="10:16" ht="12.5" x14ac:dyDescent="0.25">
      <c r="J968" s="115"/>
      <c r="K968" s="115"/>
      <c r="L968" s="115"/>
      <c r="M968" s="115"/>
      <c r="N968" s="115"/>
      <c r="O968" s="115"/>
      <c r="P968" s="115"/>
    </row>
    <row r="969" spans="10:16" ht="12.5" x14ac:dyDescent="0.25">
      <c r="J969" s="115"/>
      <c r="K969" s="115"/>
      <c r="L969" s="115"/>
      <c r="M969" s="115"/>
      <c r="N969" s="115"/>
      <c r="O969" s="115"/>
      <c r="P969" s="115"/>
    </row>
    <row r="970" spans="10:16" ht="12.5" x14ac:dyDescent="0.25">
      <c r="J970" s="115"/>
      <c r="K970" s="115"/>
      <c r="L970" s="115"/>
      <c r="M970" s="115"/>
      <c r="N970" s="115"/>
      <c r="O970" s="115"/>
      <c r="P970" s="115"/>
    </row>
    <row r="971" spans="10:16" ht="12.5" x14ac:dyDescent="0.25">
      <c r="J971" s="115"/>
      <c r="K971" s="115"/>
      <c r="L971" s="115"/>
      <c r="M971" s="115"/>
      <c r="N971" s="115"/>
      <c r="O971" s="115"/>
      <c r="P971" s="115"/>
    </row>
    <row r="972" spans="10:16" ht="12.5" x14ac:dyDescent="0.25">
      <c r="J972" s="115"/>
      <c r="K972" s="115"/>
      <c r="L972" s="115"/>
      <c r="M972" s="115"/>
      <c r="N972" s="115"/>
      <c r="O972" s="115"/>
      <c r="P972" s="115"/>
    </row>
    <row r="973" spans="10:16" ht="12.5" x14ac:dyDescent="0.25">
      <c r="J973" s="115"/>
      <c r="K973" s="115"/>
      <c r="L973" s="115"/>
      <c r="M973" s="115"/>
      <c r="N973" s="115"/>
      <c r="O973" s="115"/>
      <c r="P973" s="115"/>
    </row>
    <row r="974" spans="10:16" ht="12.5" x14ac:dyDescent="0.25">
      <c r="J974" s="115"/>
      <c r="K974" s="115"/>
      <c r="L974" s="115"/>
      <c r="M974" s="115"/>
      <c r="N974" s="115"/>
      <c r="O974" s="115"/>
      <c r="P974" s="115"/>
    </row>
    <row r="975" spans="10:16" ht="12.5" x14ac:dyDescent="0.25">
      <c r="J975" s="115"/>
      <c r="K975" s="115"/>
      <c r="L975" s="115"/>
      <c r="M975" s="115"/>
      <c r="N975" s="115"/>
      <c r="O975" s="115"/>
      <c r="P975" s="115"/>
    </row>
    <row r="976" spans="10:16" ht="12.5" x14ac:dyDescent="0.25">
      <c r="J976" s="115"/>
      <c r="K976" s="115"/>
      <c r="L976" s="115"/>
      <c r="M976" s="115"/>
      <c r="N976" s="115"/>
      <c r="O976" s="115"/>
      <c r="P976" s="115"/>
    </row>
    <row r="977" spans="10:16" ht="12.5" x14ac:dyDescent="0.25">
      <c r="J977" s="115"/>
      <c r="K977" s="115"/>
      <c r="L977" s="115"/>
      <c r="M977" s="115"/>
      <c r="N977" s="115"/>
      <c r="O977" s="115"/>
      <c r="P977" s="115"/>
    </row>
    <row r="978" spans="10:16" ht="12.5" x14ac:dyDescent="0.25">
      <c r="J978" s="115"/>
      <c r="K978" s="115"/>
      <c r="L978" s="115"/>
      <c r="M978" s="115"/>
      <c r="N978" s="115"/>
      <c r="O978" s="115"/>
      <c r="P978" s="115"/>
    </row>
    <row r="979" spans="10:16" ht="12.5" x14ac:dyDescent="0.25">
      <c r="J979" s="115"/>
      <c r="K979" s="115"/>
      <c r="L979" s="115"/>
      <c r="M979" s="115"/>
      <c r="N979" s="115"/>
      <c r="O979" s="115"/>
      <c r="P979" s="115"/>
    </row>
    <row r="980" spans="10:16" ht="12.5" x14ac:dyDescent="0.25">
      <c r="J980" s="115"/>
      <c r="K980" s="115"/>
      <c r="L980" s="115"/>
      <c r="M980" s="115"/>
      <c r="N980" s="115"/>
      <c r="O980" s="115"/>
      <c r="P980" s="115"/>
    </row>
    <row r="981" spans="10:16" ht="12.5" x14ac:dyDescent="0.25">
      <c r="J981" s="115"/>
      <c r="K981" s="115"/>
      <c r="L981" s="115"/>
      <c r="M981" s="115"/>
      <c r="N981" s="115"/>
      <c r="O981" s="115"/>
      <c r="P981" s="115"/>
    </row>
    <row r="982" spans="10:16" ht="12.5" x14ac:dyDescent="0.25">
      <c r="J982" s="115"/>
      <c r="K982" s="115"/>
      <c r="L982" s="115"/>
      <c r="M982" s="115"/>
      <c r="N982" s="115"/>
      <c r="O982" s="115"/>
      <c r="P982" s="115"/>
    </row>
    <row r="983" spans="10:16" ht="12.5" x14ac:dyDescent="0.25">
      <c r="J983" s="115"/>
      <c r="K983" s="115"/>
      <c r="L983" s="115"/>
      <c r="M983" s="115"/>
      <c r="N983" s="115"/>
      <c r="O983" s="115"/>
      <c r="P983" s="115"/>
    </row>
    <row r="984" spans="10:16" ht="12.5" x14ac:dyDescent="0.25">
      <c r="J984" s="115"/>
      <c r="K984" s="115"/>
      <c r="L984" s="115"/>
      <c r="M984" s="115"/>
      <c r="N984" s="115"/>
      <c r="O984" s="115"/>
      <c r="P984" s="115"/>
    </row>
    <row r="985" spans="10:16" ht="12.5" x14ac:dyDescent="0.25">
      <c r="J985" s="115"/>
      <c r="K985" s="115"/>
      <c r="L985" s="115"/>
      <c r="M985" s="115"/>
      <c r="N985" s="115"/>
      <c r="O985" s="115"/>
      <c r="P985" s="115"/>
    </row>
    <row r="986" spans="10:16" ht="12.5" x14ac:dyDescent="0.25">
      <c r="J986" s="115"/>
      <c r="K986" s="115"/>
      <c r="L986" s="115"/>
      <c r="M986" s="115"/>
      <c r="N986" s="115"/>
      <c r="O986" s="115"/>
      <c r="P986" s="115"/>
    </row>
    <row r="987" spans="10:16" ht="12.5" x14ac:dyDescent="0.25">
      <c r="J987" s="115"/>
      <c r="K987" s="115"/>
      <c r="L987" s="115"/>
      <c r="M987" s="115"/>
      <c r="N987" s="115"/>
      <c r="O987" s="115"/>
      <c r="P987" s="115"/>
    </row>
    <row r="988" spans="10:16" ht="12.5" x14ac:dyDescent="0.25">
      <c r="J988" s="115"/>
      <c r="K988" s="115"/>
      <c r="L988" s="115"/>
      <c r="M988" s="115"/>
      <c r="N988" s="115"/>
      <c r="O988" s="115"/>
      <c r="P988" s="115"/>
    </row>
    <row r="989" spans="10:16" ht="12.5" x14ac:dyDescent="0.25">
      <c r="J989" s="115"/>
      <c r="K989" s="115"/>
      <c r="L989" s="115"/>
      <c r="M989" s="115"/>
      <c r="N989" s="115"/>
      <c r="O989" s="115"/>
      <c r="P989" s="115"/>
    </row>
    <row r="990" spans="10:16" ht="12.5" x14ac:dyDescent="0.25">
      <c r="J990" s="115"/>
      <c r="K990" s="115"/>
      <c r="L990" s="115"/>
      <c r="M990" s="115"/>
      <c r="N990" s="115"/>
      <c r="O990" s="115"/>
      <c r="P990" s="115"/>
    </row>
    <row r="991" spans="10:16" ht="12.5" x14ac:dyDescent="0.25">
      <c r="J991" s="115"/>
      <c r="K991" s="115"/>
      <c r="L991" s="115"/>
      <c r="M991" s="115"/>
      <c r="N991" s="115"/>
      <c r="O991" s="115"/>
      <c r="P991" s="115"/>
    </row>
    <row r="992" spans="10:16" ht="12.5" x14ac:dyDescent="0.25">
      <c r="J992" s="115"/>
      <c r="K992" s="115"/>
      <c r="L992" s="115"/>
      <c r="M992" s="115"/>
      <c r="N992" s="115"/>
      <c r="O992" s="115"/>
      <c r="P992" s="115"/>
    </row>
    <row r="993" spans="10:16" ht="12.5" x14ac:dyDescent="0.25">
      <c r="J993" s="115"/>
      <c r="K993" s="115"/>
      <c r="L993" s="115"/>
      <c r="M993" s="115"/>
      <c r="N993" s="115"/>
      <c r="O993" s="115"/>
      <c r="P993" s="115"/>
    </row>
    <row r="994" spans="10:16" ht="12.5" x14ac:dyDescent="0.25">
      <c r="J994" s="115"/>
      <c r="K994" s="115"/>
      <c r="L994" s="115"/>
      <c r="M994" s="115"/>
      <c r="N994" s="115"/>
      <c r="O994" s="115"/>
      <c r="P994" s="115"/>
    </row>
    <row r="995" spans="10:16" ht="12.5" x14ac:dyDescent="0.25">
      <c r="J995" s="115"/>
      <c r="K995" s="115"/>
      <c r="L995" s="115"/>
      <c r="M995" s="115"/>
      <c r="N995" s="115"/>
      <c r="O995" s="115"/>
      <c r="P995" s="115"/>
    </row>
    <row r="996" spans="10:16" ht="12.5" x14ac:dyDescent="0.25">
      <c r="J996" s="115"/>
      <c r="K996" s="115"/>
      <c r="L996" s="115"/>
      <c r="M996" s="115"/>
      <c r="N996" s="115"/>
      <c r="O996" s="115"/>
      <c r="P996" s="115"/>
    </row>
    <row r="997" spans="10:16" ht="12.5" x14ac:dyDescent="0.25">
      <c r="J997" s="115"/>
      <c r="K997" s="115"/>
      <c r="L997" s="115"/>
      <c r="M997" s="115"/>
      <c r="N997" s="115"/>
      <c r="O997" s="115"/>
      <c r="P997" s="115"/>
    </row>
    <row r="998" spans="10:16" ht="12.5" x14ac:dyDescent="0.25">
      <c r="J998" s="115"/>
      <c r="K998" s="115"/>
      <c r="L998" s="115"/>
      <c r="M998" s="115"/>
      <c r="N998" s="115"/>
      <c r="O998" s="115"/>
      <c r="P998" s="115"/>
    </row>
    <row r="999" spans="10:16" ht="12.5" x14ac:dyDescent="0.25">
      <c r="J999" s="115"/>
      <c r="K999" s="115"/>
      <c r="L999" s="115"/>
      <c r="M999" s="115"/>
      <c r="N999" s="115"/>
      <c r="O999" s="115"/>
      <c r="P999" s="115"/>
    </row>
    <row r="1000" spans="10:16" ht="12.5" x14ac:dyDescent="0.25">
      <c r="J1000" s="115"/>
      <c r="K1000" s="115"/>
      <c r="L1000" s="115"/>
      <c r="M1000" s="115"/>
      <c r="N1000" s="115"/>
      <c r="O1000" s="115"/>
      <c r="P1000" s="115"/>
    </row>
    <row r="1001" spans="10:16" ht="12.5" x14ac:dyDescent="0.25">
      <c r="J1001" s="115"/>
      <c r="K1001" s="115"/>
      <c r="L1001" s="115"/>
      <c r="M1001" s="115"/>
      <c r="N1001" s="115"/>
      <c r="O1001" s="115"/>
      <c r="P1001" s="115"/>
    </row>
    <row r="1002" spans="10:16" ht="12.5" x14ac:dyDescent="0.25">
      <c r="J1002" s="115"/>
      <c r="K1002" s="115"/>
      <c r="L1002" s="115"/>
      <c r="M1002" s="115"/>
      <c r="N1002" s="115"/>
      <c r="O1002" s="115"/>
      <c r="P1002" s="115"/>
    </row>
    <row r="1003" spans="10:16" ht="12.5" x14ac:dyDescent="0.25">
      <c r="J1003" s="115"/>
      <c r="K1003" s="115"/>
      <c r="L1003" s="115"/>
      <c r="M1003" s="115"/>
      <c r="N1003" s="115"/>
      <c r="O1003" s="115"/>
      <c r="P1003" s="115"/>
    </row>
    <row r="1004" spans="10:16" ht="12.5" x14ac:dyDescent="0.25">
      <c r="J1004" s="115"/>
      <c r="K1004" s="115"/>
      <c r="L1004" s="115"/>
      <c r="M1004" s="115"/>
      <c r="N1004" s="115"/>
      <c r="O1004" s="115"/>
      <c r="P1004" s="115"/>
    </row>
    <row r="1005" spans="10:16" ht="12.5" x14ac:dyDescent="0.25">
      <c r="J1005" s="115"/>
      <c r="K1005" s="115"/>
      <c r="L1005" s="115"/>
      <c r="M1005" s="115"/>
      <c r="N1005" s="115"/>
      <c r="O1005" s="115"/>
      <c r="P1005" s="115"/>
    </row>
    <row r="1006" spans="10:16" ht="12.5" x14ac:dyDescent="0.25">
      <c r="J1006" s="115"/>
      <c r="K1006" s="115"/>
      <c r="L1006" s="115"/>
      <c r="M1006" s="115"/>
      <c r="N1006" s="115"/>
      <c r="O1006" s="115"/>
      <c r="P1006" s="115"/>
    </row>
    <row r="1007" spans="10:16" ht="12.5" x14ac:dyDescent="0.25">
      <c r="J1007" s="115"/>
      <c r="K1007" s="115"/>
      <c r="L1007" s="115"/>
      <c r="M1007" s="115"/>
      <c r="N1007" s="115"/>
      <c r="O1007" s="115"/>
      <c r="P1007" s="115"/>
    </row>
    <row r="1008" spans="10:16" ht="12.5" x14ac:dyDescent="0.25">
      <c r="J1008" s="115"/>
      <c r="K1008" s="115"/>
      <c r="L1008" s="115"/>
      <c r="M1008" s="115"/>
      <c r="N1008" s="115"/>
      <c r="O1008" s="115"/>
      <c r="P1008" s="115"/>
    </row>
    <row r="1009" spans="10:16" ht="12.5" x14ac:dyDescent="0.25">
      <c r="J1009" s="115"/>
      <c r="K1009" s="115"/>
      <c r="L1009" s="115"/>
      <c r="M1009" s="115"/>
      <c r="N1009" s="115"/>
      <c r="O1009" s="115"/>
      <c r="P1009" s="115"/>
    </row>
    <row r="1010" spans="10:16" ht="12.5" x14ac:dyDescent="0.25">
      <c r="J1010" s="115"/>
      <c r="K1010" s="115"/>
      <c r="L1010" s="115"/>
      <c r="M1010" s="115"/>
      <c r="N1010" s="115"/>
      <c r="O1010" s="115"/>
      <c r="P1010" s="115"/>
    </row>
    <row r="1011" spans="10:16" ht="12.5" x14ac:dyDescent="0.25">
      <c r="J1011" s="115"/>
      <c r="K1011" s="115"/>
      <c r="L1011" s="115"/>
      <c r="M1011" s="115"/>
      <c r="N1011" s="115"/>
      <c r="O1011" s="115"/>
      <c r="P1011" s="115"/>
    </row>
    <row r="1012" spans="10:16" ht="12.5" x14ac:dyDescent="0.25">
      <c r="J1012" s="115"/>
      <c r="K1012" s="115"/>
      <c r="L1012" s="115"/>
      <c r="M1012" s="115"/>
      <c r="N1012" s="115"/>
      <c r="O1012" s="115"/>
      <c r="P1012" s="115"/>
    </row>
    <row r="1013" spans="10:16" ht="12.5" x14ac:dyDescent="0.25">
      <c r="J1013" s="115"/>
      <c r="K1013" s="115"/>
      <c r="L1013" s="115"/>
      <c r="M1013" s="115"/>
      <c r="N1013" s="115"/>
      <c r="O1013" s="115"/>
      <c r="P1013" s="115"/>
    </row>
    <row r="1014" spans="10:16" ht="12.5" x14ac:dyDescent="0.25">
      <c r="J1014" s="115"/>
      <c r="K1014" s="115"/>
      <c r="L1014" s="115"/>
      <c r="M1014" s="115"/>
      <c r="N1014" s="115"/>
      <c r="O1014" s="115"/>
      <c r="P1014" s="115"/>
    </row>
    <row r="1015" spans="10:16" ht="12.5" x14ac:dyDescent="0.25">
      <c r="J1015" s="115"/>
      <c r="K1015" s="115"/>
      <c r="L1015" s="115"/>
      <c r="M1015" s="115"/>
      <c r="N1015" s="115"/>
      <c r="O1015" s="115"/>
      <c r="P1015" s="115"/>
    </row>
    <row r="1016" spans="10:16" ht="12.5" x14ac:dyDescent="0.25">
      <c r="J1016" s="115"/>
      <c r="K1016" s="115"/>
      <c r="L1016" s="115"/>
      <c r="M1016" s="115"/>
      <c r="N1016" s="115"/>
      <c r="O1016" s="115"/>
      <c r="P1016" s="115"/>
    </row>
    <row r="1017" spans="10:16" ht="12.5" x14ac:dyDescent="0.25">
      <c r="J1017" s="115"/>
      <c r="K1017" s="115"/>
      <c r="L1017" s="115"/>
      <c r="M1017" s="115"/>
      <c r="N1017" s="115"/>
      <c r="O1017" s="115"/>
      <c r="P1017" s="115"/>
    </row>
    <row r="1018" spans="10:16" ht="12.5" x14ac:dyDescent="0.25">
      <c r="J1018" s="115"/>
      <c r="K1018" s="115"/>
      <c r="L1018" s="115"/>
      <c r="M1018" s="115"/>
      <c r="N1018" s="115"/>
      <c r="O1018" s="115"/>
      <c r="P1018" s="115"/>
    </row>
    <row r="1019" spans="10:16" ht="12.5" x14ac:dyDescent="0.25">
      <c r="J1019" s="115"/>
      <c r="K1019" s="115"/>
      <c r="L1019" s="115"/>
      <c r="M1019" s="115"/>
      <c r="N1019" s="115"/>
      <c r="O1019" s="115"/>
      <c r="P1019" s="115"/>
    </row>
    <row r="1020" spans="10:16" ht="12.5" x14ac:dyDescent="0.25">
      <c r="J1020" s="115"/>
      <c r="K1020" s="115"/>
      <c r="L1020" s="115"/>
      <c r="M1020" s="115"/>
      <c r="N1020" s="115"/>
      <c r="O1020" s="115"/>
      <c r="P1020" s="115"/>
    </row>
    <row r="1021" spans="10:16" ht="12.5" x14ac:dyDescent="0.25">
      <c r="J1021" s="115"/>
      <c r="K1021" s="115"/>
      <c r="L1021" s="115"/>
      <c r="M1021" s="115"/>
      <c r="N1021" s="115"/>
      <c r="O1021" s="115"/>
      <c r="P1021" s="115"/>
    </row>
    <row r="1022" spans="10:16" ht="12.5" x14ac:dyDescent="0.25">
      <c r="J1022" s="115"/>
      <c r="K1022" s="115"/>
      <c r="L1022" s="115"/>
      <c r="M1022" s="115"/>
      <c r="N1022" s="115"/>
      <c r="O1022" s="115"/>
      <c r="P1022" s="115"/>
    </row>
    <row r="1023" spans="10:16" ht="12.5" x14ac:dyDescent="0.25">
      <c r="J1023" s="115"/>
      <c r="K1023" s="115"/>
      <c r="L1023" s="115"/>
      <c r="M1023" s="115"/>
      <c r="N1023" s="115"/>
      <c r="O1023" s="115"/>
      <c r="P1023" s="115"/>
    </row>
    <row r="1024" spans="10:16" ht="12.5" x14ac:dyDescent="0.25">
      <c r="J1024" s="115"/>
      <c r="K1024" s="115"/>
      <c r="L1024" s="115"/>
      <c r="M1024" s="115"/>
      <c r="N1024" s="115"/>
      <c r="O1024" s="115"/>
      <c r="P1024" s="115"/>
    </row>
    <row r="1025" spans="10:16" ht="12.5" x14ac:dyDescent="0.25">
      <c r="J1025" s="115"/>
      <c r="K1025" s="115"/>
      <c r="L1025" s="115"/>
      <c r="M1025" s="115"/>
      <c r="N1025" s="115"/>
      <c r="O1025" s="115"/>
      <c r="P1025" s="115"/>
    </row>
    <row r="1026" spans="10:16" ht="12.5" x14ac:dyDescent="0.25">
      <c r="J1026" s="115"/>
      <c r="K1026" s="115"/>
      <c r="L1026" s="115"/>
      <c r="M1026" s="115"/>
      <c r="N1026" s="115"/>
      <c r="O1026" s="115"/>
      <c r="P1026" s="115"/>
    </row>
    <row r="1027" spans="10:16" ht="12.5" x14ac:dyDescent="0.25">
      <c r="J1027" s="115"/>
      <c r="K1027" s="115"/>
      <c r="L1027" s="115"/>
      <c r="M1027" s="115"/>
      <c r="N1027" s="115"/>
      <c r="O1027" s="115"/>
      <c r="P1027" s="115"/>
    </row>
    <row r="1028" spans="10:16" ht="12.5" x14ac:dyDescent="0.25">
      <c r="J1028" s="115"/>
      <c r="K1028" s="115"/>
      <c r="L1028" s="115"/>
      <c r="M1028" s="115"/>
      <c r="N1028" s="115"/>
      <c r="O1028" s="115"/>
      <c r="P1028" s="115"/>
    </row>
    <row r="1029" spans="10:16" ht="12.5" x14ac:dyDescent="0.25">
      <c r="J1029" s="115"/>
      <c r="K1029" s="115"/>
      <c r="L1029" s="115"/>
      <c r="M1029" s="115"/>
      <c r="N1029" s="115"/>
      <c r="O1029" s="115"/>
      <c r="P1029" s="115"/>
    </row>
    <row r="1030" spans="10:16" ht="12.5" x14ac:dyDescent="0.25">
      <c r="J1030" s="115"/>
      <c r="K1030" s="115"/>
      <c r="L1030" s="115"/>
      <c r="M1030" s="115"/>
      <c r="N1030" s="115"/>
      <c r="O1030" s="115"/>
      <c r="P1030" s="115"/>
    </row>
    <row r="1031" spans="10:16" ht="12.5" x14ac:dyDescent="0.25">
      <c r="J1031" s="115"/>
      <c r="K1031" s="115"/>
      <c r="L1031" s="115"/>
      <c r="M1031" s="115"/>
      <c r="N1031" s="115"/>
      <c r="O1031" s="115"/>
      <c r="P1031" s="115"/>
    </row>
    <row r="1032" spans="10:16" ht="12.5" x14ac:dyDescent="0.25">
      <c r="J1032" s="115"/>
      <c r="K1032" s="115"/>
      <c r="L1032" s="115"/>
      <c r="M1032" s="115"/>
      <c r="N1032" s="115"/>
      <c r="O1032" s="115"/>
      <c r="P1032" s="115"/>
    </row>
    <row r="1033" spans="10:16" ht="12.5" x14ac:dyDescent="0.25">
      <c r="J1033" s="115"/>
      <c r="K1033" s="115"/>
      <c r="L1033" s="115"/>
      <c r="M1033" s="115"/>
      <c r="N1033" s="115"/>
      <c r="O1033" s="115"/>
      <c r="P1033" s="115"/>
    </row>
    <row r="1034" spans="10:16" ht="12.5" x14ac:dyDescent="0.25">
      <c r="J1034" s="115"/>
      <c r="K1034" s="115"/>
      <c r="L1034" s="115"/>
      <c r="M1034" s="115"/>
      <c r="N1034" s="115"/>
      <c r="O1034" s="115"/>
      <c r="P1034" s="115"/>
    </row>
    <row r="1035" spans="10:16" ht="12.5" x14ac:dyDescent="0.25">
      <c r="J1035" s="115"/>
      <c r="K1035" s="115"/>
      <c r="L1035" s="115"/>
      <c r="M1035" s="115"/>
      <c r="N1035" s="115"/>
      <c r="O1035" s="115"/>
      <c r="P1035" s="115"/>
    </row>
    <row r="1036" spans="10:16" ht="12.5" x14ac:dyDescent="0.25">
      <c r="J1036" s="115"/>
      <c r="K1036" s="115"/>
      <c r="L1036" s="115"/>
      <c r="M1036" s="115"/>
      <c r="N1036" s="115"/>
      <c r="O1036" s="115"/>
      <c r="P1036" s="115"/>
    </row>
    <row r="1037" spans="10:16" ht="12.5" x14ac:dyDescent="0.25">
      <c r="J1037" s="115"/>
      <c r="K1037" s="115"/>
      <c r="L1037" s="115"/>
      <c r="M1037" s="115"/>
      <c r="N1037" s="115"/>
      <c r="O1037" s="115"/>
      <c r="P1037" s="115"/>
    </row>
    <row r="1038" spans="10:16" ht="12.5" x14ac:dyDescent="0.25">
      <c r="J1038" s="115"/>
      <c r="K1038" s="115"/>
      <c r="L1038" s="115"/>
      <c r="M1038" s="115"/>
      <c r="N1038" s="115"/>
      <c r="O1038" s="115"/>
      <c r="P1038" s="115"/>
    </row>
    <row r="1039" spans="10:16" ht="12.5" x14ac:dyDescent="0.25">
      <c r="J1039" s="115"/>
      <c r="K1039" s="115"/>
      <c r="L1039" s="115"/>
      <c r="M1039" s="115"/>
      <c r="N1039" s="115"/>
      <c r="O1039" s="115"/>
      <c r="P1039" s="115"/>
    </row>
    <row r="1040" spans="10:16" ht="12.5" x14ac:dyDescent="0.25">
      <c r="J1040" s="115"/>
      <c r="K1040" s="115"/>
      <c r="L1040" s="115"/>
      <c r="M1040" s="115"/>
      <c r="N1040" s="115"/>
      <c r="O1040" s="115"/>
      <c r="P1040" s="115"/>
    </row>
    <row r="1041" spans="10:16" ht="12.5" x14ac:dyDescent="0.25">
      <c r="J1041" s="115"/>
      <c r="K1041" s="115"/>
      <c r="L1041" s="115"/>
      <c r="M1041" s="115"/>
      <c r="N1041" s="115"/>
      <c r="O1041" s="115"/>
      <c r="P1041" s="115"/>
    </row>
    <row r="1042" spans="10:16" ht="12.5" x14ac:dyDescent="0.25">
      <c r="J1042" s="115"/>
      <c r="K1042" s="115"/>
      <c r="L1042" s="115"/>
      <c r="M1042" s="115"/>
      <c r="N1042" s="115"/>
      <c r="O1042" s="115"/>
      <c r="P1042" s="115"/>
    </row>
    <row r="1043" spans="10:16" ht="12.5" x14ac:dyDescent="0.25">
      <c r="J1043" s="115"/>
      <c r="K1043" s="115"/>
      <c r="L1043" s="115"/>
      <c r="M1043" s="115"/>
      <c r="N1043" s="115"/>
      <c r="O1043" s="115"/>
      <c r="P1043" s="115"/>
    </row>
    <row r="1044" spans="10:16" ht="12.5" x14ac:dyDescent="0.25">
      <c r="J1044" s="115"/>
      <c r="K1044" s="115"/>
      <c r="L1044" s="115"/>
      <c r="M1044" s="115"/>
      <c r="N1044" s="115"/>
      <c r="O1044" s="115"/>
      <c r="P1044" s="115"/>
    </row>
  </sheetData>
  <mergeCells count="419">
    <mergeCell ref="D114:I114"/>
    <mergeCell ref="K114:L114"/>
    <mergeCell ref="K117:L117"/>
    <mergeCell ref="K118:L118"/>
    <mergeCell ref="K119:L119"/>
    <mergeCell ref="M119:N119"/>
    <mergeCell ref="O119:P119"/>
    <mergeCell ref="Q119:V119"/>
    <mergeCell ref="D120:N120"/>
    <mergeCell ref="O120:P120"/>
    <mergeCell ref="M114:N114"/>
    <mergeCell ref="O114:P114"/>
    <mergeCell ref="Q114:V114"/>
    <mergeCell ref="K115:L115"/>
    <mergeCell ref="M115:N115"/>
    <mergeCell ref="O115:P115"/>
    <mergeCell ref="Q115:V115"/>
    <mergeCell ref="K112:L112"/>
    <mergeCell ref="M112:N112"/>
    <mergeCell ref="K113:L113"/>
    <mergeCell ref="M113:N113"/>
    <mergeCell ref="O113:P113"/>
    <mergeCell ref="K109:L109"/>
    <mergeCell ref="M109:N109"/>
    <mergeCell ref="O109:P109"/>
    <mergeCell ref="Q109:V109"/>
    <mergeCell ref="D110:I110"/>
    <mergeCell ref="O112:P112"/>
    <mergeCell ref="Q112:V112"/>
    <mergeCell ref="Q113:V113"/>
    <mergeCell ref="O110:P110"/>
    <mergeCell ref="Q110:V110"/>
    <mergeCell ref="K111:L111"/>
    <mergeCell ref="M111:N111"/>
    <mergeCell ref="O111:P111"/>
    <mergeCell ref="Q111:V111"/>
    <mergeCell ref="D112:I112"/>
    <mergeCell ref="O117:P117"/>
    <mergeCell ref="Q117:V117"/>
    <mergeCell ref="M118:N118"/>
    <mergeCell ref="O118:P118"/>
    <mergeCell ref="D116:I116"/>
    <mergeCell ref="K116:L116"/>
    <mergeCell ref="M116:N116"/>
    <mergeCell ref="O116:P116"/>
    <mergeCell ref="Q116:V116"/>
    <mergeCell ref="M117:N117"/>
    <mergeCell ref="D118:I118"/>
    <mergeCell ref="Q118:V118"/>
    <mergeCell ref="O108:P108"/>
    <mergeCell ref="Q108:V108"/>
    <mergeCell ref="K106:L106"/>
    <mergeCell ref="M106:N106"/>
    <mergeCell ref="K107:L107"/>
    <mergeCell ref="M107:N107"/>
    <mergeCell ref="O107:P107"/>
    <mergeCell ref="Q107:V107"/>
    <mergeCell ref="D108:I108"/>
    <mergeCell ref="K108:L108"/>
    <mergeCell ref="M108:N108"/>
    <mergeCell ref="O106:P106"/>
    <mergeCell ref="Q106:V106"/>
    <mergeCell ref="K104:L104"/>
    <mergeCell ref="M104:N104"/>
    <mergeCell ref="K105:L105"/>
    <mergeCell ref="M105:N105"/>
    <mergeCell ref="O105:P105"/>
    <mergeCell ref="Q105:V105"/>
    <mergeCell ref="D106:I106"/>
    <mergeCell ref="K100:L100"/>
    <mergeCell ref="M100:N100"/>
    <mergeCell ref="K101:L101"/>
    <mergeCell ref="M101:N101"/>
    <mergeCell ref="O101:P101"/>
    <mergeCell ref="Q101:V101"/>
    <mergeCell ref="D102:I102"/>
    <mergeCell ref="O104:P104"/>
    <mergeCell ref="Q104:V104"/>
    <mergeCell ref="K102:L102"/>
    <mergeCell ref="M102:N102"/>
    <mergeCell ref="K103:L103"/>
    <mergeCell ref="M103:N103"/>
    <mergeCell ref="O103:P103"/>
    <mergeCell ref="Q103:V103"/>
    <mergeCell ref="D104:I104"/>
    <mergeCell ref="D90:I90"/>
    <mergeCell ref="K90:L90"/>
    <mergeCell ref="K110:L110"/>
    <mergeCell ref="M110:N110"/>
    <mergeCell ref="O98:P98"/>
    <mergeCell ref="Q98:V98"/>
    <mergeCell ref="K96:L96"/>
    <mergeCell ref="M96:N96"/>
    <mergeCell ref="K97:L97"/>
    <mergeCell ref="M97:N97"/>
    <mergeCell ref="O97:P97"/>
    <mergeCell ref="Q97:V97"/>
    <mergeCell ref="D98:I98"/>
    <mergeCell ref="O100:P100"/>
    <mergeCell ref="Q100:V100"/>
    <mergeCell ref="K98:L98"/>
    <mergeCell ref="M98:N98"/>
    <mergeCell ref="K99:L99"/>
    <mergeCell ref="M99:N99"/>
    <mergeCell ref="O99:P99"/>
    <mergeCell ref="Q99:V99"/>
    <mergeCell ref="D100:I100"/>
    <mergeCell ref="O102:P102"/>
    <mergeCell ref="Q102:V102"/>
    <mergeCell ref="M90:N90"/>
    <mergeCell ref="O90:P90"/>
    <mergeCell ref="Q90:V90"/>
    <mergeCell ref="K91:L91"/>
    <mergeCell ref="M91:N91"/>
    <mergeCell ref="O91:P91"/>
    <mergeCell ref="Q91:V91"/>
    <mergeCell ref="K88:L88"/>
    <mergeCell ref="M88:N88"/>
    <mergeCell ref="K89:L89"/>
    <mergeCell ref="M89:N89"/>
    <mergeCell ref="O89:P89"/>
    <mergeCell ref="K85:L85"/>
    <mergeCell ref="M85:N85"/>
    <mergeCell ref="O85:P85"/>
    <mergeCell ref="Q85:V85"/>
    <mergeCell ref="D86:I86"/>
    <mergeCell ref="O88:P88"/>
    <mergeCell ref="Q88:V88"/>
    <mergeCell ref="Q89:V89"/>
    <mergeCell ref="O86:P86"/>
    <mergeCell ref="Q86:V86"/>
    <mergeCell ref="K87:L87"/>
    <mergeCell ref="M87:N87"/>
    <mergeCell ref="O87:P87"/>
    <mergeCell ref="Q87:V87"/>
    <mergeCell ref="D88:I88"/>
    <mergeCell ref="O96:P96"/>
    <mergeCell ref="Q96:V96"/>
    <mergeCell ref="K93:L93"/>
    <mergeCell ref="K94:L94"/>
    <mergeCell ref="K95:L95"/>
    <mergeCell ref="M95:N95"/>
    <mergeCell ref="O95:P95"/>
    <mergeCell ref="Q95:V95"/>
    <mergeCell ref="D96:I96"/>
    <mergeCell ref="O93:P93"/>
    <mergeCell ref="Q93:V93"/>
    <mergeCell ref="M94:N94"/>
    <mergeCell ref="O94:P94"/>
    <mergeCell ref="D92:I92"/>
    <mergeCell ref="K92:L92"/>
    <mergeCell ref="M92:N92"/>
    <mergeCell ref="O92:P92"/>
    <mergeCell ref="Q92:V92"/>
    <mergeCell ref="M93:N93"/>
    <mergeCell ref="D94:I94"/>
    <mergeCell ref="Q94:V94"/>
    <mergeCell ref="O84:P84"/>
    <mergeCell ref="Q84:V84"/>
    <mergeCell ref="K82:L82"/>
    <mergeCell ref="M82:N82"/>
    <mergeCell ref="K83:L83"/>
    <mergeCell ref="M83:N83"/>
    <mergeCell ref="O83:P83"/>
    <mergeCell ref="Q83:V83"/>
    <mergeCell ref="D84:I84"/>
    <mergeCell ref="K84:L84"/>
    <mergeCell ref="M84:N84"/>
    <mergeCell ref="O82:P82"/>
    <mergeCell ref="Q82:V82"/>
    <mergeCell ref="K80:L80"/>
    <mergeCell ref="M80:N80"/>
    <mergeCell ref="K81:L81"/>
    <mergeCell ref="M81:N81"/>
    <mergeCell ref="O81:P81"/>
    <mergeCell ref="Q81:V81"/>
    <mergeCell ref="D82:I82"/>
    <mergeCell ref="O80:P80"/>
    <mergeCell ref="Q80:V80"/>
    <mergeCell ref="K78:L78"/>
    <mergeCell ref="M78:N78"/>
    <mergeCell ref="K79:L79"/>
    <mergeCell ref="M79:N79"/>
    <mergeCell ref="O79:P79"/>
    <mergeCell ref="Q79:V79"/>
    <mergeCell ref="D80:I80"/>
    <mergeCell ref="O78:P78"/>
    <mergeCell ref="Q78:V78"/>
    <mergeCell ref="K76:L76"/>
    <mergeCell ref="M76:N76"/>
    <mergeCell ref="K77:L77"/>
    <mergeCell ref="M77:N77"/>
    <mergeCell ref="O77:P77"/>
    <mergeCell ref="Q77:V77"/>
    <mergeCell ref="D78:I78"/>
    <mergeCell ref="O64:P64"/>
    <mergeCell ref="Q64:V64"/>
    <mergeCell ref="Q65:V65"/>
    <mergeCell ref="M66:N66"/>
    <mergeCell ref="O66:P66"/>
    <mergeCell ref="Q66:V66"/>
    <mergeCell ref="K86:L86"/>
    <mergeCell ref="M86:N86"/>
    <mergeCell ref="D62:I62"/>
    <mergeCell ref="D63:I63"/>
    <mergeCell ref="K63:L63"/>
    <mergeCell ref="M63:N63"/>
    <mergeCell ref="O63:P63"/>
    <mergeCell ref="Q63:V63"/>
    <mergeCell ref="D64:I64"/>
    <mergeCell ref="K64:L64"/>
    <mergeCell ref="M64:N64"/>
    <mergeCell ref="K65:L65"/>
    <mergeCell ref="M65:N65"/>
    <mergeCell ref="O65:P65"/>
    <mergeCell ref="D66:I66"/>
    <mergeCell ref="K66:L66"/>
    <mergeCell ref="K71:L71"/>
    <mergeCell ref="D72:I72"/>
    <mergeCell ref="M62:N62"/>
    <mergeCell ref="O62:P62"/>
    <mergeCell ref="D61:I61"/>
    <mergeCell ref="K61:L61"/>
    <mergeCell ref="M61:N61"/>
    <mergeCell ref="O61:P61"/>
    <mergeCell ref="Q61:V61"/>
    <mergeCell ref="K62:L62"/>
    <mergeCell ref="Q62:V62"/>
    <mergeCell ref="O60:P60"/>
    <mergeCell ref="Q60:V60"/>
    <mergeCell ref="D58:I58"/>
    <mergeCell ref="D59:I59"/>
    <mergeCell ref="K59:L59"/>
    <mergeCell ref="M59:N59"/>
    <mergeCell ref="O59:P59"/>
    <mergeCell ref="Q59:V59"/>
    <mergeCell ref="D60:I60"/>
    <mergeCell ref="D74:I74"/>
    <mergeCell ref="K74:L74"/>
    <mergeCell ref="Q74:V74"/>
    <mergeCell ref="O76:P76"/>
    <mergeCell ref="Q76:V76"/>
    <mergeCell ref="M74:N74"/>
    <mergeCell ref="O74:P74"/>
    <mergeCell ref="K75:L75"/>
    <mergeCell ref="M75:N75"/>
    <mergeCell ref="O75:P75"/>
    <mergeCell ref="Q75:V75"/>
    <mergeCell ref="D76:I76"/>
    <mergeCell ref="K69:L69"/>
    <mergeCell ref="M69:N69"/>
    <mergeCell ref="O69:P69"/>
    <mergeCell ref="Q69:V69"/>
    <mergeCell ref="D70:I70"/>
    <mergeCell ref="K70:L70"/>
    <mergeCell ref="K73:L73"/>
    <mergeCell ref="M73:N73"/>
    <mergeCell ref="O73:P73"/>
    <mergeCell ref="Q73:V73"/>
    <mergeCell ref="K72:L72"/>
    <mergeCell ref="M72:N72"/>
    <mergeCell ref="O72:P72"/>
    <mergeCell ref="M70:N70"/>
    <mergeCell ref="O70:P70"/>
    <mergeCell ref="Q70:V70"/>
    <mergeCell ref="M71:N71"/>
    <mergeCell ref="O71:P71"/>
    <mergeCell ref="Q71:V71"/>
    <mergeCell ref="Q72:V72"/>
    <mergeCell ref="K67:L67"/>
    <mergeCell ref="M67:N67"/>
    <mergeCell ref="O67:P67"/>
    <mergeCell ref="Q67:V67"/>
    <mergeCell ref="D68:I68"/>
    <mergeCell ref="K68:L68"/>
    <mergeCell ref="M68:N68"/>
    <mergeCell ref="O68:P68"/>
    <mergeCell ref="Q68:V68"/>
    <mergeCell ref="Z39:AA39"/>
    <mergeCell ref="Z40:AA40"/>
    <mergeCell ref="T37:U37"/>
    <mergeCell ref="X37:Y37"/>
    <mergeCell ref="X38:Y38"/>
    <mergeCell ref="Z38:AA38"/>
    <mergeCell ref="T39:U39"/>
    <mergeCell ref="X39:Y40"/>
    <mergeCell ref="T40:V40"/>
    <mergeCell ref="F37:G37"/>
    <mergeCell ref="D50:F50"/>
    <mergeCell ref="D51:F51"/>
    <mergeCell ref="D52:G52"/>
    <mergeCell ref="D53:G53"/>
    <mergeCell ref="D42:H43"/>
    <mergeCell ref="D44:F44"/>
    <mergeCell ref="D45:F45"/>
    <mergeCell ref="D46:F46"/>
    <mergeCell ref="D47:F47"/>
    <mergeCell ref="D48:F48"/>
    <mergeCell ref="D49:F49"/>
    <mergeCell ref="Z14:AA14"/>
    <mergeCell ref="D12:H13"/>
    <mergeCell ref="J12:P13"/>
    <mergeCell ref="X12:AA12"/>
    <mergeCell ref="X13:Y13"/>
    <mergeCell ref="Z13:AA13"/>
    <mergeCell ref="D14:G14"/>
    <mergeCell ref="J14:K14"/>
    <mergeCell ref="X27:Y27"/>
    <mergeCell ref="T23:U23"/>
    <mergeCell ref="T24:U24"/>
    <mergeCell ref="T25:U25"/>
    <mergeCell ref="T26:U26"/>
    <mergeCell ref="X26:AA26"/>
    <mergeCell ref="T27:U27"/>
    <mergeCell ref="R22:S22"/>
    <mergeCell ref="R23:S23"/>
    <mergeCell ref="R24:S24"/>
    <mergeCell ref="R25:S25"/>
    <mergeCell ref="R26:S26"/>
    <mergeCell ref="R27:S27"/>
    <mergeCell ref="D25:F25"/>
    <mergeCell ref="D26:F26"/>
    <mergeCell ref="D27:F27"/>
    <mergeCell ref="D2:E2"/>
    <mergeCell ref="G2:L2"/>
    <mergeCell ref="D3:E3"/>
    <mergeCell ref="N3:Q5"/>
    <mergeCell ref="H4:I4"/>
    <mergeCell ref="J4:K4"/>
    <mergeCell ref="H5:I5"/>
    <mergeCell ref="R12:V13"/>
    <mergeCell ref="R14:S14"/>
    <mergeCell ref="T14:U14"/>
    <mergeCell ref="K60:L60"/>
    <mergeCell ref="M60:N60"/>
    <mergeCell ref="J5:K5"/>
    <mergeCell ref="S5:X5"/>
    <mergeCell ref="U8:V8"/>
    <mergeCell ref="W8:X8"/>
    <mergeCell ref="N6:Q6"/>
    <mergeCell ref="N7:P7"/>
    <mergeCell ref="S7:T7"/>
    <mergeCell ref="U7:V7"/>
    <mergeCell ref="W7:X7"/>
    <mergeCell ref="N8:P8"/>
    <mergeCell ref="S8:T8"/>
    <mergeCell ref="X14:Y14"/>
    <mergeCell ref="X28:Y28"/>
    <mergeCell ref="T28:U28"/>
    <mergeCell ref="R31:S31"/>
    <mergeCell ref="R33:S33"/>
    <mergeCell ref="R29:S29"/>
    <mergeCell ref="X34:AA34"/>
    <mergeCell ref="X35:Y35"/>
    <mergeCell ref="Z35:AA35"/>
    <mergeCell ref="T29:U29"/>
    <mergeCell ref="X29:Y29"/>
    <mergeCell ref="D23:H24"/>
    <mergeCell ref="T33:U33"/>
    <mergeCell ref="T34:U34"/>
    <mergeCell ref="R35:S35"/>
    <mergeCell ref="T35:U35"/>
    <mergeCell ref="T36:U36"/>
    <mergeCell ref="X36:AA36"/>
    <mergeCell ref="R37:S37"/>
    <mergeCell ref="Z37:AA37"/>
    <mergeCell ref="T30:U30"/>
    <mergeCell ref="X30:Y30"/>
    <mergeCell ref="T31:U31"/>
    <mergeCell ref="T32:U32"/>
    <mergeCell ref="X32:AA33"/>
    <mergeCell ref="D28:F28"/>
    <mergeCell ref="D29:F29"/>
    <mergeCell ref="D30:F30"/>
    <mergeCell ref="D31:F31"/>
    <mergeCell ref="D32:F32"/>
    <mergeCell ref="D33:F33"/>
    <mergeCell ref="D34:F34"/>
    <mergeCell ref="D35:F35"/>
    <mergeCell ref="D36:E37"/>
    <mergeCell ref="F36:G36"/>
    <mergeCell ref="R21:S21"/>
    <mergeCell ref="T21:U21"/>
    <mergeCell ref="T22:U22"/>
    <mergeCell ref="D16:G16"/>
    <mergeCell ref="D17:G17"/>
    <mergeCell ref="D18:G18"/>
    <mergeCell ref="D19:G19"/>
    <mergeCell ref="D20:G20"/>
    <mergeCell ref="D21:G21"/>
    <mergeCell ref="R17:S17"/>
    <mergeCell ref="T17:U17"/>
    <mergeCell ref="Z17:AA17"/>
    <mergeCell ref="R18:S18"/>
    <mergeCell ref="T18:U18"/>
    <mergeCell ref="R19:S19"/>
    <mergeCell ref="T19:U19"/>
    <mergeCell ref="R20:S20"/>
    <mergeCell ref="T20:U20"/>
    <mergeCell ref="D15:G15"/>
    <mergeCell ref="R15:S15"/>
    <mergeCell ref="T15:U15"/>
    <mergeCell ref="Z15:AA15"/>
    <mergeCell ref="R16:S16"/>
    <mergeCell ref="T16:U16"/>
    <mergeCell ref="Z16:AA16"/>
    <mergeCell ref="X15:Y15"/>
    <mergeCell ref="X16:Y16"/>
    <mergeCell ref="D39:F40"/>
    <mergeCell ref="G39:H40"/>
    <mergeCell ref="R39:S39"/>
    <mergeCell ref="R40:S40"/>
    <mergeCell ref="J42:R42"/>
    <mergeCell ref="T42:V42"/>
    <mergeCell ref="D56:V57"/>
    <mergeCell ref="K58:L58"/>
    <mergeCell ref="Q58:V58"/>
    <mergeCell ref="M58:N58"/>
    <mergeCell ref="O58:P58"/>
  </mergeCells>
  <conditionalFormatting sqref="Z39:AA40">
    <cfRule type="cellIs" dxfId="3" priority="1" operator="greaterThanOrEqual">
      <formula>0</formula>
    </cfRule>
    <cfRule type="cellIs" dxfId="2" priority="3" operator="lessThan">
      <formula>0</formula>
    </cfRule>
    <cfRule type="containsText" dxfId="1" priority="4" operator="containsText" text="falta">
      <formula>NOT(ISERROR(SEARCH(("falta"),(Z39))))</formula>
    </cfRule>
  </conditionalFormatting>
  <conditionalFormatting sqref="Z40:AA40">
    <cfRule type="containsText" dxfId="0" priority="2" operator="containsText" text="sobra">
      <formula>NOT(ISERROR(SEARCH(("sobra"),(Z40))))</formula>
    </cfRule>
  </conditionalFormatting>
  <dataValidations count="3">
    <dataValidation type="list" allowBlank="1" showErrorMessage="1" sqref="G45:G51" xr:uid="{00000000-0002-0000-0D00-000000000000}">
      <formula1>"Ahorro,Inversión"</formula1>
    </dataValidation>
    <dataValidation type="list" allowBlank="1" showErrorMessage="1" sqref="K59:K119" xr:uid="{00000000-0002-0000-0D00-000001000000}">
      <formula1>"Transporte,Alimentación,Restaurantes,Delivery,Bares,Ropa,Belleza,Gasolina,Hogar,Tarjeta de crédito,Ocio,Pequeñas compras,Tasas/Impuestos,Viajes/vacaciones,Tecnología,Reparaciones,Salud,Higiene,Cursos/Formación/Trabajo,Mascotas,Familia,Otros,Préstamos"</formula1>
    </dataValidation>
    <dataValidation type="list" allowBlank="1" showErrorMessage="1" sqref="N15:N39 M59:M119" xr:uid="{00000000-0002-0000-0D00-000002000000}">
      <formula1>"Transferencia,Tarjeta de débito,Efectivo,Tarjeta de crédito"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CTAS</vt:lpstr>
      <vt:lpstr>RESUMEN</vt:lpstr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Thome</cp:lastModifiedBy>
  <dcterms:modified xsi:type="dcterms:W3CDTF">2025-11-30T23:12:15Z</dcterms:modified>
</cp:coreProperties>
</file>