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nzog\Downloads\"/>
    </mc:Choice>
  </mc:AlternateContent>
  <xr:revisionPtr revIDLastSave="0" documentId="13_ncr:1_{1C5F20A1-E140-430D-AFDE-4CF82C19E224}" xr6:coauthVersionLast="47" xr6:coauthVersionMax="47" xr10:uidLastSave="{00000000-0000-0000-0000-000000000000}"/>
  <bookViews>
    <workbookView xWindow="-110" yWindow="-110" windowWidth="25820" windowHeight="15500" activeTab="4" xr2:uid="{7FC65E80-E540-42FA-BE15-8B9376FCD5E8}"/>
  </bookViews>
  <sheets>
    <sheet name="Pvt_Product" sheetId="3" r:id="rId1"/>
    <sheet name="Pvt_Country" sheetId="4" r:id="rId2"/>
    <sheet name="Pvt_Trend" sheetId="2" r:id="rId3"/>
    <sheet name="INPUT" sheetId="1" r:id="rId4"/>
    <sheet name="DASHBOARD" sheetId="5" r:id="rId5"/>
  </sheets>
  <definedNames>
    <definedName name="_xlnm._FilterDatabase" localSheetId="3" hidden="1">INPUT!$D$2:$D$13</definedName>
    <definedName name="SegmentaciónDeDatos_Años__Date">#N/A</definedName>
    <definedName name="SegmentaciónDeDatos_Category">#N/A</definedName>
    <definedName name="SegmentaciónDeDatos_Country_Buyer">#N/A</definedName>
    <definedName name="SegmentaciónDeDatos_Meses__Date">#N/A</definedName>
    <definedName name="SegmentaciónDeDatos_Product">#N/A</definedName>
  </definedNames>
  <calcPr calcId="191029"/>
  <pivotCaches>
    <pivotCache cacheId="1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I4" i="5" s="1"/>
  <c r="L4" i="5" a="1"/>
  <c r="L4" i="5" s="1"/>
  <c r="F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<sst xmlns="http://schemas.openxmlformats.org/spreadsheetml/2006/main" count="1149" uniqueCount="200">
  <si>
    <t>Date</t>
  </si>
  <si>
    <t>Simple_Date</t>
  </si>
  <si>
    <t>Product</t>
  </si>
  <si>
    <t>Category</t>
  </si>
  <si>
    <t>Country Buyer</t>
  </si>
  <si>
    <t>Amount</t>
  </si>
  <si>
    <t>VR Headset</t>
  </si>
  <si>
    <t>Services</t>
  </si>
  <si>
    <t>Mexico</t>
  </si>
  <si>
    <t>Ergonomic Office Chair</t>
  </si>
  <si>
    <t>Clothing</t>
  </si>
  <si>
    <t>Japan</t>
  </si>
  <si>
    <t>Electric Toothbrush</t>
  </si>
  <si>
    <t>USA</t>
  </si>
  <si>
    <t>Electric Milk Frother</t>
  </si>
  <si>
    <t>Tech</t>
  </si>
  <si>
    <t>Switzerland</t>
  </si>
  <si>
    <t>Smart Fitness Watch</t>
  </si>
  <si>
    <t>Denmark</t>
  </si>
  <si>
    <t>Rechargeable Electric Lighter</t>
  </si>
  <si>
    <t>Germany</t>
  </si>
  <si>
    <t>Wireless Charging Pad</t>
  </si>
  <si>
    <t>Spain</t>
  </si>
  <si>
    <t>Foam Roller for Back Massage</t>
  </si>
  <si>
    <t>Other</t>
  </si>
  <si>
    <t>Finland</t>
  </si>
  <si>
    <t>Stainless Steel Water Bottle</t>
  </si>
  <si>
    <t>Italy</t>
  </si>
  <si>
    <t>USB-C Fast Charging Cable</t>
  </si>
  <si>
    <t>Guatemala</t>
  </si>
  <si>
    <t>Designer Sunglasses</t>
  </si>
  <si>
    <t>Food</t>
  </si>
  <si>
    <t>Argentina</t>
  </si>
  <si>
    <t>Uruguay</t>
  </si>
  <si>
    <t>Portable Mini Projector</t>
  </si>
  <si>
    <t>India</t>
  </si>
  <si>
    <t>LED Desk Lamp with Dimmer</t>
  </si>
  <si>
    <t>Brazil</t>
  </si>
  <si>
    <t>sept 2018</t>
  </si>
  <si>
    <t>Vegan Leather Wallet</t>
  </si>
  <si>
    <t>Jordan</t>
  </si>
  <si>
    <t>Smart LED Light Bulb</t>
  </si>
  <si>
    <t>Digital Kitchen Scale</t>
  </si>
  <si>
    <t>Indoor Plant Growing Kit</t>
  </si>
  <si>
    <t>Peru</t>
  </si>
  <si>
    <t>LED String Lights</t>
  </si>
  <si>
    <t>Costa Rica</t>
  </si>
  <si>
    <t>Ireland</t>
  </si>
  <si>
    <t>Chile</t>
  </si>
  <si>
    <t>Solar-Powered Garden Lights</t>
  </si>
  <si>
    <t>South Africa</t>
  </si>
  <si>
    <t>Meditation Cushion</t>
  </si>
  <si>
    <t>Poland</t>
  </si>
  <si>
    <t>Smart Home Security Camera</t>
  </si>
  <si>
    <t>UK</t>
  </si>
  <si>
    <t>Portugal</t>
  </si>
  <si>
    <t>Canada</t>
  </si>
  <si>
    <t>Smart Door Lock</t>
  </si>
  <si>
    <t>Car Vacuum Cleaner</t>
  </si>
  <si>
    <t>Anti-Theft Travel Backpack</t>
  </si>
  <si>
    <t>Nigeria</t>
  </si>
  <si>
    <t>Adjustable Tripod Stand</t>
  </si>
  <si>
    <t>Multi-Tool Pocket Knife</t>
  </si>
  <si>
    <t>Silicone Baking Mat</t>
  </si>
  <si>
    <t>Kazakhstan</t>
  </si>
  <si>
    <t>Handmade Scented Candle</t>
  </si>
  <si>
    <t>Colombia</t>
  </si>
  <si>
    <t>Digital Alarm Clock</t>
  </si>
  <si>
    <t>Lebanon</t>
  </si>
  <si>
    <t>Eco-Friendly Laundry Detergent Sheets</t>
  </si>
  <si>
    <t>Foldable Yoga Mat</t>
  </si>
  <si>
    <t>Beard Oil and Balm Set</t>
  </si>
  <si>
    <t>France</t>
  </si>
  <si>
    <t>High-Speed HDMI Cable</t>
  </si>
  <si>
    <t>Pakistan</t>
  </si>
  <si>
    <t>Collapsible Water Bottle</t>
  </si>
  <si>
    <t>Kenya</t>
  </si>
  <si>
    <t>Hoodie Sweatshirt</t>
  </si>
  <si>
    <t>Morocco</t>
  </si>
  <si>
    <t>Long-Lasting Lipstick</t>
  </si>
  <si>
    <t>Russia</t>
  </si>
  <si>
    <t>Gaming Mechanical Keyboard</t>
  </si>
  <si>
    <t>China</t>
  </si>
  <si>
    <t>Fitness Resistance Bands</t>
  </si>
  <si>
    <t>Natural Hair Conditioner</t>
  </si>
  <si>
    <t>Aromatherapy Diffuser</t>
  </si>
  <si>
    <t>Sweden</t>
  </si>
  <si>
    <t>Organic Cotton T-Shirt</t>
  </si>
  <si>
    <t>Honduras</t>
  </si>
  <si>
    <t>Pet Feeding Bowl</t>
  </si>
  <si>
    <t>Czech Republic</t>
  </si>
  <si>
    <t>Professional Tripod for Cameras</t>
  </si>
  <si>
    <t>Belgium</t>
  </si>
  <si>
    <t>Laptop Backpack with USB Port</t>
  </si>
  <si>
    <t>Ethiopia</t>
  </si>
  <si>
    <t>sept 2019</t>
  </si>
  <si>
    <t>Magnetic Car Sunshade</t>
  </si>
  <si>
    <t>Adjustable Dumbbell Set</t>
  </si>
  <si>
    <t>Vietnam</t>
  </si>
  <si>
    <t>Foldable Picnic Blanket</t>
  </si>
  <si>
    <t>Foldable Laptop Stand</t>
  </si>
  <si>
    <t>Singapore</t>
  </si>
  <si>
    <t>Stainless Steel Thermos</t>
  </si>
  <si>
    <t>Professional Hair Dryer</t>
  </si>
  <si>
    <t>Malaysia</t>
  </si>
  <si>
    <t>Instant Digital Thermometer</t>
  </si>
  <si>
    <t>Travel Neck Pillow</t>
  </si>
  <si>
    <t>Australia</t>
  </si>
  <si>
    <t>Rechargeable LED Flashlight</t>
  </si>
  <si>
    <t>Men’s Grooming Kit</t>
  </si>
  <si>
    <t>Ghana</t>
  </si>
  <si>
    <t>Double-Walled Glass Cup</t>
  </si>
  <si>
    <t>Noise-Cancelling Earbuds</t>
  </si>
  <si>
    <t>Organic Facial Moisturizer</t>
  </si>
  <si>
    <t>UV Phone Sanitizer Box</t>
  </si>
  <si>
    <t>Saudi Arabia</t>
  </si>
  <si>
    <t>Aromatherapy Essential Oils Set</t>
  </si>
  <si>
    <t>Reusable Notebook with App Sync</t>
  </si>
  <si>
    <t>Wireless Home Doorbell</t>
  </si>
  <si>
    <t>Indonesia</t>
  </si>
  <si>
    <t>Ultra-Soft Throw Blanket</t>
  </si>
  <si>
    <t>Greece</t>
  </si>
  <si>
    <t>Running Sports Shorts</t>
  </si>
  <si>
    <t>El Salvador</t>
  </si>
  <si>
    <t>Women’s Skincare Starter Set</t>
  </si>
  <si>
    <t>Bluetooth Smart Thermostat</t>
  </si>
  <si>
    <t>Wireless Bluetooth Headphones</t>
  </si>
  <si>
    <t>Turkey</t>
  </si>
  <si>
    <t>Ceramic Vase Decor</t>
  </si>
  <si>
    <t>Digital Drawing Tablet</t>
  </si>
  <si>
    <t>UAE</t>
  </si>
  <si>
    <t>Compact Binoculars</t>
  </si>
  <si>
    <t>Ukraine</t>
  </si>
  <si>
    <t>Gaming Headset</t>
  </si>
  <si>
    <t>Netherlands</t>
  </si>
  <si>
    <t>Leather Laptop Sleeve</t>
  </si>
  <si>
    <t>Bangladesh</t>
  </si>
  <si>
    <t>Waterproof Hiking Boots</t>
  </si>
  <si>
    <t>Thailand</t>
  </si>
  <si>
    <t>Reusable Bamboo Cutlery Set</t>
  </si>
  <si>
    <t>Minimalist Wristwatch</t>
  </si>
  <si>
    <t>Israel</t>
  </si>
  <si>
    <t>sept 2020</t>
  </si>
  <si>
    <t>4K Action Camera</t>
  </si>
  <si>
    <t>Stainless Steel Cookware Set</t>
  </si>
  <si>
    <t>Kids’ Educational Puzzle</t>
  </si>
  <si>
    <t>Qatar</t>
  </si>
  <si>
    <t>Pet Grooming Brush</t>
  </si>
  <si>
    <t>Portable Handheld Fan</t>
  </si>
  <si>
    <t>Professional Chef’s Knife</t>
  </si>
  <si>
    <t>Portable Power Bank 20,000mAh</t>
  </si>
  <si>
    <t>Egypt</t>
  </si>
  <si>
    <t>Camping Sleeping Bag</t>
  </si>
  <si>
    <t>Waterproof Phone Case</t>
  </si>
  <si>
    <t>Cotton Bed Sheet Set</t>
  </si>
  <si>
    <t>Wireless Computer Mouse</t>
  </si>
  <si>
    <t>Austria</t>
  </si>
  <si>
    <t>Soft Memory Foam Pillow</t>
  </si>
  <si>
    <t>Noise-Reducing Sleep Mask</t>
  </si>
  <si>
    <t>Portable Bluetooth Speaker</t>
  </si>
  <si>
    <t>Waterproof Makeup Bag</t>
  </si>
  <si>
    <t>New Zealand</t>
  </si>
  <si>
    <t>Wireless Soundbar Speaker</t>
  </si>
  <si>
    <t>South Korea</t>
  </si>
  <si>
    <t>Reusable Grocery Bags</t>
  </si>
  <si>
    <t>Insulated Lunch Bag</t>
  </si>
  <si>
    <t>Reusable Coffee Filter</t>
  </si>
  <si>
    <t>Adjustable Standing Desk</t>
  </si>
  <si>
    <t>Norway</t>
  </si>
  <si>
    <t>Noise-Reducing Wall Panels</t>
  </si>
  <si>
    <t>Ceramic Coffee Mug 350ml</t>
  </si>
  <si>
    <t>Car Phone Mount</t>
  </si>
  <si>
    <t>Travel Packing Cubes</t>
  </si>
  <si>
    <t>Philippines</t>
  </si>
  <si>
    <t>4-Pack Storage Containers</t>
  </si>
  <si>
    <t>Stainless Steel Cocktail Shaker</t>
  </si>
  <si>
    <t>Etiquetas de fila</t>
  </si>
  <si>
    <t>Total general</t>
  </si>
  <si>
    <t>2018</t>
  </si>
  <si>
    <t>2019</t>
  </si>
  <si>
    <t>2020</t>
  </si>
  <si>
    <t>Feb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</si>
  <si>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</si>
  <si>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</si>
  <si>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</si>
  <si>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</si>
  <si>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</si>
  <si>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</si>
  <si>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</si>
  <si>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</si>
  <si>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</si>
  <si>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Mar</t>
  </si>
  <si>
    <t>Ene</t>
  </si>
  <si>
    <t>Suma de Amount</t>
  </si>
  <si>
    <t>Cuenta de Product</t>
  </si>
  <si>
    <t>EXECUTIVE SALES DASHBOARD</t>
  </si>
  <si>
    <t>TOTAL ORDERS</t>
  </si>
  <si>
    <t>TOTAL SALES</t>
  </si>
  <si>
    <t>AVG TICKET</t>
  </si>
  <si>
    <t>TOP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</si>
</sst>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7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36"/>
      <color theme="0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4" tint="0.59999389629810485"/>
      </left>
      <right style="medium">
        <color theme="4" tint="0.59999389629810485"/>
      </right>
      <top style="medium">
        <color theme="4" tint="0.59999389629810485"/>
      </top>
      <bottom style="medium">
        <color theme="4" tint="0.59999389629810485"/>
      </bottom>
      <diagonal/>
    </border>
    <border>
      <left style="medium">
        <color theme="1"/>
      </left>
      <right style="medium">
        <color theme="4" tint="0.59999389629810485"/>
      </right>
      <top style="medium">
        <color theme="1"/>
      </top>
      <bottom style="medium">
        <color theme="4" tint="0.59999389629810485"/>
      </bottom>
      <diagonal/>
    </border>
    <border>
      <left style="medium">
        <color theme="4" tint="0.59999389629810485"/>
      </left>
      <right style="medium">
        <color theme="4" tint="0.59999389629810485"/>
      </right>
      <top style="medium">
        <color theme="1"/>
      </top>
      <bottom style="medium">
        <color theme="4" tint="0.59999389629810485"/>
      </bottom>
      <diagonal/>
    </border>
    <border>
      <left style="medium">
        <color theme="4" tint="0.59999389629810485"/>
      </left>
      <right style="medium">
        <color theme="1"/>
      </right>
      <top style="medium">
        <color theme="1"/>
      </top>
      <bottom style="medium">
        <color theme="4" tint="0.59999389629810485"/>
      </bottom>
      <diagonal/>
    </border>
    <border>
      <left style="medium">
        <color theme="1"/>
      </left>
      <right style="medium">
        <color theme="4" tint="0.59999389629810485"/>
      </right>
      <top style="medium">
        <color theme="4" tint="0.59999389629810485"/>
      </top>
      <bottom style="medium">
        <color theme="4" tint="0.59999389629810485"/>
      </bottom>
      <diagonal/>
    </border>
    <border>
      <left style="medium">
        <color theme="4" tint="0.59999389629810485"/>
      </left>
      <right style="medium">
        <color theme="1"/>
      </right>
      <top style="medium">
        <color theme="4" tint="0.59999389629810485"/>
      </top>
      <bottom style="medium">
        <color theme="4" tint="0.59999389629810485"/>
      </bottom>
      <diagonal/>
    </border>
    <border>
      <left style="medium">
        <color theme="1"/>
      </left>
      <right style="medium">
        <color theme="4" tint="0.59999389629810485"/>
      </right>
      <top style="medium">
        <color theme="4" tint="0.59999389629810485"/>
      </top>
      <bottom style="medium">
        <color theme="1"/>
      </bottom>
      <diagonal/>
    </border>
    <border>
      <left style="medium">
        <color theme="4" tint="0.59999389629810485"/>
      </left>
      <right style="medium">
        <color theme="4" tint="0.59999389629810485"/>
      </right>
      <top style="medium">
        <color theme="4" tint="0.59999389629810485"/>
      </top>
      <bottom style="medium">
        <color theme="1"/>
      </bottom>
      <diagonal/>
    </border>
    <border>
      <left style="medium">
        <color theme="4" tint="0.59999389629810485"/>
      </left>
      <right style="medium">
        <color theme="1"/>
      </right>
      <top style="medium">
        <color theme="4" tint="0.59999389629810485"/>
      </top>
      <bottom style="medium">
        <color theme="1"/>
      </bottom>
      <diagonal/>
    </border>
    <border>
      <left/>
      <right style="medium">
        <color theme="4" tint="0.59999389629810485"/>
      </right>
      <top style="medium">
        <color theme="1"/>
      </top>
      <bottom style="medium">
        <color theme="4" tint="0.59999389629810485"/>
      </bottom>
      <diagonal/>
    </border>
    <border>
      <left/>
      <right style="medium">
        <color theme="4" tint="0.59999389629810485"/>
      </right>
      <top style="medium">
        <color theme="4" tint="0.59999389629810485"/>
      </top>
      <bottom style="medium">
        <color theme="4" tint="0.59999389629810485"/>
      </bottom>
      <diagonal/>
    </border>
    <border>
      <left/>
      <right style="medium">
        <color theme="4" tint="0.59999389629810485"/>
      </right>
      <top style="medium">
        <color theme="4" tint="0.59999389629810485"/>
      </top>
      <bottom style="medium">
        <color theme="1"/>
      </bottom>
      <diagonal/>
    </border>
  </borders>
  <cellStyleXfs count="1">
    <xf numFmtId="0" fontId="0" fillId="0" borderId="0"/>
  </cellStyleXfs>
  <cellXfs count="64">
    <xf numFmtId="0" fontId="0" fillId="0" borderId="0" xfId="0"/>
    <xf numFmtId="17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6" fontId="0" fillId="0" borderId="0" xfId="0" applyNumberFormat="1"/>
    <xf numFmtId="0" fontId="2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14" fontId="2" fillId="3" borderId="2" xfId="0" applyNumberFormat="1" applyFont="1" applyFill="1" applyBorder="1" applyAlignment="1">
      <alignment horizontal="right" wrapText="1"/>
    </xf>
    <xf numFmtId="6" fontId="2" fillId="3" borderId="3" xfId="0" applyNumberFormat="1" applyFont="1" applyFill="1" applyBorder="1" applyAlignment="1">
      <alignment horizontal="right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14" fontId="2" fillId="3" borderId="7" xfId="0" applyNumberFormat="1" applyFont="1" applyFill="1" applyBorder="1" applyAlignment="1">
      <alignment horizontal="right" wrapText="1"/>
    </xf>
    <xf numFmtId="17" fontId="2" fillId="3" borderId="8" xfId="0" applyNumberFormat="1" applyFont="1" applyFill="1" applyBorder="1" applyAlignment="1">
      <alignment horizontal="right" wrapText="1"/>
    </xf>
    <xf numFmtId="0" fontId="2" fillId="3" borderId="8" xfId="0" applyFont="1" applyFill="1" applyBorder="1" applyAlignment="1">
      <alignment wrapText="1"/>
    </xf>
    <xf numFmtId="0" fontId="3" fillId="3" borderId="8" xfId="0" applyFont="1" applyFill="1" applyBorder="1" applyAlignment="1">
      <alignment wrapText="1"/>
    </xf>
    <xf numFmtId="6" fontId="2" fillId="3" borderId="9" xfId="0" applyNumberFormat="1" applyFont="1" applyFill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10" xfId="0" applyBorder="1"/>
    <xf numFmtId="0" fontId="4" fillId="4" borderId="10" xfId="0" applyFont="1" applyFill="1" applyBorder="1" applyAlignment="1">
      <alignment horizontal="center"/>
    </xf>
    <xf numFmtId="0" fontId="0" fillId="0" borderId="20" xfId="0" applyBorder="1"/>
    <xf numFmtId="0" fontId="4" fillId="4" borderId="21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0" fillId="0" borderId="29" xfId="0" applyBorder="1"/>
    <xf numFmtId="0" fontId="4" fillId="4" borderId="18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2" fontId="5" fillId="5" borderId="30" xfId="0" applyNumberFormat="1" applyFont="1" applyFill="1" applyBorder="1" applyAlignment="1">
      <alignment horizontal="center"/>
    </xf>
    <xf numFmtId="0" fontId="6" fillId="5" borderId="3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/>
    </xf>
    <xf numFmtId="0" fontId="5" fillId="5" borderId="32" xfId="0" applyFont="1" applyFill="1" applyBorder="1" applyAlignment="1">
      <alignment horizontal="center"/>
    </xf>
    <xf numFmtId="2" fontId="5" fillId="5" borderId="32" xfId="0" applyNumberFormat="1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5" fillId="5" borderId="34" xfId="0" applyFont="1" applyFill="1" applyBorder="1" applyAlignment="1">
      <alignment horizontal="center"/>
    </xf>
    <xf numFmtId="0" fontId="5" fillId="5" borderId="35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/>
    </xf>
    <xf numFmtId="0" fontId="5" fillId="5" borderId="40" xfId="0" applyFont="1" applyFill="1" applyBorder="1" applyAlignment="1">
      <alignment horizontal="center"/>
    </xf>
    <xf numFmtId="0" fontId="6" fillId="5" borderId="40" xfId="0" applyFont="1" applyFill="1" applyBorder="1" applyAlignment="1">
      <alignment horizontal="center" vertical="center"/>
    </xf>
    <xf numFmtId="0" fontId="6" fillId="5" borderId="41" xfId="0" applyFont="1" applyFill="1" applyBorder="1" applyAlignment="1">
      <alignment horizontal="center" vertical="center"/>
    </xf>
    <xf numFmtId="2" fontId="5" fillId="5" borderId="31" xfId="0" applyNumberFormat="1" applyFont="1" applyFill="1" applyBorder="1" applyAlignment="1">
      <alignment horizontal="center"/>
    </xf>
    <xf numFmtId="2" fontId="5" fillId="5" borderId="33" xfId="0" applyNumberFormat="1" applyFont="1" applyFill="1" applyBorder="1" applyAlignment="1">
      <alignment horizontal="center"/>
    </xf>
    <xf numFmtId="2" fontId="5" fillId="5" borderId="34" xfId="0" applyNumberFormat="1" applyFont="1" applyFill="1" applyBorder="1" applyAlignment="1">
      <alignment horizontal="center"/>
    </xf>
    <xf numFmtId="2" fontId="5" fillId="5" borderId="35" xfId="0" applyNumberFormat="1" applyFont="1" applyFill="1" applyBorder="1" applyAlignment="1">
      <alignment horizont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4285F4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0" formatCode="&quot;$&quot;\ #,##0;[Red]\-&quot;$&quot;\ #,##0"/>
      <fill>
        <patternFill patternType="solid">
          <fgColor indexed="64"/>
          <bgColor rgb="FFC9DAF8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9DA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C9DA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9DAF8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2" formatCode="mmm\-yy"/>
      <fill>
        <patternFill patternType="solid">
          <fgColor indexed="64"/>
          <bgColor rgb="FFC9DAF8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/m/yyyy"/>
      <fill>
        <patternFill patternType="solid">
          <fgColor indexed="64"/>
          <bgColor rgb="FFC9DAF8"/>
        </patternFill>
      </fill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Dashboard.xlsx]Pvt_Trend!TablaDinámica1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Pvt_Trend!$B$3</c:f>
              <c:strCache>
                <c:ptCount val="1"/>
                <c:pt idx="0">
                  <c:v>Suma de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Pvt_Trend!$A$4:$A$37</c:f>
              <c:multiLvlStrCache>
                <c:ptCount val="30"/>
                <c:lvl>
                  <c:pt idx="0">
                    <c:v>Feb</c:v>
                  </c:pt>
                  <c:pt idx="1">
                    <c:v>Abr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Ago</c:v>
                  </c:pt>
                  <c:pt idx="6">
                    <c:v>set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Dic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Abr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Ago</c:v>
                  </c:pt>
                  <c:pt idx="16">
                    <c:v>set</c:v>
                  </c:pt>
                  <c:pt idx="17">
                    <c:v>Oct</c:v>
                  </c:pt>
                  <c:pt idx="18">
                    <c:v>Nov</c:v>
                  </c:pt>
                  <c:pt idx="19">
                    <c:v>Dic</c:v>
                  </c:pt>
                  <c:pt idx="20">
                    <c:v>Ene</c:v>
                  </c:pt>
                  <c:pt idx="21">
                    <c:v>Feb</c:v>
                  </c:pt>
                  <c:pt idx="22">
                    <c:v>Abr</c:v>
                  </c:pt>
                  <c:pt idx="23">
                    <c:v>May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set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  <c:pt idx="20">
                    <c:v>2020</c:v>
                  </c:pt>
                </c:lvl>
              </c:multiLvlStrCache>
            </c:multiLvlStrRef>
          </c:cat>
          <c:val>
            <c:numRef>
              <c:f>Pvt_Trend!$B$4:$B$37</c:f>
              <c:numCache>
                <c:formatCode>"$"#,##0_);[Red]\("$"#,##0\)</c:formatCode>
                <c:ptCount val="30"/>
                <c:pt idx="0">
                  <c:v>17</c:v>
                </c:pt>
                <c:pt idx="1">
                  <c:v>13</c:v>
                </c:pt>
                <c:pt idx="2">
                  <c:v>86</c:v>
                </c:pt>
                <c:pt idx="3">
                  <c:v>48</c:v>
                </c:pt>
                <c:pt idx="4">
                  <c:v>89</c:v>
                </c:pt>
                <c:pt idx="5">
                  <c:v>48</c:v>
                </c:pt>
                <c:pt idx="6">
                  <c:v>151</c:v>
                </c:pt>
                <c:pt idx="7">
                  <c:v>196</c:v>
                </c:pt>
                <c:pt idx="8">
                  <c:v>121</c:v>
                </c:pt>
                <c:pt idx="9">
                  <c:v>146</c:v>
                </c:pt>
                <c:pt idx="10">
                  <c:v>136</c:v>
                </c:pt>
                <c:pt idx="11">
                  <c:v>219</c:v>
                </c:pt>
                <c:pt idx="12">
                  <c:v>181</c:v>
                </c:pt>
                <c:pt idx="13">
                  <c:v>75</c:v>
                </c:pt>
                <c:pt idx="14">
                  <c:v>195</c:v>
                </c:pt>
                <c:pt idx="15">
                  <c:v>204</c:v>
                </c:pt>
                <c:pt idx="16">
                  <c:v>191</c:v>
                </c:pt>
                <c:pt idx="17">
                  <c:v>28</c:v>
                </c:pt>
                <c:pt idx="18">
                  <c:v>22</c:v>
                </c:pt>
                <c:pt idx="19">
                  <c:v>90</c:v>
                </c:pt>
                <c:pt idx="20">
                  <c:v>408</c:v>
                </c:pt>
                <c:pt idx="21">
                  <c:v>31</c:v>
                </c:pt>
                <c:pt idx="22">
                  <c:v>97</c:v>
                </c:pt>
                <c:pt idx="23">
                  <c:v>69</c:v>
                </c:pt>
                <c:pt idx="24">
                  <c:v>18</c:v>
                </c:pt>
                <c:pt idx="25">
                  <c:v>90</c:v>
                </c:pt>
                <c:pt idx="26">
                  <c:v>74</c:v>
                </c:pt>
                <c:pt idx="27">
                  <c:v>64</c:v>
                </c:pt>
                <c:pt idx="28">
                  <c:v>34</c:v>
                </c:pt>
                <c:pt idx="2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4-4945-AE25-48A849DD5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677775"/>
        <c:axId val="398675855"/>
      </c:barChart>
      <c:lineChart>
        <c:grouping val="standard"/>
        <c:varyColors val="0"/>
        <c:ser>
          <c:idx val="1"/>
          <c:order val="1"/>
          <c:tx>
            <c:strRef>
              <c:f>Pvt_Trend!$C$3</c:f>
              <c:strCache>
                <c:ptCount val="1"/>
                <c:pt idx="0">
                  <c:v>Cuenta de Product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Pvt_Trend!$A$4:$A$37</c:f>
              <c:multiLvlStrCache>
                <c:ptCount val="30"/>
                <c:lvl>
                  <c:pt idx="0">
                    <c:v>Feb</c:v>
                  </c:pt>
                  <c:pt idx="1">
                    <c:v>Abr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Ago</c:v>
                  </c:pt>
                  <c:pt idx="6">
                    <c:v>set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Dic</c:v>
                  </c:pt>
                  <c:pt idx="10">
                    <c:v>Feb</c:v>
                  </c:pt>
                  <c:pt idx="11">
                    <c:v>Mar</c:v>
                  </c:pt>
                  <c:pt idx="12">
                    <c:v>Abr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Ago</c:v>
                  </c:pt>
                  <c:pt idx="16">
                    <c:v>set</c:v>
                  </c:pt>
                  <c:pt idx="17">
                    <c:v>Oct</c:v>
                  </c:pt>
                  <c:pt idx="18">
                    <c:v>Nov</c:v>
                  </c:pt>
                  <c:pt idx="19">
                    <c:v>Dic</c:v>
                  </c:pt>
                  <c:pt idx="20">
                    <c:v>Ene</c:v>
                  </c:pt>
                  <c:pt idx="21">
                    <c:v>Feb</c:v>
                  </c:pt>
                  <c:pt idx="22">
                    <c:v>Abr</c:v>
                  </c:pt>
                  <c:pt idx="23">
                    <c:v>May</c:v>
                  </c:pt>
                  <c:pt idx="24">
                    <c:v>Jul</c:v>
                  </c:pt>
                  <c:pt idx="25">
                    <c:v>Ago</c:v>
                  </c:pt>
                  <c:pt idx="26">
                    <c:v>set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Dic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  <c:pt idx="20">
                    <c:v>2020</c:v>
                  </c:pt>
                </c:lvl>
              </c:multiLvlStrCache>
            </c:multiLvlStrRef>
          </c:cat>
          <c:val>
            <c:numRef>
              <c:f>Pvt_Trend!$C$4:$C$37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4</c:v>
                </c:pt>
                <c:pt idx="4">
                  <c:v>11</c:v>
                </c:pt>
                <c:pt idx="5">
                  <c:v>6</c:v>
                </c:pt>
                <c:pt idx="6">
                  <c:v>14</c:v>
                </c:pt>
                <c:pt idx="7">
                  <c:v>20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22</c:v>
                </c:pt>
                <c:pt idx="12">
                  <c:v>16</c:v>
                </c:pt>
                <c:pt idx="13">
                  <c:v>10</c:v>
                </c:pt>
                <c:pt idx="14">
                  <c:v>14</c:v>
                </c:pt>
                <c:pt idx="15">
                  <c:v>17</c:v>
                </c:pt>
                <c:pt idx="16">
                  <c:v>15</c:v>
                </c:pt>
                <c:pt idx="17">
                  <c:v>2</c:v>
                </c:pt>
                <c:pt idx="18">
                  <c:v>2</c:v>
                </c:pt>
                <c:pt idx="19">
                  <c:v>6</c:v>
                </c:pt>
                <c:pt idx="20">
                  <c:v>35</c:v>
                </c:pt>
                <c:pt idx="21">
                  <c:v>5</c:v>
                </c:pt>
                <c:pt idx="22">
                  <c:v>7</c:v>
                </c:pt>
                <c:pt idx="23">
                  <c:v>6</c:v>
                </c:pt>
                <c:pt idx="24">
                  <c:v>1</c:v>
                </c:pt>
                <c:pt idx="25">
                  <c:v>7</c:v>
                </c:pt>
                <c:pt idx="26">
                  <c:v>10</c:v>
                </c:pt>
                <c:pt idx="27">
                  <c:v>7</c:v>
                </c:pt>
                <c:pt idx="28">
                  <c:v>3</c:v>
                </c:pt>
                <c:pt idx="2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4-4945-AE25-48A849DD5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691071"/>
        <c:axId val="398690111"/>
      </c:lineChart>
      <c:catAx>
        <c:axId val="39867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98675855"/>
        <c:crosses val="autoZero"/>
        <c:auto val="1"/>
        <c:lblAlgn val="ctr"/>
        <c:lblOffset val="100"/>
        <c:noMultiLvlLbl val="0"/>
      </c:catAx>
      <c:valAx>
        <c:axId val="39867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98677775"/>
        <c:crosses val="autoZero"/>
        <c:crossBetween val="between"/>
      </c:valAx>
      <c:valAx>
        <c:axId val="3986901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98691071"/>
        <c:crosses val="max"/>
        <c:crossBetween val="between"/>
      </c:valAx>
      <c:catAx>
        <c:axId val="398691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8690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Dashboard.xlsx]Pvt_Country!TablaDinámica3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Pvt_Country!$B$3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Pvt_Country!$A$4:$A$66</c:f>
              <c:strCache>
                <c:ptCount val="62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Bangladesh</c:v>
                </c:pt>
                <c:pt idx="4">
                  <c:v>Belgium</c:v>
                </c:pt>
                <c:pt idx="5">
                  <c:v>Brazil</c:v>
                </c:pt>
                <c:pt idx="6">
                  <c:v>Canada</c:v>
                </c:pt>
                <c:pt idx="7">
                  <c:v>Chile</c:v>
                </c:pt>
                <c:pt idx="8">
                  <c:v>China</c:v>
                </c:pt>
                <c:pt idx="9">
                  <c:v>Colombia</c:v>
                </c:pt>
                <c:pt idx="10">
                  <c:v>Costa Rica</c:v>
                </c:pt>
                <c:pt idx="11">
                  <c:v>Czech Republic</c:v>
                </c:pt>
                <c:pt idx="12">
                  <c:v>Denmark</c:v>
                </c:pt>
                <c:pt idx="13">
                  <c:v>Egypt</c:v>
                </c:pt>
                <c:pt idx="14">
                  <c:v>El Salvador</c:v>
                </c:pt>
                <c:pt idx="15">
                  <c:v>Ethiopia</c:v>
                </c:pt>
                <c:pt idx="16">
                  <c:v>Finland</c:v>
                </c:pt>
                <c:pt idx="17">
                  <c:v>France</c:v>
                </c:pt>
                <c:pt idx="18">
                  <c:v>Germany</c:v>
                </c:pt>
                <c:pt idx="19">
                  <c:v>Ghana</c:v>
                </c:pt>
                <c:pt idx="20">
                  <c:v>Greece</c:v>
                </c:pt>
                <c:pt idx="21">
                  <c:v>Guatemala</c:v>
                </c:pt>
                <c:pt idx="22">
                  <c:v>Honduras</c:v>
                </c:pt>
                <c:pt idx="23">
                  <c:v>India</c:v>
                </c:pt>
                <c:pt idx="24">
                  <c:v>Indonesia</c:v>
                </c:pt>
                <c:pt idx="25">
                  <c:v>Ireland</c:v>
                </c:pt>
                <c:pt idx="26">
                  <c:v>Israel</c:v>
                </c:pt>
                <c:pt idx="27">
                  <c:v>Italy</c:v>
                </c:pt>
                <c:pt idx="28">
                  <c:v>Japan</c:v>
                </c:pt>
                <c:pt idx="29">
                  <c:v>Jordan</c:v>
                </c:pt>
                <c:pt idx="30">
                  <c:v>Kazakhstan</c:v>
                </c:pt>
                <c:pt idx="31">
                  <c:v>Kenya</c:v>
                </c:pt>
                <c:pt idx="32">
                  <c:v>Lebanon</c:v>
                </c:pt>
                <c:pt idx="33">
                  <c:v>Malaysia</c:v>
                </c:pt>
                <c:pt idx="34">
                  <c:v>Mexico</c:v>
                </c:pt>
                <c:pt idx="35">
                  <c:v>Morocco</c:v>
                </c:pt>
                <c:pt idx="36">
                  <c:v>Netherlands</c:v>
                </c:pt>
                <c:pt idx="37">
                  <c:v>New Zealand</c:v>
                </c:pt>
                <c:pt idx="38">
                  <c:v>Nigeria</c:v>
                </c:pt>
                <c:pt idx="39">
                  <c:v>Norway</c:v>
                </c:pt>
                <c:pt idx="40">
                  <c:v>Pakistan</c:v>
                </c:pt>
                <c:pt idx="41">
                  <c:v>Peru</c:v>
                </c:pt>
                <c:pt idx="42">
                  <c:v>Philippines</c:v>
                </c:pt>
                <c:pt idx="43">
                  <c:v>Poland</c:v>
                </c:pt>
                <c:pt idx="44">
                  <c:v>Portugal</c:v>
                </c:pt>
                <c:pt idx="45">
                  <c:v>Qatar</c:v>
                </c:pt>
                <c:pt idx="46">
                  <c:v>Russia</c:v>
                </c:pt>
                <c:pt idx="47">
                  <c:v>Saudi Arabia</c:v>
                </c:pt>
                <c:pt idx="48">
                  <c:v>Singapore</c:v>
                </c:pt>
                <c:pt idx="49">
                  <c:v>South Africa</c:v>
                </c:pt>
                <c:pt idx="50">
                  <c:v>South Korea</c:v>
                </c:pt>
                <c:pt idx="51">
                  <c:v>Spain</c:v>
                </c:pt>
                <c:pt idx="52">
                  <c:v>Sweden</c:v>
                </c:pt>
                <c:pt idx="53">
                  <c:v>Switzerland</c:v>
                </c:pt>
                <c:pt idx="54">
                  <c:v>Thailand</c:v>
                </c:pt>
                <c:pt idx="55">
                  <c:v>Turkey</c:v>
                </c:pt>
                <c:pt idx="56">
                  <c:v>UAE</c:v>
                </c:pt>
                <c:pt idx="57">
                  <c:v>UK</c:v>
                </c:pt>
                <c:pt idx="58">
                  <c:v>Ukraine</c:v>
                </c:pt>
                <c:pt idx="59">
                  <c:v>Uruguay</c:v>
                </c:pt>
                <c:pt idx="60">
                  <c:v>USA</c:v>
                </c:pt>
                <c:pt idx="61">
                  <c:v>Vietnam</c:v>
                </c:pt>
              </c:strCache>
            </c:strRef>
          </c:cat>
          <c:val>
            <c:numRef>
              <c:f>Pvt_Country!$B$4:$B$66</c:f>
              <c:numCache>
                <c:formatCode>"$"#,##0_);[Red]\("$"#,##0\)</c:formatCode>
                <c:ptCount val="62"/>
                <c:pt idx="0">
                  <c:v>104</c:v>
                </c:pt>
                <c:pt idx="1">
                  <c:v>67</c:v>
                </c:pt>
                <c:pt idx="2">
                  <c:v>48</c:v>
                </c:pt>
                <c:pt idx="3">
                  <c:v>18</c:v>
                </c:pt>
                <c:pt idx="4">
                  <c:v>50</c:v>
                </c:pt>
                <c:pt idx="5">
                  <c:v>88</c:v>
                </c:pt>
                <c:pt idx="6">
                  <c:v>68</c:v>
                </c:pt>
                <c:pt idx="7">
                  <c:v>109</c:v>
                </c:pt>
                <c:pt idx="8">
                  <c:v>89</c:v>
                </c:pt>
                <c:pt idx="9">
                  <c:v>104</c:v>
                </c:pt>
                <c:pt idx="10">
                  <c:v>2</c:v>
                </c:pt>
                <c:pt idx="11">
                  <c:v>59</c:v>
                </c:pt>
                <c:pt idx="12">
                  <c:v>54</c:v>
                </c:pt>
                <c:pt idx="13">
                  <c:v>20</c:v>
                </c:pt>
                <c:pt idx="14">
                  <c:v>4</c:v>
                </c:pt>
                <c:pt idx="15">
                  <c:v>12</c:v>
                </c:pt>
                <c:pt idx="16">
                  <c:v>103</c:v>
                </c:pt>
                <c:pt idx="17">
                  <c:v>163</c:v>
                </c:pt>
                <c:pt idx="18">
                  <c:v>102</c:v>
                </c:pt>
                <c:pt idx="19">
                  <c:v>18</c:v>
                </c:pt>
                <c:pt idx="20">
                  <c:v>60</c:v>
                </c:pt>
                <c:pt idx="21">
                  <c:v>15</c:v>
                </c:pt>
                <c:pt idx="22">
                  <c:v>9</c:v>
                </c:pt>
                <c:pt idx="23">
                  <c:v>59</c:v>
                </c:pt>
                <c:pt idx="24">
                  <c:v>19</c:v>
                </c:pt>
                <c:pt idx="25">
                  <c:v>90</c:v>
                </c:pt>
                <c:pt idx="26">
                  <c:v>6</c:v>
                </c:pt>
                <c:pt idx="27">
                  <c:v>190</c:v>
                </c:pt>
                <c:pt idx="28">
                  <c:v>43</c:v>
                </c:pt>
                <c:pt idx="29">
                  <c:v>17</c:v>
                </c:pt>
                <c:pt idx="30">
                  <c:v>8</c:v>
                </c:pt>
                <c:pt idx="31">
                  <c:v>1</c:v>
                </c:pt>
                <c:pt idx="32">
                  <c:v>2</c:v>
                </c:pt>
                <c:pt idx="33">
                  <c:v>11</c:v>
                </c:pt>
                <c:pt idx="34">
                  <c:v>121</c:v>
                </c:pt>
                <c:pt idx="35">
                  <c:v>8</c:v>
                </c:pt>
                <c:pt idx="36">
                  <c:v>83</c:v>
                </c:pt>
                <c:pt idx="37">
                  <c:v>9</c:v>
                </c:pt>
                <c:pt idx="38">
                  <c:v>13</c:v>
                </c:pt>
                <c:pt idx="39">
                  <c:v>45</c:v>
                </c:pt>
                <c:pt idx="40">
                  <c:v>1</c:v>
                </c:pt>
                <c:pt idx="41">
                  <c:v>70</c:v>
                </c:pt>
                <c:pt idx="42">
                  <c:v>7</c:v>
                </c:pt>
                <c:pt idx="43">
                  <c:v>68</c:v>
                </c:pt>
                <c:pt idx="44">
                  <c:v>177</c:v>
                </c:pt>
                <c:pt idx="45">
                  <c:v>11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4</c:v>
                </c:pt>
                <c:pt idx="50">
                  <c:v>16</c:v>
                </c:pt>
                <c:pt idx="51">
                  <c:v>125</c:v>
                </c:pt>
                <c:pt idx="52">
                  <c:v>131</c:v>
                </c:pt>
                <c:pt idx="53">
                  <c:v>62</c:v>
                </c:pt>
                <c:pt idx="54">
                  <c:v>17</c:v>
                </c:pt>
                <c:pt idx="55">
                  <c:v>49</c:v>
                </c:pt>
                <c:pt idx="56">
                  <c:v>19</c:v>
                </c:pt>
                <c:pt idx="57">
                  <c:v>153</c:v>
                </c:pt>
                <c:pt idx="58">
                  <c:v>20</c:v>
                </c:pt>
                <c:pt idx="59">
                  <c:v>108</c:v>
                </c:pt>
                <c:pt idx="60">
                  <c:v>71</c:v>
                </c:pt>
                <c:pt idx="6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B-465F-A07A-701B9F279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266799"/>
        <c:axId val="1761505039"/>
      </c:barChart>
      <c:catAx>
        <c:axId val="47126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761505039"/>
        <c:crosses val="autoZero"/>
        <c:auto val="1"/>
        <c:lblAlgn val="ctr"/>
        <c:lblOffset val="100"/>
        <c:noMultiLvlLbl val="0"/>
      </c:catAx>
      <c:valAx>
        <c:axId val="176150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47126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Dashboard.xlsx]Pvt_Product!TablaDinámica2</c:name>
    <c:fmtId val="4"/>
  </c:pivotSource>
  <c:chart>
    <c:title>
      <c:layout>
        <c:manualLayout>
          <c:xMode val="edge"/>
          <c:yMode val="edge"/>
          <c:x val="6.0929754470346389E-2"/>
          <c:y val="3.487819056175026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Pvt_Product!$B$3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F9-4C76-9922-7B965FEFD8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F9-4C76-9922-7B965FEFD8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F9-4C76-9922-7B965FEFD8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F9-4C76-9922-7B965FEFD82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F9-4C76-9922-7B965FEFD82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F9-4C76-9922-7B965FEFD82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F9-4C76-9922-7B965FEFD82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F9-4C76-9922-7B965FEFD82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2F9-4C76-9922-7B965FEFD8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2F9-4C76-9922-7B965FEFD82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2F9-4C76-9922-7B965FEFD82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2F9-4C76-9922-7B965FEFD82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2F9-4C76-9922-7B965FEFD82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2F9-4C76-9922-7B965FEFD82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2F9-4C76-9922-7B965FEFD82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2F9-4C76-9922-7B965FEFD82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2F9-4C76-9922-7B965FEFD82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2F9-4C76-9922-7B965FEFD82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2F9-4C76-9922-7B965FEFD82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2F9-4C76-9922-7B965FEFD82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2F9-4C76-9922-7B965FEFD82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2F9-4C76-9922-7B965FEFD82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2F9-4C76-9922-7B965FEFD82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2F9-4C76-9922-7B965FEFD82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2F9-4C76-9922-7B965FEFD82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2F9-4C76-9922-7B965FEFD82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2F9-4C76-9922-7B965FEFD82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2F9-4C76-9922-7B965FEFD82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2F9-4C76-9922-7B965FEFD82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2F9-4C76-9922-7B965FEFD82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2F9-4C76-9922-7B965FEFD823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2F9-4C76-9922-7B965FEFD823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42F9-4C76-9922-7B965FEFD823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42F9-4C76-9922-7B965FEFD823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42F9-4C76-9922-7B965FEFD823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2F9-4C76-9922-7B965FEFD82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42F9-4C76-9922-7B965FEFD823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42F9-4C76-9922-7B965FEFD823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42F9-4C76-9922-7B965FEFD823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42F9-4C76-9922-7B965FEFD823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42F9-4C76-9922-7B965FEFD823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42F9-4C76-9922-7B965FEFD823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42F9-4C76-9922-7B965FEFD823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42F9-4C76-9922-7B965FEFD823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42F9-4C76-9922-7B965FEFD823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42F9-4C76-9922-7B965FEFD823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42F9-4C76-9922-7B965FEFD823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42F9-4C76-9922-7B965FEFD823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42F9-4C76-9922-7B965FEFD823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42F9-4C76-9922-7B965FEFD823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42F9-4C76-9922-7B965FEFD823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42F9-4C76-9922-7B965FEFD823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42F9-4C76-9922-7B965FEFD823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42F9-4C76-9922-7B965FEFD823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42F9-4C76-9922-7B965FEFD823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42F9-4C76-9922-7B965FEFD823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42F9-4C76-9922-7B965FEFD823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42F9-4C76-9922-7B965FEFD823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42F9-4C76-9922-7B965FEFD823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42F9-4C76-9922-7B965FEFD823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42F9-4C76-9922-7B965FEFD823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42F9-4C76-9922-7B965FEFD823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42F9-4C76-9922-7B965FEFD823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42F9-4C76-9922-7B965FEFD823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42F9-4C76-9922-7B965FEFD823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42F9-4C76-9922-7B965FEFD823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42F9-4C76-9922-7B965FEFD823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42F9-4C76-9922-7B965FEFD823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42F9-4C76-9922-7B965FEFD823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42F9-4C76-9922-7B965FEFD823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42F9-4C76-9922-7B965FEFD823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42F9-4C76-9922-7B965FEFD823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42F9-4C76-9922-7B965FEFD823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42F9-4C76-9922-7B965FEFD823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42F9-4C76-9922-7B965FEFD823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42F9-4C76-9922-7B965FEFD823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42F9-4C76-9922-7B965FEFD823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42F9-4C76-9922-7B965FEFD823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42F9-4C76-9922-7B965FEFD823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42F9-4C76-9922-7B965FEFD823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42F9-4C76-9922-7B965FEFD823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42F9-4C76-9922-7B965FEFD823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42F9-4C76-9922-7B965FEFD823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42F9-4C76-9922-7B965FEFD823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42F9-4C76-9922-7B965FEFD823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42F9-4C76-9922-7B965FEFD823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42F9-4C76-9922-7B965FEFD823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42F9-4C76-9922-7B965FEFD823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42F9-4C76-9922-7B965FEFD823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42F9-4C76-9922-7B965FEFD823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42F9-4C76-9922-7B965FEFD823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42F9-4C76-9922-7B965FEFD823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42F9-4C76-9922-7B965FEFD823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42F9-4C76-9922-7B965FEFD823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42F9-4C76-9922-7B965FEFD823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42F9-4C76-9922-7B965FEFD823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42F9-4C76-9922-7B965FEFD823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42F9-4C76-9922-7B965FEFD823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42F9-4C76-9922-7B965FEFD823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42F9-4C76-9922-7B965FEFD823}"/>
              </c:ext>
            </c:extLst>
          </c:dPt>
          <c:cat>
            <c:strRef>
              <c:f>Pvt_Product!$A$4:$A$104</c:f>
              <c:strCache>
                <c:ptCount val="100"/>
                <c:pt idx="0">
                  <c:v>4K Action Camera</c:v>
                </c:pt>
                <c:pt idx="1">
                  <c:v>4-Pack Storage Containers</c:v>
                </c:pt>
                <c:pt idx="2">
                  <c:v>Adjustable Dumbbell Set</c:v>
                </c:pt>
                <c:pt idx="3">
                  <c:v>Adjustable Standing Desk</c:v>
                </c:pt>
                <c:pt idx="4">
                  <c:v>Adjustable Tripod Stand</c:v>
                </c:pt>
                <c:pt idx="5">
                  <c:v>Anti-Theft Travel Backpack</c:v>
                </c:pt>
                <c:pt idx="6">
                  <c:v>Aromatherapy Diffuser</c:v>
                </c:pt>
                <c:pt idx="7">
                  <c:v>Aromatherapy Essential Oils Set</c:v>
                </c:pt>
                <c:pt idx="8">
                  <c:v>Beard Oil and Balm Set</c:v>
                </c:pt>
                <c:pt idx="9">
                  <c:v>Bluetooth Smart Thermostat</c:v>
                </c:pt>
                <c:pt idx="10">
                  <c:v>Camping Sleeping Bag</c:v>
                </c:pt>
                <c:pt idx="11">
                  <c:v>Car Phone Mount</c:v>
                </c:pt>
                <c:pt idx="12">
                  <c:v>Car Vacuum Cleaner</c:v>
                </c:pt>
                <c:pt idx="13">
                  <c:v>Ceramic Coffee Mug 350ml</c:v>
                </c:pt>
                <c:pt idx="14">
                  <c:v>Ceramic Vase Decor</c:v>
                </c:pt>
                <c:pt idx="15">
                  <c:v>Collapsible Water Bottle</c:v>
                </c:pt>
                <c:pt idx="16">
                  <c:v>Compact Binoculars</c:v>
                </c:pt>
                <c:pt idx="17">
                  <c:v>Cotton Bed Sheet Set</c:v>
                </c:pt>
                <c:pt idx="18">
                  <c:v>Designer Sunglasses</c:v>
                </c:pt>
                <c:pt idx="19">
                  <c:v>Digital Alarm Clock</c:v>
                </c:pt>
                <c:pt idx="20">
                  <c:v>Digital Drawing Tablet</c:v>
                </c:pt>
                <c:pt idx="21">
                  <c:v>Digital Kitchen Scale</c:v>
                </c:pt>
                <c:pt idx="22">
                  <c:v>Double-Walled Glass Cup</c:v>
                </c:pt>
                <c:pt idx="23">
                  <c:v>Eco-Friendly Laundry Detergent Sheets</c:v>
                </c:pt>
                <c:pt idx="24">
                  <c:v>Electric Milk Frother</c:v>
                </c:pt>
                <c:pt idx="25">
                  <c:v>Electric Toothbrush</c:v>
                </c:pt>
                <c:pt idx="26">
                  <c:v>Ergonomic Office Chair</c:v>
                </c:pt>
                <c:pt idx="27">
                  <c:v>Fitness Resistance Bands</c:v>
                </c:pt>
                <c:pt idx="28">
                  <c:v>Foam Roller for Back Massage</c:v>
                </c:pt>
                <c:pt idx="29">
                  <c:v>Foldable Laptop Stand</c:v>
                </c:pt>
                <c:pt idx="30">
                  <c:v>Foldable Picnic Blanket</c:v>
                </c:pt>
                <c:pt idx="31">
                  <c:v>Foldable Yoga Mat</c:v>
                </c:pt>
                <c:pt idx="32">
                  <c:v>Gaming Headset</c:v>
                </c:pt>
                <c:pt idx="33">
                  <c:v>Gaming Mechanical Keyboard</c:v>
                </c:pt>
                <c:pt idx="34">
                  <c:v>Handmade Scented Candle</c:v>
                </c:pt>
                <c:pt idx="35">
                  <c:v>High-Speed HDMI Cable</c:v>
                </c:pt>
                <c:pt idx="36">
                  <c:v>Hoodie Sweatshirt</c:v>
                </c:pt>
                <c:pt idx="37">
                  <c:v>Indoor Plant Growing Kit</c:v>
                </c:pt>
                <c:pt idx="38">
                  <c:v>Instant Digital Thermometer</c:v>
                </c:pt>
                <c:pt idx="39">
                  <c:v>Insulated Lunch Bag</c:v>
                </c:pt>
                <c:pt idx="40">
                  <c:v>Kids’ Educational Puzzle</c:v>
                </c:pt>
                <c:pt idx="41">
                  <c:v>Laptop Backpack with USB Port</c:v>
                </c:pt>
                <c:pt idx="42">
                  <c:v>Leather Laptop Sleeve</c:v>
                </c:pt>
                <c:pt idx="43">
                  <c:v>LED Desk Lamp with Dimmer</c:v>
                </c:pt>
                <c:pt idx="44">
                  <c:v>LED String Lights</c:v>
                </c:pt>
                <c:pt idx="45">
                  <c:v>Long-Lasting Lipstick</c:v>
                </c:pt>
                <c:pt idx="46">
                  <c:v>Magnetic Car Sunshade</c:v>
                </c:pt>
                <c:pt idx="47">
                  <c:v>Meditation Cushion</c:v>
                </c:pt>
                <c:pt idx="48">
                  <c:v>Men’s Grooming Kit</c:v>
                </c:pt>
                <c:pt idx="49">
                  <c:v>Minimalist Wristwatch</c:v>
                </c:pt>
                <c:pt idx="50">
                  <c:v>Multi-Tool Pocket Knife</c:v>
                </c:pt>
                <c:pt idx="51">
                  <c:v>Natural Hair Conditioner</c:v>
                </c:pt>
                <c:pt idx="52">
                  <c:v>Noise-Cancelling Earbuds</c:v>
                </c:pt>
                <c:pt idx="53">
                  <c:v>Noise-Reducing Sleep Mask</c:v>
                </c:pt>
                <c:pt idx="54">
                  <c:v>Noise-Reducing Wall Panels</c:v>
                </c:pt>
                <c:pt idx="55">
                  <c:v>Organic Cotton T-Shirt</c:v>
                </c:pt>
                <c:pt idx="56">
                  <c:v>Organic Facial Moisturizer</c:v>
                </c:pt>
                <c:pt idx="57">
                  <c:v>Pet Feeding Bowl</c:v>
                </c:pt>
                <c:pt idx="58">
                  <c:v>Pet Grooming Brush</c:v>
                </c:pt>
                <c:pt idx="59">
                  <c:v>Portable Bluetooth Speaker</c:v>
                </c:pt>
                <c:pt idx="60">
                  <c:v>Portable Handheld Fan</c:v>
                </c:pt>
                <c:pt idx="61">
                  <c:v>Portable Mini Projector</c:v>
                </c:pt>
                <c:pt idx="62">
                  <c:v>Portable Power Bank 20,000mAh</c:v>
                </c:pt>
                <c:pt idx="63">
                  <c:v>Professional Chef’s Knife</c:v>
                </c:pt>
                <c:pt idx="64">
                  <c:v>Professional Hair Dryer</c:v>
                </c:pt>
                <c:pt idx="65">
                  <c:v>Professional Tripod for Cameras</c:v>
                </c:pt>
                <c:pt idx="66">
                  <c:v>Rechargeable Electric Lighter</c:v>
                </c:pt>
                <c:pt idx="67">
                  <c:v>Rechargeable LED Flashlight</c:v>
                </c:pt>
                <c:pt idx="68">
                  <c:v>Reusable Bamboo Cutlery Set</c:v>
                </c:pt>
                <c:pt idx="69">
                  <c:v>Reusable Coffee Filter</c:v>
                </c:pt>
                <c:pt idx="70">
                  <c:v>Reusable Grocery Bags</c:v>
                </c:pt>
                <c:pt idx="71">
                  <c:v>Reusable Notebook with App Sync</c:v>
                </c:pt>
                <c:pt idx="72">
                  <c:v>Running Sports Shorts</c:v>
                </c:pt>
                <c:pt idx="73">
                  <c:v>Silicone Baking Mat</c:v>
                </c:pt>
                <c:pt idx="74">
                  <c:v>Smart Door Lock</c:v>
                </c:pt>
                <c:pt idx="75">
                  <c:v>Smart Fitness Watch</c:v>
                </c:pt>
                <c:pt idx="76">
                  <c:v>Smart Home Security Camera</c:v>
                </c:pt>
                <c:pt idx="77">
                  <c:v>Smart LED Light Bulb</c:v>
                </c:pt>
                <c:pt idx="78">
                  <c:v>Soft Memory Foam Pillow</c:v>
                </c:pt>
                <c:pt idx="79">
                  <c:v>Solar-Powered Garden Lights</c:v>
                </c:pt>
                <c:pt idx="80">
                  <c:v>Stainless Steel Cocktail Shaker</c:v>
                </c:pt>
                <c:pt idx="81">
                  <c:v>Stainless Steel Cookware Set</c:v>
                </c:pt>
                <c:pt idx="82">
                  <c:v>Stainless Steel Thermos</c:v>
                </c:pt>
                <c:pt idx="83">
                  <c:v>Stainless Steel Water Bottle</c:v>
                </c:pt>
                <c:pt idx="84">
                  <c:v>Travel Neck Pillow</c:v>
                </c:pt>
                <c:pt idx="85">
                  <c:v>Travel Packing Cubes</c:v>
                </c:pt>
                <c:pt idx="86">
                  <c:v>Ultra-Soft Throw Blanket</c:v>
                </c:pt>
                <c:pt idx="87">
                  <c:v>USB-C Fast Charging Cable</c:v>
                </c:pt>
                <c:pt idx="88">
                  <c:v>UV Phone Sanitizer Box</c:v>
                </c:pt>
                <c:pt idx="89">
                  <c:v>Vegan Leather Wallet</c:v>
                </c:pt>
                <c:pt idx="90">
                  <c:v>VR Headset</c:v>
                </c:pt>
                <c:pt idx="91">
                  <c:v>Waterproof Hiking Boots</c:v>
                </c:pt>
                <c:pt idx="92">
                  <c:v>Waterproof Makeup Bag</c:v>
                </c:pt>
                <c:pt idx="93">
                  <c:v>Waterproof Phone Case</c:v>
                </c:pt>
                <c:pt idx="94">
                  <c:v>Wireless Bluetooth Headphones</c:v>
                </c:pt>
                <c:pt idx="95">
                  <c:v>Wireless Charging Pad</c:v>
                </c:pt>
                <c:pt idx="96">
                  <c:v>Wireless Computer Mouse</c:v>
                </c:pt>
                <c:pt idx="97">
                  <c:v>Wireless Home Doorbell</c:v>
                </c:pt>
                <c:pt idx="98">
                  <c:v>Wireless Soundbar Speaker</c:v>
                </c:pt>
                <c:pt idx="99">
                  <c:v>Women’s Skincare Starter Set</c:v>
                </c:pt>
              </c:strCache>
            </c:strRef>
          </c:cat>
          <c:val>
            <c:numRef>
              <c:f>Pvt_Product!$B$4:$B$104</c:f>
              <c:numCache>
                <c:formatCode>"$"#,##0_);[Red]\("$"#,##0\)</c:formatCode>
                <c:ptCount val="100"/>
                <c:pt idx="0">
                  <c:v>6</c:v>
                </c:pt>
                <c:pt idx="1">
                  <c:v>34</c:v>
                </c:pt>
                <c:pt idx="2">
                  <c:v>2</c:v>
                </c:pt>
                <c:pt idx="3">
                  <c:v>11</c:v>
                </c:pt>
                <c:pt idx="4">
                  <c:v>5</c:v>
                </c:pt>
                <c:pt idx="5">
                  <c:v>13</c:v>
                </c:pt>
                <c:pt idx="6">
                  <c:v>50</c:v>
                </c:pt>
                <c:pt idx="7">
                  <c:v>17</c:v>
                </c:pt>
                <c:pt idx="8">
                  <c:v>74</c:v>
                </c:pt>
                <c:pt idx="9">
                  <c:v>31</c:v>
                </c:pt>
                <c:pt idx="10">
                  <c:v>23</c:v>
                </c:pt>
                <c:pt idx="11">
                  <c:v>20</c:v>
                </c:pt>
                <c:pt idx="12">
                  <c:v>74</c:v>
                </c:pt>
                <c:pt idx="13">
                  <c:v>58</c:v>
                </c:pt>
                <c:pt idx="14">
                  <c:v>12</c:v>
                </c:pt>
                <c:pt idx="15">
                  <c:v>1</c:v>
                </c:pt>
                <c:pt idx="16">
                  <c:v>20</c:v>
                </c:pt>
                <c:pt idx="17">
                  <c:v>36</c:v>
                </c:pt>
                <c:pt idx="18">
                  <c:v>738</c:v>
                </c:pt>
                <c:pt idx="19">
                  <c:v>2</c:v>
                </c:pt>
                <c:pt idx="20">
                  <c:v>19</c:v>
                </c:pt>
                <c:pt idx="21">
                  <c:v>63</c:v>
                </c:pt>
                <c:pt idx="22">
                  <c:v>9</c:v>
                </c:pt>
                <c:pt idx="23">
                  <c:v>14</c:v>
                </c:pt>
                <c:pt idx="24">
                  <c:v>62</c:v>
                </c:pt>
                <c:pt idx="25">
                  <c:v>4</c:v>
                </c:pt>
                <c:pt idx="26">
                  <c:v>9</c:v>
                </c:pt>
                <c:pt idx="27">
                  <c:v>11</c:v>
                </c:pt>
                <c:pt idx="28">
                  <c:v>29</c:v>
                </c:pt>
                <c:pt idx="29">
                  <c:v>6</c:v>
                </c:pt>
                <c:pt idx="30">
                  <c:v>19</c:v>
                </c:pt>
                <c:pt idx="31">
                  <c:v>20</c:v>
                </c:pt>
                <c:pt idx="32">
                  <c:v>49</c:v>
                </c:pt>
                <c:pt idx="33">
                  <c:v>15</c:v>
                </c:pt>
                <c:pt idx="34">
                  <c:v>41</c:v>
                </c:pt>
                <c:pt idx="35">
                  <c:v>1</c:v>
                </c:pt>
                <c:pt idx="36">
                  <c:v>8</c:v>
                </c:pt>
                <c:pt idx="37">
                  <c:v>39</c:v>
                </c:pt>
                <c:pt idx="38">
                  <c:v>13</c:v>
                </c:pt>
                <c:pt idx="39">
                  <c:v>52</c:v>
                </c:pt>
                <c:pt idx="40">
                  <c:v>11</c:v>
                </c:pt>
                <c:pt idx="41">
                  <c:v>12</c:v>
                </c:pt>
                <c:pt idx="42">
                  <c:v>18</c:v>
                </c:pt>
                <c:pt idx="43">
                  <c:v>43</c:v>
                </c:pt>
                <c:pt idx="44">
                  <c:v>2</c:v>
                </c:pt>
                <c:pt idx="45">
                  <c:v>4</c:v>
                </c:pt>
                <c:pt idx="46">
                  <c:v>50</c:v>
                </c:pt>
                <c:pt idx="47">
                  <c:v>64</c:v>
                </c:pt>
                <c:pt idx="48">
                  <c:v>18</c:v>
                </c:pt>
                <c:pt idx="49">
                  <c:v>6</c:v>
                </c:pt>
                <c:pt idx="50">
                  <c:v>52</c:v>
                </c:pt>
                <c:pt idx="51">
                  <c:v>70</c:v>
                </c:pt>
                <c:pt idx="52">
                  <c:v>81</c:v>
                </c:pt>
                <c:pt idx="53">
                  <c:v>15</c:v>
                </c:pt>
                <c:pt idx="54">
                  <c:v>4</c:v>
                </c:pt>
                <c:pt idx="55">
                  <c:v>9</c:v>
                </c:pt>
                <c:pt idx="56">
                  <c:v>73</c:v>
                </c:pt>
                <c:pt idx="57">
                  <c:v>59</c:v>
                </c:pt>
                <c:pt idx="58">
                  <c:v>23</c:v>
                </c:pt>
                <c:pt idx="59">
                  <c:v>19</c:v>
                </c:pt>
                <c:pt idx="60">
                  <c:v>34</c:v>
                </c:pt>
                <c:pt idx="61">
                  <c:v>2</c:v>
                </c:pt>
                <c:pt idx="62">
                  <c:v>20</c:v>
                </c:pt>
                <c:pt idx="63">
                  <c:v>8</c:v>
                </c:pt>
                <c:pt idx="64">
                  <c:v>11</c:v>
                </c:pt>
                <c:pt idx="65">
                  <c:v>33</c:v>
                </c:pt>
                <c:pt idx="66">
                  <c:v>6</c:v>
                </c:pt>
                <c:pt idx="67">
                  <c:v>4</c:v>
                </c:pt>
                <c:pt idx="68">
                  <c:v>67</c:v>
                </c:pt>
                <c:pt idx="69">
                  <c:v>7</c:v>
                </c:pt>
                <c:pt idx="70">
                  <c:v>17</c:v>
                </c:pt>
                <c:pt idx="71">
                  <c:v>56</c:v>
                </c:pt>
                <c:pt idx="72">
                  <c:v>4</c:v>
                </c:pt>
                <c:pt idx="73">
                  <c:v>8</c:v>
                </c:pt>
                <c:pt idx="74">
                  <c:v>8</c:v>
                </c:pt>
                <c:pt idx="75">
                  <c:v>24</c:v>
                </c:pt>
                <c:pt idx="76">
                  <c:v>20</c:v>
                </c:pt>
                <c:pt idx="77">
                  <c:v>3</c:v>
                </c:pt>
                <c:pt idx="78">
                  <c:v>24</c:v>
                </c:pt>
                <c:pt idx="79">
                  <c:v>4</c:v>
                </c:pt>
                <c:pt idx="80">
                  <c:v>34</c:v>
                </c:pt>
                <c:pt idx="81">
                  <c:v>30</c:v>
                </c:pt>
                <c:pt idx="82">
                  <c:v>11</c:v>
                </c:pt>
                <c:pt idx="83">
                  <c:v>47</c:v>
                </c:pt>
                <c:pt idx="84">
                  <c:v>15</c:v>
                </c:pt>
                <c:pt idx="85">
                  <c:v>7</c:v>
                </c:pt>
                <c:pt idx="86">
                  <c:v>66</c:v>
                </c:pt>
                <c:pt idx="87">
                  <c:v>15</c:v>
                </c:pt>
                <c:pt idx="88">
                  <c:v>5</c:v>
                </c:pt>
                <c:pt idx="89">
                  <c:v>17</c:v>
                </c:pt>
                <c:pt idx="90">
                  <c:v>17</c:v>
                </c:pt>
                <c:pt idx="91">
                  <c:v>17</c:v>
                </c:pt>
                <c:pt idx="92">
                  <c:v>9</c:v>
                </c:pt>
                <c:pt idx="93">
                  <c:v>37</c:v>
                </c:pt>
                <c:pt idx="94">
                  <c:v>66</c:v>
                </c:pt>
                <c:pt idx="95">
                  <c:v>13</c:v>
                </c:pt>
                <c:pt idx="96">
                  <c:v>48</c:v>
                </c:pt>
                <c:pt idx="97">
                  <c:v>19</c:v>
                </c:pt>
                <c:pt idx="98">
                  <c:v>16</c:v>
                </c:pt>
                <c:pt idx="9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8-42F9-4C76-9922-7B965FEFD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0"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13</xdr:row>
      <xdr:rowOff>92074</xdr:rowOff>
    </xdr:from>
    <xdr:to>
      <xdr:col>1</xdr:col>
      <xdr:colOff>1206500</xdr:colOff>
      <xdr:row>40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594997C7-2494-4DE8-9A15-A8BC1CD1AB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2491879"/>
              <a:ext cx="2554432" cy="5086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3</xdr:row>
      <xdr:rowOff>68263</xdr:rowOff>
    </xdr:from>
    <xdr:to>
      <xdr:col>1</xdr:col>
      <xdr:colOff>1206500</xdr:colOff>
      <xdr:row>12</xdr:row>
      <xdr:rowOff>182563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E87254CA-A971-4569-8E7C-C1167E102F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620795"/>
              <a:ext cx="2554432" cy="17718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171450</xdr:colOff>
      <xdr:row>3</xdr:row>
      <xdr:rowOff>31750</xdr:rowOff>
    </xdr:from>
    <xdr:to>
      <xdr:col>15</xdr:col>
      <xdr:colOff>1320800</xdr:colOff>
      <xdr:row>17</xdr:row>
      <xdr:rowOff>22222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ountry Buyer">
              <a:extLst>
                <a:ext uri="{FF2B5EF4-FFF2-40B4-BE49-F238E27FC236}">
                  <a16:creationId xmlns:a16="http://schemas.microsoft.com/office/drawing/2014/main" id="{1A02B8D8-EA79-40D4-94D4-E48724D162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Buy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25866" y="584282"/>
              <a:ext cx="2592531" cy="25964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190500</xdr:colOff>
      <xdr:row>24</xdr:row>
      <xdr:rowOff>120649</xdr:rowOff>
    </xdr:from>
    <xdr:to>
      <xdr:col>15</xdr:col>
      <xdr:colOff>1333500</xdr:colOff>
      <xdr:row>40</xdr:row>
      <xdr:rowOff>49479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eses (Date)">
              <a:extLst>
                <a:ext uri="{FF2B5EF4-FFF2-40B4-BE49-F238E27FC236}">
                  <a16:creationId xmlns:a16="http://schemas.microsoft.com/office/drawing/2014/main" id="{016774D5-01A2-4641-A3B6-8402CE1383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44916" y="4606883"/>
              <a:ext cx="2586181" cy="29636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190500</xdr:colOff>
      <xdr:row>17</xdr:row>
      <xdr:rowOff>133350</xdr:rowOff>
    </xdr:from>
    <xdr:to>
      <xdr:col>15</xdr:col>
      <xdr:colOff>1320800</xdr:colOff>
      <xdr:row>24</xdr:row>
      <xdr:rowOff>6350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Años (Date)">
              <a:extLst>
                <a:ext uri="{FF2B5EF4-FFF2-40B4-BE49-F238E27FC236}">
                  <a16:creationId xmlns:a16="http://schemas.microsoft.com/office/drawing/2014/main" id="{17408D74-78DC-4EAC-9108-0FF2CE3684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44916" y="3291856"/>
              <a:ext cx="2573481" cy="12007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1436688</xdr:colOff>
      <xdr:row>9</xdr:row>
      <xdr:rowOff>103186</xdr:rowOff>
    </xdr:from>
    <xdr:to>
      <xdr:col>7</xdr:col>
      <xdr:colOff>1008063</xdr:colOff>
      <xdr:row>24</xdr:row>
      <xdr:rowOff>134937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D8D3F15-2208-442B-99E3-3B4E0E4AC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7938</xdr:colOff>
      <xdr:row>25</xdr:row>
      <xdr:rowOff>57149</xdr:rowOff>
    </xdr:from>
    <xdr:to>
      <xdr:col>14</xdr:col>
      <xdr:colOff>47625</xdr:colOff>
      <xdr:row>40</xdr:row>
      <xdr:rowOff>38099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045EF8A-440C-4625-8240-604186AEB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63501</xdr:colOff>
      <xdr:row>9</xdr:row>
      <xdr:rowOff>92076</xdr:rowOff>
    </xdr:from>
    <xdr:to>
      <xdr:col>14</xdr:col>
      <xdr:colOff>23813</xdr:colOff>
      <xdr:row>24</xdr:row>
      <xdr:rowOff>142875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A12CCE6-BE65-4417-A5ED-0796BCCFC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zo Thome" refreshedDate="45990.8399943287" createdVersion="8" refreshedVersion="8" minRefreshableVersion="3" recordCount="298" xr:uid="{C2F40078-04B4-498A-8A4F-93FE2F450D03}">
  <cacheSource type="worksheet">
    <worksheetSource name="tblVentas"/>
  </cacheSource>
  <cacheFields count="8">
    <cacheField name="Date" numFmtId="14">
      <sharedItems containsSemiMixedTypes="0" containsNonDate="0" containsDate="1" containsString="0" minDate="2018-02-23T00:00:00" maxDate="2020-12-28T00:00:00" count="80">
        <d v="2018-02-23T00:00:00"/>
        <d v="2018-04-13T00:00:00"/>
        <d v="2018-04-30T00:00:00"/>
        <d v="2018-05-01T00:00:00"/>
        <d v="2018-05-21T00:00:00"/>
        <d v="2018-06-03T00:00:00"/>
        <d v="2018-06-06T00:00:00"/>
        <d v="2018-06-08T00:00:00"/>
        <d v="2018-07-08T00:00:00"/>
        <d v="2018-07-19T00:00:00"/>
        <d v="2018-07-28T00:00:00"/>
        <d v="2018-08-26T00:00:00"/>
        <d v="2018-09-12T00:00:00"/>
        <d v="2018-09-26T00:00:00"/>
        <d v="2018-10-01T00:00:00"/>
        <d v="2018-10-05T00:00:00"/>
        <d v="2018-11-24T00:00:00"/>
        <d v="2018-11-29T00:00:00"/>
        <d v="2018-12-06T00:00:00"/>
        <d v="2018-12-10T00:00:00"/>
        <d v="2019-02-05T00:00:00"/>
        <d v="2019-02-09T00:00:00"/>
        <d v="2019-02-25T00:00:00"/>
        <d v="2019-03-02T00:00:00"/>
        <d v="2019-03-12T00:00:00"/>
        <d v="2019-03-17T00:00:00"/>
        <d v="2019-04-02T00:00:00"/>
        <d v="2019-04-16T00:00:00"/>
        <d v="2019-04-18T00:00:00"/>
        <d v="2019-04-29T00:00:00"/>
        <d v="2019-06-02T00:00:00"/>
        <d v="2019-06-07T00:00:00"/>
        <d v="2019-06-16T00:00:00"/>
        <d v="2019-06-25T00:00:00"/>
        <d v="2019-06-29T00:00:00"/>
        <d v="2019-07-04T00:00:00"/>
        <d v="2019-07-09T00:00:00"/>
        <d v="2019-07-24T00:00:00"/>
        <d v="2019-08-01T00:00:00"/>
        <d v="2019-08-03T00:00:00"/>
        <d v="2019-08-12T00:00:00"/>
        <d v="2019-08-21T00:00:00"/>
        <d v="2019-09-02T00:00:00"/>
        <d v="2019-09-05T00:00:00"/>
        <d v="2019-09-11T00:00:00"/>
        <d v="2019-09-14T00:00:00"/>
        <d v="2019-09-20T00:00:00"/>
        <d v="2019-09-22T00:00:00"/>
        <d v="2019-10-01T00:00:00"/>
        <d v="2019-10-14T00:00:00"/>
        <d v="2019-11-16T00:00:00"/>
        <d v="2019-11-23T00:00:00"/>
        <d v="2019-12-18T00:00:00"/>
        <d v="2019-12-31T00:00:00"/>
        <d v="2020-01-07T00:00:00"/>
        <d v="2020-01-09T00:00:00"/>
        <d v="2020-01-10T00:00:00"/>
        <d v="2020-01-14T00:00:00"/>
        <d v="2020-01-20T00:00:00"/>
        <d v="2020-01-22T00:00:00"/>
        <d v="2020-01-23T00:00:00"/>
        <d v="2020-01-27T00:00:00"/>
        <d v="2020-02-14T00:00:00"/>
        <d v="2020-04-05T00:00:00"/>
        <d v="2020-04-20T00:00:00"/>
        <d v="2020-04-25T00:00:00"/>
        <d v="2020-05-01T00:00:00"/>
        <d v="2020-05-19T00:00:00"/>
        <d v="2020-07-06T00:00:00"/>
        <d v="2020-08-03T00:00:00"/>
        <d v="2020-08-10T00:00:00"/>
        <d v="2020-08-22T00:00:00"/>
        <d v="2020-09-12T00:00:00"/>
        <d v="2020-09-17T00:00:00"/>
        <d v="2020-10-04T00:00:00"/>
        <d v="2020-10-15T00:00:00"/>
        <d v="2020-11-07T00:00:00"/>
        <d v="2020-12-15T00:00:00"/>
        <d v="2020-12-17T00:00:00"/>
        <d v="2020-12-27T00:00:00"/>
      </sharedItems>
      <fieldGroup par="7"/>
    </cacheField>
    <cacheField name="Simple_Date" numFmtId="0">
      <sharedItems containsDate="1" containsMixedTypes="1" minDate="2018-02-01T00:00:00" maxDate="2020-12-02T00:00:00"/>
    </cacheField>
    <cacheField name="Product" numFmtId="0">
      <sharedItems count="100">
        <s v="VR Headset"/>
        <s v="Ergonomic Office Chair"/>
        <s v="Electric Toothbrush"/>
        <s v="Electric Milk Frother"/>
        <s v="Smart Fitness Watch"/>
        <s v="Rechargeable Electric Lighter"/>
        <s v="Wireless Charging Pad"/>
        <s v="Foam Roller for Back Massage"/>
        <s v="Stainless Steel Water Bottle"/>
        <s v="USB-C Fast Charging Cable"/>
        <s v="Designer Sunglasses"/>
        <s v="Portable Mini Projector"/>
        <s v="LED Desk Lamp with Dimmer"/>
        <s v="Vegan Leather Wallet"/>
        <s v="Smart LED Light Bulb"/>
        <s v="Digital Kitchen Scale"/>
        <s v="Indoor Plant Growing Kit"/>
        <s v="LED String Lights"/>
        <s v="Solar-Powered Garden Lights"/>
        <s v="Meditation Cushion"/>
        <s v="Smart Home Security Camera"/>
        <s v="Smart Door Lock"/>
        <s v="Car Vacuum Cleaner"/>
        <s v="Anti-Theft Travel Backpack"/>
        <s v="Adjustable Tripod Stand"/>
        <s v="Multi-Tool Pocket Knife"/>
        <s v="Silicone Baking Mat"/>
        <s v="Handmade Scented Candle"/>
        <s v="Digital Alarm Clock"/>
        <s v="Eco-Friendly Laundry Detergent Sheets"/>
        <s v="Foldable Yoga Mat"/>
        <s v="Beard Oil and Balm Set"/>
        <s v="High-Speed HDMI Cable"/>
        <s v="Collapsible Water Bottle"/>
        <s v="Hoodie Sweatshirt"/>
        <s v="Long-Lasting Lipstick"/>
        <s v="Gaming Mechanical Keyboard"/>
        <s v="Fitness Resistance Bands"/>
        <s v="Natural Hair Conditioner"/>
        <s v="Aromatherapy Diffuser"/>
        <s v="Organic Cotton T-Shirt"/>
        <s v="Pet Feeding Bowl"/>
        <s v="Professional Tripod for Cameras"/>
        <s v="Laptop Backpack with USB Port"/>
        <s v="Magnetic Car Sunshade"/>
        <s v="Adjustable Dumbbell Set"/>
        <s v="Foldable Picnic Blanket"/>
        <s v="Foldable Laptop Stand"/>
        <s v="Stainless Steel Thermos"/>
        <s v="Professional Hair Dryer"/>
        <s v="Instant Digital Thermometer"/>
        <s v="Travel Neck Pillow"/>
        <s v="Rechargeable LED Flashlight"/>
        <s v="Men’s Grooming Kit"/>
        <s v="Double-Walled Glass Cup"/>
        <s v="Noise-Cancelling Earbuds"/>
        <s v="Organic Facial Moisturizer"/>
        <s v="UV Phone Sanitizer Box"/>
        <s v="Aromatherapy Essential Oils Set"/>
        <s v="Reusable Notebook with App Sync"/>
        <s v="Wireless Home Doorbell"/>
        <s v="Ultra-Soft Throw Blanket"/>
        <s v="Running Sports Shorts"/>
        <s v="Women’s Skincare Starter Set"/>
        <s v="Bluetooth Smart Thermostat"/>
        <s v="Wireless Bluetooth Headphones"/>
        <s v="Ceramic Vase Decor"/>
        <s v="Digital Drawing Tablet"/>
        <s v="Compact Binoculars"/>
        <s v="Gaming Headset"/>
        <s v="Leather Laptop Sleeve"/>
        <s v="Waterproof Hiking Boots"/>
        <s v="Reusable Bamboo Cutlery Set"/>
        <s v="Minimalist Wristwatch"/>
        <s v="4K Action Camera"/>
        <s v="Stainless Steel Cookware Set"/>
        <s v="Kids’ Educational Puzzle"/>
        <s v="Pet Grooming Brush"/>
        <s v="Portable Handheld Fan"/>
        <s v="Professional Chef’s Knife"/>
        <s v="Portable Power Bank 20,000mAh"/>
        <s v="Camping Sleeping Bag"/>
        <s v="Waterproof Phone Case"/>
        <s v="Cotton Bed Sheet Set"/>
        <s v="Wireless Computer Mouse"/>
        <s v="Soft Memory Foam Pillow"/>
        <s v="Noise-Reducing Sleep Mask"/>
        <s v="Portable Bluetooth Speaker"/>
        <s v="Waterproof Makeup Bag"/>
        <s v="Wireless Soundbar Speaker"/>
        <s v="Reusable Grocery Bags"/>
        <s v="Insulated Lunch Bag"/>
        <s v="Reusable Coffee Filter"/>
        <s v="Adjustable Standing Desk"/>
        <s v="Noise-Reducing Wall Panels"/>
        <s v="Ceramic Coffee Mug 350ml"/>
        <s v="Car Phone Mount"/>
        <s v="Travel Packing Cubes"/>
        <s v="4-Pack Storage Containers"/>
        <s v="Stainless Steel Cocktail Shaker"/>
      </sharedItems>
    </cacheField>
    <cacheField name="Category" numFmtId="0">
      <sharedItems containsBlank="1" count="6">
        <s v="Services"/>
        <s v="Clothing"/>
        <s v="Tech"/>
        <s v="Other"/>
        <s v="Food"/>
        <m u="1"/>
      </sharedItems>
    </cacheField>
    <cacheField name="Country Buyer" numFmtId="0">
      <sharedItems count="62">
        <s v="Mexico"/>
        <s v="Japan"/>
        <s v="USA"/>
        <s v="Switzerland"/>
        <s v="Denmark"/>
        <s v="Germany"/>
        <s v="Spain"/>
        <s v="Finland"/>
        <s v="Italy"/>
        <s v="Guatemala"/>
        <s v="Argentina"/>
        <s v="Uruguay"/>
        <s v="India"/>
        <s v="Brazil"/>
        <s v="Jordan"/>
        <s v="Peru"/>
        <s v="Costa Rica"/>
        <s v="Ireland"/>
        <s v="Chile"/>
        <s v="South Africa"/>
        <s v="Poland"/>
        <s v="UK"/>
        <s v="Portugal"/>
        <s v="Canada"/>
        <s v="Nigeria"/>
        <s v="Kazakhstan"/>
        <s v="Colombia"/>
        <s v="Lebanon"/>
        <s v="France"/>
        <s v="Pakistan"/>
        <s v="Kenya"/>
        <s v="Morocco"/>
        <s v="Russia"/>
        <s v="China"/>
        <s v="Sweden"/>
        <s v="Honduras"/>
        <s v="Czech Republic"/>
        <s v="Belgium"/>
        <s v="Ethiopia"/>
        <s v="Vietnam"/>
        <s v="Singapore"/>
        <s v="Malaysia"/>
        <s v="Australia"/>
        <s v="Ghana"/>
        <s v="Saudi Arabia"/>
        <s v="Indonesia"/>
        <s v="Greece"/>
        <s v="El Salvador"/>
        <s v="Turkey"/>
        <s v="UAE"/>
        <s v="Ukraine"/>
        <s v="Netherlands"/>
        <s v="Bangladesh"/>
        <s v="Thailand"/>
        <s v="Israel"/>
        <s v="Qatar"/>
        <s v="Egypt"/>
        <s v="Austria"/>
        <s v="New Zealand"/>
        <s v="South Korea"/>
        <s v="Norway"/>
        <s v="Philippines"/>
      </sharedItems>
    </cacheField>
    <cacheField name="Amount" numFmtId="6">
      <sharedItems containsSemiMixedTypes="0" containsString="0" containsNumber="1" containsInteger="1" minValue="1" maxValue="20"/>
    </cacheField>
    <cacheField name="Meses (Date)" numFmtId="0" databaseField="0">
      <fieldGroup base="0">
        <rangePr groupBy="months" startDate="2018-02-23T00:00:00" endDate="2020-12-28T00:00:00"/>
        <groupItems count="14">
          <s v="&lt;23/2/2018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8/12/2020"/>
        </groupItems>
      </fieldGroup>
    </cacheField>
    <cacheField name="Años (Date)" numFmtId="0" databaseField="0">
      <fieldGroup base="0">
        <rangePr groupBy="years" startDate="2018-02-23T00:00:00" endDate="2020-12-28T00:00:00"/>
        <groupItems count="5">
          <s v="&lt;23/2/2018"/>
          <s v="2018"/>
          <s v="2019"/>
          <s v="2020"/>
          <s v="&gt;28/12/2020"/>
        </groupItems>
      </fieldGroup>
    </cacheField>
  </cacheFields>
  <extLst>
    <ext xmlns:x14="http://schemas.microsoft.com/office/spreadsheetml/2009/9/main" uri="{725AE2AE-9491-48be-B2B4-4EB974FC3084}">
      <x14:pivotCacheDefinition pivotCacheId="5955853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x v="0"/>
    <d v="2018-02-01T00:00:00"/>
    <x v="0"/>
    <x v="0"/>
    <x v="0"/>
    <n v="17"/>
  </r>
  <r>
    <x v="1"/>
    <d v="2018-04-01T00:00:00"/>
    <x v="1"/>
    <x v="1"/>
    <x v="1"/>
    <n v="9"/>
  </r>
  <r>
    <x v="2"/>
    <d v="2018-04-01T00:00:00"/>
    <x v="2"/>
    <x v="0"/>
    <x v="2"/>
    <n v="4"/>
  </r>
  <r>
    <x v="3"/>
    <d v="2018-05-01T00:00:00"/>
    <x v="3"/>
    <x v="2"/>
    <x v="3"/>
    <n v="11"/>
  </r>
  <r>
    <x v="3"/>
    <d v="2018-05-01T00:00:00"/>
    <x v="3"/>
    <x v="2"/>
    <x v="3"/>
    <n v="16"/>
  </r>
  <r>
    <x v="3"/>
    <d v="2018-05-01T00:00:00"/>
    <x v="3"/>
    <x v="2"/>
    <x v="3"/>
    <n v="5"/>
  </r>
  <r>
    <x v="3"/>
    <d v="2018-05-01T00:00:00"/>
    <x v="3"/>
    <x v="2"/>
    <x v="3"/>
    <n v="14"/>
  </r>
  <r>
    <x v="3"/>
    <d v="2018-05-01T00:00:00"/>
    <x v="3"/>
    <x v="2"/>
    <x v="3"/>
    <n v="16"/>
  </r>
  <r>
    <x v="4"/>
    <d v="2018-05-01T00:00:00"/>
    <x v="4"/>
    <x v="2"/>
    <x v="4"/>
    <n v="9"/>
  </r>
  <r>
    <x v="4"/>
    <d v="2018-05-01T00:00:00"/>
    <x v="4"/>
    <x v="2"/>
    <x v="4"/>
    <n v="15"/>
  </r>
  <r>
    <x v="5"/>
    <d v="2018-06-01T00:00:00"/>
    <x v="5"/>
    <x v="2"/>
    <x v="5"/>
    <n v="6"/>
  </r>
  <r>
    <x v="6"/>
    <d v="2018-06-01T00:00:00"/>
    <x v="6"/>
    <x v="2"/>
    <x v="6"/>
    <n v="13"/>
  </r>
  <r>
    <x v="7"/>
    <d v="2018-06-01T00:00:00"/>
    <x v="7"/>
    <x v="3"/>
    <x v="7"/>
    <n v="15"/>
  </r>
  <r>
    <x v="7"/>
    <d v="2018-06-01T00:00:00"/>
    <x v="7"/>
    <x v="3"/>
    <x v="7"/>
    <n v="14"/>
  </r>
  <r>
    <x v="8"/>
    <d v="2018-07-01T00:00:00"/>
    <x v="8"/>
    <x v="0"/>
    <x v="8"/>
    <n v="1"/>
  </r>
  <r>
    <x v="8"/>
    <d v="2018-07-01T00:00:00"/>
    <x v="8"/>
    <x v="0"/>
    <x v="8"/>
    <n v="9"/>
  </r>
  <r>
    <x v="8"/>
    <d v="2018-07-01T00:00:00"/>
    <x v="8"/>
    <x v="0"/>
    <x v="8"/>
    <n v="11"/>
  </r>
  <r>
    <x v="8"/>
    <d v="2018-07-01T00:00:00"/>
    <x v="8"/>
    <x v="0"/>
    <x v="8"/>
    <n v="11"/>
  </r>
  <r>
    <x v="8"/>
    <d v="2018-07-01T00:00:00"/>
    <x v="8"/>
    <x v="0"/>
    <x v="8"/>
    <n v="15"/>
  </r>
  <r>
    <x v="9"/>
    <d v="2018-07-01T00:00:00"/>
    <x v="9"/>
    <x v="2"/>
    <x v="9"/>
    <n v="15"/>
  </r>
  <r>
    <x v="9"/>
    <d v="2018-07-01T00:00:00"/>
    <x v="10"/>
    <x v="4"/>
    <x v="10"/>
    <n v="1"/>
  </r>
  <r>
    <x v="9"/>
    <d v="2018-07-01T00:00:00"/>
    <x v="10"/>
    <x v="4"/>
    <x v="10"/>
    <n v="13"/>
  </r>
  <r>
    <x v="9"/>
    <d v="2018-07-01T00:00:00"/>
    <x v="10"/>
    <x v="3"/>
    <x v="5"/>
    <n v="4"/>
  </r>
  <r>
    <x v="9"/>
    <d v="2018-07-01T00:00:00"/>
    <x v="10"/>
    <x v="3"/>
    <x v="11"/>
    <n v="7"/>
  </r>
  <r>
    <x v="10"/>
    <d v="2018-07-01T00:00:00"/>
    <x v="11"/>
    <x v="2"/>
    <x v="12"/>
    <n v="2"/>
  </r>
  <r>
    <x v="11"/>
    <d v="2018-08-01T00:00:00"/>
    <x v="12"/>
    <x v="4"/>
    <x v="13"/>
    <n v="18"/>
  </r>
  <r>
    <x v="11"/>
    <d v="2018-08-01T00:00:00"/>
    <x v="12"/>
    <x v="4"/>
    <x v="13"/>
    <n v="4"/>
  </r>
  <r>
    <x v="11"/>
    <d v="2018-08-01T00:00:00"/>
    <x v="12"/>
    <x v="4"/>
    <x v="13"/>
    <n v="6"/>
  </r>
  <r>
    <x v="11"/>
    <d v="2018-08-01T00:00:00"/>
    <x v="12"/>
    <x v="4"/>
    <x v="13"/>
    <n v="6"/>
  </r>
  <r>
    <x v="11"/>
    <d v="2018-08-01T00:00:00"/>
    <x v="12"/>
    <x v="4"/>
    <x v="13"/>
    <n v="9"/>
  </r>
  <r>
    <x v="12"/>
    <s v="sept 2018"/>
    <x v="13"/>
    <x v="4"/>
    <x v="14"/>
    <n v="17"/>
  </r>
  <r>
    <x v="13"/>
    <s v="sept 2018"/>
    <x v="14"/>
    <x v="2"/>
    <x v="13"/>
    <n v="3"/>
  </r>
  <r>
    <x v="13"/>
    <s v="sept 2018"/>
    <x v="15"/>
    <x v="4"/>
    <x v="6"/>
    <n v="17"/>
  </r>
  <r>
    <x v="13"/>
    <s v="sept 2018"/>
    <x v="15"/>
    <x v="4"/>
    <x v="6"/>
    <n v="14"/>
  </r>
  <r>
    <x v="13"/>
    <s v="sept 2018"/>
    <x v="15"/>
    <x v="4"/>
    <x v="6"/>
    <n v="7"/>
  </r>
  <r>
    <x v="13"/>
    <s v="sept 2018"/>
    <x v="15"/>
    <x v="4"/>
    <x v="6"/>
    <n v="11"/>
  </r>
  <r>
    <x v="13"/>
    <s v="sept 2018"/>
    <x v="15"/>
    <x v="4"/>
    <x v="6"/>
    <n v="14"/>
  </r>
  <r>
    <x v="14"/>
    <d v="2018-10-01T00:00:00"/>
    <x v="16"/>
    <x v="0"/>
    <x v="15"/>
    <n v="7"/>
  </r>
  <r>
    <x v="14"/>
    <d v="2018-10-01T00:00:00"/>
    <x v="16"/>
    <x v="0"/>
    <x v="15"/>
    <n v="1"/>
  </r>
  <r>
    <x v="14"/>
    <d v="2018-10-01T00:00:00"/>
    <x v="16"/>
    <x v="0"/>
    <x v="15"/>
    <n v="9"/>
  </r>
  <r>
    <x v="14"/>
    <d v="2018-10-01T00:00:00"/>
    <x v="16"/>
    <x v="0"/>
    <x v="15"/>
    <n v="9"/>
  </r>
  <r>
    <x v="14"/>
    <d v="2018-10-01T00:00:00"/>
    <x v="16"/>
    <x v="0"/>
    <x v="15"/>
    <n v="13"/>
  </r>
  <r>
    <x v="15"/>
    <d v="2018-10-01T00:00:00"/>
    <x v="17"/>
    <x v="3"/>
    <x v="16"/>
    <n v="2"/>
  </r>
  <r>
    <x v="15"/>
    <d v="2018-10-01T00:00:00"/>
    <x v="10"/>
    <x v="4"/>
    <x v="13"/>
    <n v="13"/>
  </r>
  <r>
    <x v="15"/>
    <d v="2018-10-01T00:00:00"/>
    <x v="10"/>
    <x v="4"/>
    <x v="13"/>
    <n v="8"/>
  </r>
  <r>
    <x v="15"/>
    <d v="2018-10-01T00:00:00"/>
    <x v="10"/>
    <x v="2"/>
    <x v="17"/>
    <n v="9"/>
  </r>
  <r>
    <x v="15"/>
    <d v="2018-10-01T00:00:00"/>
    <x v="10"/>
    <x v="2"/>
    <x v="18"/>
    <n v="16"/>
  </r>
  <r>
    <x v="16"/>
    <d v="2018-11-01T00:00:00"/>
    <x v="18"/>
    <x v="1"/>
    <x v="19"/>
    <n v="4"/>
  </r>
  <r>
    <x v="17"/>
    <d v="2018-11-01T00:00:00"/>
    <x v="19"/>
    <x v="2"/>
    <x v="20"/>
    <n v="13"/>
  </r>
  <r>
    <x v="17"/>
    <d v="2018-11-01T00:00:00"/>
    <x v="19"/>
    <x v="2"/>
    <x v="20"/>
    <n v="18"/>
  </r>
  <r>
    <x v="17"/>
    <d v="2018-11-01T00:00:00"/>
    <x v="19"/>
    <x v="2"/>
    <x v="20"/>
    <n v="1"/>
  </r>
  <r>
    <x v="17"/>
    <d v="2018-11-01T00:00:00"/>
    <x v="19"/>
    <x v="2"/>
    <x v="20"/>
    <n v="14"/>
  </r>
  <r>
    <x v="17"/>
    <d v="2018-11-01T00:00:00"/>
    <x v="19"/>
    <x v="2"/>
    <x v="20"/>
    <n v="18"/>
  </r>
  <r>
    <x v="18"/>
    <d v="2018-12-01T00:00:00"/>
    <x v="20"/>
    <x v="0"/>
    <x v="21"/>
    <n v="20"/>
  </r>
  <r>
    <x v="18"/>
    <d v="2018-12-01T00:00:00"/>
    <x v="10"/>
    <x v="0"/>
    <x v="15"/>
    <n v="5"/>
  </r>
  <r>
    <x v="18"/>
    <d v="2018-12-01T00:00:00"/>
    <x v="10"/>
    <x v="0"/>
    <x v="15"/>
    <n v="6"/>
  </r>
  <r>
    <x v="18"/>
    <d v="2018-12-01T00:00:00"/>
    <x v="10"/>
    <x v="2"/>
    <x v="22"/>
    <n v="13"/>
  </r>
  <r>
    <x v="18"/>
    <d v="2018-12-01T00:00:00"/>
    <x v="10"/>
    <x v="3"/>
    <x v="23"/>
    <n v="13"/>
  </r>
  <r>
    <x v="18"/>
    <d v="2018-12-01T00:00:00"/>
    <x v="10"/>
    <x v="2"/>
    <x v="0"/>
    <n v="1"/>
  </r>
  <r>
    <x v="19"/>
    <d v="2018-12-01T00:00:00"/>
    <x v="21"/>
    <x v="2"/>
    <x v="0"/>
    <n v="8"/>
  </r>
  <r>
    <x v="20"/>
    <d v="2019-02-01T00:00:00"/>
    <x v="22"/>
    <x v="4"/>
    <x v="7"/>
    <n v="20"/>
  </r>
  <r>
    <x v="20"/>
    <d v="2019-02-01T00:00:00"/>
    <x v="22"/>
    <x v="4"/>
    <x v="7"/>
    <n v="13"/>
  </r>
  <r>
    <x v="20"/>
    <d v="2019-02-01T00:00:00"/>
    <x v="22"/>
    <x v="4"/>
    <x v="7"/>
    <n v="14"/>
  </r>
  <r>
    <x v="20"/>
    <d v="2019-02-01T00:00:00"/>
    <x v="22"/>
    <x v="4"/>
    <x v="7"/>
    <n v="14"/>
  </r>
  <r>
    <x v="20"/>
    <d v="2019-02-01T00:00:00"/>
    <x v="22"/>
    <x v="4"/>
    <x v="7"/>
    <n v="13"/>
  </r>
  <r>
    <x v="21"/>
    <d v="2019-02-01T00:00:00"/>
    <x v="23"/>
    <x v="2"/>
    <x v="24"/>
    <n v="13"/>
  </r>
  <r>
    <x v="22"/>
    <d v="2019-02-01T00:00:00"/>
    <x v="24"/>
    <x v="1"/>
    <x v="1"/>
    <n v="5"/>
  </r>
  <r>
    <x v="23"/>
    <d v="2019-03-01T00:00:00"/>
    <x v="25"/>
    <x v="2"/>
    <x v="8"/>
    <n v="2"/>
  </r>
  <r>
    <x v="23"/>
    <d v="2019-03-01T00:00:00"/>
    <x v="25"/>
    <x v="2"/>
    <x v="8"/>
    <n v="19"/>
  </r>
  <r>
    <x v="23"/>
    <d v="2019-03-01T00:00:00"/>
    <x v="25"/>
    <x v="2"/>
    <x v="8"/>
    <n v="14"/>
  </r>
  <r>
    <x v="23"/>
    <d v="2019-03-01T00:00:00"/>
    <x v="25"/>
    <x v="2"/>
    <x v="8"/>
    <n v="6"/>
  </r>
  <r>
    <x v="23"/>
    <d v="2019-03-01T00:00:00"/>
    <x v="25"/>
    <x v="0"/>
    <x v="0"/>
    <n v="11"/>
  </r>
  <r>
    <x v="24"/>
    <d v="2019-03-01T00:00:00"/>
    <x v="26"/>
    <x v="2"/>
    <x v="25"/>
    <n v="8"/>
  </r>
  <r>
    <x v="25"/>
    <d v="2019-03-01T00:00:00"/>
    <x v="27"/>
    <x v="2"/>
    <x v="26"/>
    <n v="14"/>
  </r>
  <r>
    <x v="25"/>
    <d v="2019-03-01T00:00:00"/>
    <x v="27"/>
    <x v="2"/>
    <x v="26"/>
    <n v="18"/>
  </r>
  <r>
    <x v="25"/>
    <d v="2019-03-01T00:00:00"/>
    <x v="27"/>
    <x v="2"/>
    <x v="26"/>
    <n v="4"/>
  </r>
  <r>
    <x v="25"/>
    <d v="2019-03-01T00:00:00"/>
    <x v="27"/>
    <x v="2"/>
    <x v="26"/>
    <n v="4"/>
  </r>
  <r>
    <x v="25"/>
    <d v="2019-03-01T00:00:00"/>
    <x v="27"/>
    <x v="2"/>
    <x v="26"/>
    <n v="1"/>
  </r>
  <r>
    <x v="26"/>
    <d v="2019-04-01T00:00:00"/>
    <x v="28"/>
    <x v="2"/>
    <x v="27"/>
    <n v="2"/>
  </r>
  <r>
    <x v="27"/>
    <d v="2019-04-01T00:00:00"/>
    <x v="29"/>
    <x v="0"/>
    <x v="23"/>
    <n v="14"/>
  </r>
  <r>
    <x v="28"/>
    <d v="2019-04-01T00:00:00"/>
    <x v="30"/>
    <x v="3"/>
    <x v="23"/>
    <n v="20"/>
  </r>
  <r>
    <x v="29"/>
    <d v="2019-04-01T00:00:00"/>
    <x v="31"/>
    <x v="0"/>
    <x v="28"/>
    <n v="17"/>
  </r>
  <r>
    <x v="29"/>
    <d v="2019-04-01T00:00:00"/>
    <x v="31"/>
    <x v="0"/>
    <x v="28"/>
    <n v="14"/>
  </r>
  <r>
    <x v="29"/>
    <d v="2019-04-01T00:00:00"/>
    <x v="31"/>
    <x v="0"/>
    <x v="28"/>
    <n v="18"/>
  </r>
  <r>
    <x v="29"/>
    <d v="2019-04-01T00:00:00"/>
    <x v="31"/>
    <x v="0"/>
    <x v="28"/>
    <n v="18"/>
  </r>
  <r>
    <x v="29"/>
    <d v="2019-04-01T00:00:00"/>
    <x v="31"/>
    <x v="0"/>
    <x v="28"/>
    <n v="7"/>
  </r>
  <r>
    <x v="30"/>
    <d v="2019-06-01T00:00:00"/>
    <x v="32"/>
    <x v="4"/>
    <x v="29"/>
    <n v="1"/>
  </r>
  <r>
    <x v="31"/>
    <d v="2019-06-01T00:00:00"/>
    <x v="33"/>
    <x v="4"/>
    <x v="30"/>
    <n v="1"/>
  </r>
  <r>
    <x v="32"/>
    <d v="2019-06-01T00:00:00"/>
    <x v="34"/>
    <x v="3"/>
    <x v="31"/>
    <n v="8"/>
  </r>
  <r>
    <x v="33"/>
    <d v="2019-06-01T00:00:00"/>
    <x v="35"/>
    <x v="3"/>
    <x v="32"/>
    <n v="4"/>
  </r>
  <r>
    <x v="34"/>
    <d v="2019-06-01T00:00:00"/>
    <x v="36"/>
    <x v="1"/>
    <x v="33"/>
    <n v="15"/>
  </r>
  <r>
    <x v="35"/>
    <d v="2019-07-01T00:00:00"/>
    <x v="37"/>
    <x v="3"/>
    <x v="28"/>
    <n v="11"/>
  </r>
  <r>
    <x v="36"/>
    <d v="2019-07-01T00:00:00"/>
    <x v="38"/>
    <x v="4"/>
    <x v="10"/>
    <n v="12"/>
  </r>
  <r>
    <x v="36"/>
    <d v="2019-07-01T00:00:00"/>
    <x v="38"/>
    <x v="4"/>
    <x v="10"/>
    <n v="20"/>
  </r>
  <r>
    <x v="36"/>
    <d v="2019-07-01T00:00:00"/>
    <x v="38"/>
    <x v="4"/>
    <x v="10"/>
    <n v="17"/>
  </r>
  <r>
    <x v="36"/>
    <d v="2019-07-01T00:00:00"/>
    <x v="38"/>
    <x v="4"/>
    <x v="10"/>
    <n v="17"/>
  </r>
  <r>
    <x v="36"/>
    <d v="2019-07-01T00:00:00"/>
    <x v="38"/>
    <x v="4"/>
    <x v="10"/>
    <n v="4"/>
  </r>
  <r>
    <x v="37"/>
    <d v="2019-07-01T00:00:00"/>
    <x v="39"/>
    <x v="1"/>
    <x v="34"/>
    <n v="17"/>
  </r>
  <r>
    <x v="37"/>
    <d v="2019-07-01T00:00:00"/>
    <x v="39"/>
    <x v="1"/>
    <x v="34"/>
    <n v="17"/>
  </r>
  <r>
    <x v="37"/>
    <d v="2019-07-01T00:00:00"/>
    <x v="39"/>
    <x v="1"/>
    <x v="34"/>
    <n v="16"/>
  </r>
  <r>
    <x v="38"/>
    <d v="2019-08-01T00:00:00"/>
    <x v="40"/>
    <x v="4"/>
    <x v="35"/>
    <n v="9"/>
  </r>
  <r>
    <x v="38"/>
    <d v="2019-08-01T00:00:00"/>
    <x v="10"/>
    <x v="2"/>
    <x v="18"/>
    <n v="18"/>
  </r>
  <r>
    <x v="38"/>
    <d v="2019-08-01T00:00:00"/>
    <x v="10"/>
    <x v="2"/>
    <x v="18"/>
    <n v="19"/>
  </r>
  <r>
    <x v="38"/>
    <d v="2019-08-01T00:00:00"/>
    <x v="10"/>
    <x v="0"/>
    <x v="28"/>
    <n v="20"/>
  </r>
  <r>
    <x v="38"/>
    <d v="2019-08-01T00:00:00"/>
    <x v="10"/>
    <x v="0"/>
    <x v="2"/>
    <n v="20"/>
  </r>
  <r>
    <x v="38"/>
    <d v="2019-08-01T00:00:00"/>
    <x v="10"/>
    <x v="0"/>
    <x v="15"/>
    <n v="14"/>
  </r>
  <r>
    <x v="39"/>
    <d v="2019-08-01T00:00:00"/>
    <x v="41"/>
    <x v="3"/>
    <x v="36"/>
    <n v="1"/>
  </r>
  <r>
    <x v="39"/>
    <d v="2019-08-01T00:00:00"/>
    <x v="41"/>
    <x v="3"/>
    <x v="36"/>
    <n v="12"/>
  </r>
  <r>
    <x v="39"/>
    <d v="2019-08-01T00:00:00"/>
    <x v="41"/>
    <x v="3"/>
    <x v="36"/>
    <n v="18"/>
  </r>
  <r>
    <x v="39"/>
    <d v="2019-08-01T00:00:00"/>
    <x v="41"/>
    <x v="3"/>
    <x v="36"/>
    <n v="16"/>
  </r>
  <r>
    <x v="39"/>
    <d v="2019-08-01T00:00:00"/>
    <x v="41"/>
    <x v="3"/>
    <x v="36"/>
    <n v="12"/>
  </r>
  <r>
    <x v="40"/>
    <d v="2019-08-01T00:00:00"/>
    <x v="42"/>
    <x v="1"/>
    <x v="37"/>
    <n v="15"/>
  </r>
  <r>
    <x v="40"/>
    <d v="2019-08-01T00:00:00"/>
    <x v="42"/>
    <x v="1"/>
    <x v="37"/>
    <n v="4"/>
  </r>
  <r>
    <x v="40"/>
    <d v="2019-08-01T00:00:00"/>
    <x v="42"/>
    <x v="1"/>
    <x v="37"/>
    <n v="5"/>
  </r>
  <r>
    <x v="40"/>
    <d v="2019-08-01T00:00:00"/>
    <x v="42"/>
    <x v="1"/>
    <x v="37"/>
    <n v="5"/>
  </r>
  <r>
    <x v="40"/>
    <d v="2019-08-01T00:00:00"/>
    <x v="42"/>
    <x v="1"/>
    <x v="37"/>
    <n v="4"/>
  </r>
  <r>
    <x v="41"/>
    <d v="2019-08-01T00:00:00"/>
    <x v="43"/>
    <x v="0"/>
    <x v="38"/>
    <n v="12"/>
  </r>
  <r>
    <x v="42"/>
    <s v="sept 2019"/>
    <x v="44"/>
    <x v="1"/>
    <x v="5"/>
    <n v="12"/>
  </r>
  <r>
    <x v="42"/>
    <s v="sept 2019"/>
    <x v="44"/>
    <x v="1"/>
    <x v="5"/>
    <n v="18"/>
  </r>
  <r>
    <x v="42"/>
    <s v="sept 2019"/>
    <x v="44"/>
    <x v="1"/>
    <x v="5"/>
    <n v="20"/>
  </r>
  <r>
    <x v="42"/>
    <s v="sept 2019"/>
    <x v="10"/>
    <x v="2"/>
    <x v="17"/>
    <n v="11"/>
  </r>
  <r>
    <x v="42"/>
    <s v="sept 2019"/>
    <x v="10"/>
    <x v="2"/>
    <x v="22"/>
    <n v="17"/>
  </r>
  <r>
    <x v="42"/>
    <s v="sept 2019"/>
    <x v="10"/>
    <x v="0"/>
    <x v="28"/>
    <n v="16"/>
  </r>
  <r>
    <x v="43"/>
    <s v="sept 2019"/>
    <x v="45"/>
    <x v="2"/>
    <x v="39"/>
    <n v="2"/>
  </r>
  <r>
    <x v="44"/>
    <s v="sept 2019"/>
    <x v="46"/>
    <x v="2"/>
    <x v="18"/>
    <n v="19"/>
  </r>
  <r>
    <x v="45"/>
    <s v="sept 2019"/>
    <x v="47"/>
    <x v="2"/>
    <x v="40"/>
    <n v="6"/>
  </r>
  <r>
    <x v="46"/>
    <s v="sept 2019"/>
    <x v="48"/>
    <x v="0"/>
    <x v="11"/>
    <n v="11"/>
  </r>
  <r>
    <x v="46"/>
    <s v="sept 2019"/>
    <x v="10"/>
    <x v="3"/>
    <x v="23"/>
    <n v="4"/>
  </r>
  <r>
    <x v="46"/>
    <s v="sept 2019"/>
    <x v="10"/>
    <x v="3"/>
    <x v="23"/>
    <n v="9"/>
  </r>
  <r>
    <x v="46"/>
    <s v="sept 2019"/>
    <x v="10"/>
    <x v="2"/>
    <x v="26"/>
    <n v="17"/>
  </r>
  <r>
    <x v="46"/>
    <s v="sept 2019"/>
    <x v="10"/>
    <x v="0"/>
    <x v="8"/>
    <n v="18"/>
  </r>
  <r>
    <x v="47"/>
    <s v="sept 2019"/>
    <x v="49"/>
    <x v="2"/>
    <x v="41"/>
    <n v="11"/>
  </r>
  <r>
    <x v="48"/>
    <d v="2019-10-01T00:00:00"/>
    <x v="50"/>
    <x v="2"/>
    <x v="12"/>
    <n v="13"/>
  </r>
  <r>
    <x v="49"/>
    <d v="2019-10-01T00:00:00"/>
    <x v="51"/>
    <x v="3"/>
    <x v="42"/>
    <n v="15"/>
  </r>
  <r>
    <x v="50"/>
    <d v="2019-11-01T00:00:00"/>
    <x v="52"/>
    <x v="4"/>
    <x v="20"/>
    <n v="4"/>
  </r>
  <r>
    <x v="51"/>
    <d v="2019-11-01T00:00:00"/>
    <x v="53"/>
    <x v="2"/>
    <x v="43"/>
    <n v="18"/>
  </r>
  <r>
    <x v="52"/>
    <d v="2019-12-01T00:00:00"/>
    <x v="54"/>
    <x v="1"/>
    <x v="13"/>
    <n v="9"/>
  </r>
  <r>
    <x v="53"/>
    <d v="2019-12-01T00:00:00"/>
    <x v="55"/>
    <x v="3"/>
    <x v="34"/>
    <n v="9"/>
  </r>
  <r>
    <x v="53"/>
    <d v="2019-12-01T00:00:00"/>
    <x v="55"/>
    <x v="3"/>
    <x v="34"/>
    <n v="20"/>
  </r>
  <r>
    <x v="53"/>
    <d v="2019-12-01T00:00:00"/>
    <x v="55"/>
    <x v="3"/>
    <x v="34"/>
    <n v="16"/>
  </r>
  <r>
    <x v="53"/>
    <d v="2019-12-01T00:00:00"/>
    <x v="55"/>
    <x v="3"/>
    <x v="34"/>
    <n v="16"/>
  </r>
  <r>
    <x v="53"/>
    <d v="2019-12-01T00:00:00"/>
    <x v="55"/>
    <x v="4"/>
    <x v="34"/>
    <n v="20"/>
  </r>
  <r>
    <x v="54"/>
    <d v="2020-01-01T00:00:00"/>
    <x v="56"/>
    <x v="2"/>
    <x v="0"/>
    <n v="3"/>
  </r>
  <r>
    <x v="54"/>
    <d v="2020-01-01T00:00:00"/>
    <x v="56"/>
    <x v="1"/>
    <x v="0"/>
    <n v="12"/>
  </r>
  <r>
    <x v="54"/>
    <d v="2020-01-01T00:00:00"/>
    <x v="56"/>
    <x v="2"/>
    <x v="0"/>
    <n v="20"/>
  </r>
  <r>
    <x v="54"/>
    <d v="2020-01-01T00:00:00"/>
    <x v="56"/>
    <x v="2"/>
    <x v="0"/>
    <n v="20"/>
  </r>
  <r>
    <x v="54"/>
    <d v="2020-01-01T00:00:00"/>
    <x v="56"/>
    <x v="2"/>
    <x v="0"/>
    <n v="18"/>
  </r>
  <r>
    <x v="55"/>
    <d v="2020-01-01T00:00:00"/>
    <x v="57"/>
    <x v="1"/>
    <x v="44"/>
    <n v="5"/>
  </r>
  <r>
    <x v="56"/>
    <d v="2020-01-01T00:00:00"/>
    <x v="58"/>
    <x v="1"/>
    <x v="26"/>
    <n v="17"/>
  </r>
  <r>
    <x v="56"/>
    <d v="2020-01-01T00:00:00"/>
    <x v="10"/>
    <x v="0"/>
    <x v="8"/>
    <n v="8"/>
  </r>
  <r>
    <x v="56"/>
    <d v="2020-01-01T00:00:00"/>
    <x v="10"/>
    <x v="0"/>
    <x v="8"/>
    <n v="20"/>
  </r>
  <r>
    <x v="56"/>
    <d v="2020-01-01T00:00:00"/>
    <x v="10"/>
    <x v="4"/>
    <x v="21"/>
    <n v="15"/>
  </r>
  <r>
    <x v="56"/>
    <d v="2020-01-01T00:00:00"/>
    <x v="10"/>
    <x v="4"/>
    <x v="10"/>
    <n v="5"/>
  </r>
  <r>
    <x v="57"/>
    <d v="2020-01-01T00:00:00"/>
    <x v="59"/>
    <x v="4"/>
    <x v="8"/>
    <n v="19"/>
  </r>
  <r>
    <x v="57"/>
    <d v="2020-01-01T00:00:00"/>
    <x v="59"/>
    <x v="4"/>
    <x v="8"/>
    <n v="19"/>
  </r>
  <r>
    <x v="57"/>
    <d v="2020-01-01T00:00:00"/>
    <x v="59"/>
    <x v="4"/>
    <x v="8"/>
    <n v="18"/>
  </r>
  <r>
    <x v="57"/>
    <d v="2020-01-01T00:00:00"/>
    <x v="10"/>
    <x v="1"/>
    <x v="42"/>
    <n v="15"/>
  </r>
  <r>
    <x v="57"/>
    <d v="2020-01-01T00:00:00"/>
    <x v="10"/>
    <x v="1"/>
    <x v="1"/>
    <n v="4"/>
  </r>
  <r>
    <x v="57"/>
    <d v="2020-01-01T00:00:00"/>
    <x v="10"/>
    <x v="2"/>
    <x v="22"/>
    <n v="9"/>
  </r>
  <r>
    <x v="58"/>
    <d v="2020-01-01T00:00:00"/>
    <x v="60"/>
    <x v="0"/>
    <x v="45"/>
    <n v="19"/>
  </r>
  <r>
    <x v="59"/>
    <d v="2020-01-01T00:00:00"/>
    <x v="61"/>
    <x v="3"/>
    <x v="46"/>
    <n v="15"/>
  </r>
  <r>
    <x v="59"/>
    <d v="2020-01-01T00:00:00"/>
    <x v="61"/>
    <x v="3"/>
    <x v="46"/>
    <n v="11"/>
  </r>
  <r>
    <x v="59"/>
    <d v="2020-01-01T00:00:00"/>
    <x v="61"/>
    <x v="3"/>
    <x v="46"/>
    <n v="17"/>
  </r>
  <r>
    <x v="59"/>
    <d v="2020-01-01T00:00:00"/>
    <x v="61"/>
    <x v="3"/>
    <x v="46"/>
    <n v="17"/>
  </r>
  <r>
    <x v="59"/>
    <d v="2020-01-01T00:00:00"/>
    <x v="61"/>
    <x v="2"/>
    <x v="12"/>
    <n v="6"/>
  </r>
  <r>
    <x v="60"/>
    <d v="2020-01-01T00:00:00"/>
    <x v="62"/>
    <x v="2"/>
    <x v="47"/>
    <n v="4"/>
  </r>
  <r>
    <x v="60"/>
    <d v="2020-01-01T00:00:00"/>
    <x v="10"/>
    <x v="3"/>
    <x v="11"/>
    <n v="12"/>
  </r>
  <r>
    <x v="60"/>
    <d v="2020-01-01T00:00:00"/>
    <x v="10"/>
    <x v="3"/>
    <x v="11"/>
    <n v="11"/>
  </r>
  <r>
    <x v="60"/>
    <d v="2020-01-01T00:00:00"/>
    <x v="10"/>
    <x v="2"/>
    <x v="22"/>
    <n v="8"/>
  </r>
  <r>
    <x v="60"/>
    <d v="2020-01-01T00:00:00"/>
    <x v="10"/>
    <x v="1"/>
    <x v="42"/>
    <n v="8"/>
  </r>
  <r>
    <x v="60"/>
    <d v="2020-01-01T00:00:00"/>
    <x v="10"/>
    <x v="2"/>
    <x v="26"/>
    <n v="13"/>
  </r>
  <r>
    <x v="61"/>
    <d v="2020-01-01T00:00:00"/>
    <x v="63"/>
    <x v="1"/>
    <x v="28"/>
    <n v="5"/>
  </r>
  <r>
    <x v="61"/>
    <d v="2020-01-01T00:00:00"/>
    <x v="63"/>
    <x v="1"/>
    <x v="28"/>
    <n v="12"/>
  </r>
  <r>
    <x v="61"/>
    <d v="2020-01-01T00:00:00"/>
    <x v="63"/>
    <x v="1"/>
    <x v="28"/>
    <n v="8"/>
  </r>
  <r>
    <x v="61"/>
    <d v="2020-01-01T00:00:00"/>
    <x v="10"/>
    <x v="3"/>
    <x v="5"/>
    <n v="6"/>
  </r>
  <r>
    <x v="61"/>
    <d v="2020-01-01T00:00:00"/>
    <x v="10"/>
    <x v="0"/>
    <x v="0"/>
    <n v="2"/>
  </r>
  <r>
    <x v="61"/>
    <d v="2020-01-01T00:00:00"/>
    <x v="10"/>
    <x v="2"/>
    <x v="22"/>
    <n v="7"/>
  </r>
  <r>
    <x v="62"/>
    <d v="2020-02-01T00:00:00"/>
    <x v="64"/>
    <x v="3"/>
    <x v="5"/>
    <n v="6"/>
  </r>
  <r>
    <x v="62"/>
    <d v="2020-02-01T00:00:00"/>
    <x v="64"/>
    <x v="3"/>
    <x v="5"/>
    <n v="7"/>
  </r>
  <r>
    <x v="62"/>
    <d v="2020-02-01T00:00:00"/>
    <x v="64"/>
    <x v="3"/>
    <x v="5"/>
    <n v="1"/>
  </r>
  <r>
    <x v="62"/>
    <d v="2020-02-01T00:00:00"/>
    <x v="64"/>
    <x v="3"/>
    <x v="5"/>
    <n v="1"/>
  </r>
  <r>
    <x v="62"/>
    <d v="2020-02-01T00:00:00"/>
    <x v="64"/>
    <x v="3"/>
    <x v="5"/>
    <n v="16"/>
  </r>
  <r>
    <x v="63"/>
    <d v="2020-04-01T00:00:00"/>
    <x v="65"/>
    <x v="2"/>
    <x v="48"/>
    <n v="9"/>
  </r>
  <r>
    <x v="63"/>
    <d v="2020-04-01T00:00:00"/>
    <x v="65"/>
    <x v="2"/>
    <x v="48"/>
    <n v="19"/>
  </r>
  <r>
    <x v="63"/>
    <d v="2020-04-01T00:00:00"/>
    <x v="65"/>
    <x v="2"/>
    <x v="48"/>
    <n v="19"/>
  </r>
  <r>
    <x v="63"/>
    <d v="2020-04-01T00:00:00"/>
    <x v="65"/>
    <x v="2"/>
    <x v="48"/>
    <n v="2"/>
  </r>
  <r>
    <x v="63"/>
    <d v="2020-04-01T00:00:00"/>
    <x v="65"/>
    <x v="1"/>
    <x v="33"/>
    <n v="17"/>
  </r>
  <r>
    <x v="64"/>
    <d v="2020-04-01T00:00:00"/>
    <x v="66"/>
    <x v="3"/>
    <x v="33"/>
    <n v="12"/>
  </r>
  <r>
    <x v="65"/>
    <d v="2020-04-01T00:00:00"/>
    <x v="67"/>
    <x v="1"/>
    <x v="49"/>
    <n v="19"/>
  </r>
  <r>
    <x v="66"/>
    <d v="2020-05-01T00:00:00"/>
    <x v="68"/>
    <x v="0"/>
    <x v="50"/>
    <n v="20"/>
  </r>
  <r>
    <x v="67"/>
    <d v="2020-05-01T00:00:00"/>
    <x v="69"/>
    <x v="1"/>
    <x v="51"/>
    <n v="2"/>
  </r>
  <r>
    <x v="67"/>
    <d v="2020-05-01T00:00:00"/>
    <x v="69"/>
    <x v="1"/>
    <x v="51"/>
    <n v="9"/>
  </r>
  <r>
    <x v="67"/>
    <d v="2020-05-01T00:00:00"/>
    <x v="69"/>
    <x v="1"/>
    <x v="51"/>
    <n v="12"/>
  </r>
  <r>
    <x v="67"/>
    <d v="2020-05-01T00:00:00"/>
    <x v="69"/>
    <x v="1"/>
    <x v="51"/>
    <n v="12"/>
  </r>
  <r>
    <x v="67"/>
    <d v="2020-05-01T00:00:00"/>
    <x v="69"/>
    <x v="1"/>
    <x v="51"/>
    <n v="14"/>
  </r>
  <r>
    <x v="68"/>
    <d v="2020-07-01T00:00:00"/>
    <x v="70"/>
    <x v="2"/>
    <x v="52"/>
    <n v="18"/>
  </r>
  <r>
    <x v="69"/>
    <d v="2020-08-01T00:00:00"/>
    <x v="71"/>
    <x v="4"/>
    <x v="53"/>
    <n v="17"/>
  </r>
  <r>
    <x v="70"/>
    <d v="2020-08-01T00:00:00"/>
    <x v="72"/>
    <x v="3"/>
    <x v="11"/>
    <n v="16"/>
  </r>
  <r>
    <x v="70"/>
    <d v="2020-08-01T00:00:00"/>
    <x v="72"/>
    <x v="3"/>
    <x v="11"/>
    <n v="13"/>
  </r>
  <r>
    <x v="70"/>
    <d v="2020-08-01T00:00:00"/>
    <x v="72"/>
    <x v="3"/>
    <x v="11"/>
    <n v="15"/>
  </r>
  <r>
    <x v="70"/>
    <d v="2020-08-01T00:00:00"/>
    <x v="72"/>
    <x v="3"/>
    <x v="11"/>
    <n v="15"/>
  </r>
  <r>
    <x v="70"/>
    <d v="2020-08-01T00:00:00"/>
    <x v="72"/>
    <x v="3"/>
    <x v="11"/>
    <n v="8"/>
  </r>
  <r>
    <x v="71"/>
    <d v="2020-08-01T00:00:00"/>
    <x v="73"/>
    <x v="2"/>
    <x v="54"/>
    <n v="6"/>
  </r>
  <r>
    <x v="72"/>
    <s v="sept 2020"/>
    <x v="74"/>
    <x v="1"/>
    <x v="15"/>
    <n v="6"/>
  </r>
  <r>
    <x v="72"/>
    <s v="sept 2020"/>
    <x v="10"/>
    <x v="2"/>
    <x v="6"/>
    <n v="20"/>
  </r>
  <r>
    <x v="72"/>
    <s v="sept 2020"/>
    <x v="10"/>
    <x v="2"/>
    <x v="6"/>
    <n v="4"/>
  </r>
  <r>
    <x v="72"/>
    <s v="sept 2020"/>
    <x v="10"/>
    <x v="2"/>
    <x v="0"/>
    <n v="2"/>
  </r>
  <r>
    <x v="72"/>
    <s v="sept 2020"/>
    <x v="10"/>
    <x v="4"/>
    <x v="13"/>
    <n v="12"/>
  </r>
  <r>
    <x v="73"/>
    <s v="sept 2020"/>
    <x v="75"/>
    <x v="2"/>
    <x v="4"/>
    <n v="8"/>
  </r>
  <r>
    <x v="73"/>
    <s v="sept 2020"/>
    <x v="75"/>
    <x v="2"/>
    <x v="4"/>
    <n v="1"/>
  </r>
  <r>
    <x v="73"/>
    <s v="sept 2020"/>
    <x v="75"/>
    <x v="2"/>
    <x v="4"/>
    <n v="13"/>
  </r>
  <r>
    <x v="73"/>
    <s v="sept 2020"/>
    <x v="75"/>
    <x v="2"/>
    <x v="4"/>
    <n v="7"/>
  </r>
  <r>
    <x v="73"/>
    <s v="sept 2020"/>
    <x v="75"/>
    <x v="2"/>
    <x v="4"/>
    <n v="1"/>
  </r>
  <r>
    <x v="74"/>
    <d v="2020-10-01T00:00:00"/>
    <x v="76"/>
    <x v="3"/>
    <x v="55"/>
    <n v="11"/>
  </r>
  <r>
    <x v="75"/>
    <d v="2020-10-01T00:00:00"/>
    <x v="77"/>
    <x v="2"/>
    <x v="12"/>
    <n v="1"/>
  </r>
  <r>
    <x v="75"/>
    <d v="2020-10-01T00:00:00"/>
    <x v="77"/>
    <x v="2"/>
    <x v="12"/>
    <n v="13"/>
  </r>
  <r>
    <x v="75"/>
    <d v="2020-10-01T00:00:00"/>
    <x v="77"/>
    <x v="2"/>
    <x v="12"/>
    <n v="9"/>
  </r>
  <r>
    <x v="75"/>
    <d v="2020-10-01T00:00:00"/>
    <x v="10"/>
    <x v="2"/>
    <x v="0"/>
    <n v="7"/>
  </r>
  <r>
    <x v="75"/>
    <d v="2020-10-01T00:00:00"/>
    <x v="10"/>
    <x v="2"/>
    <x v="22"/>
    <n v="11"/>
  </r>
  <r>
    <x v="75"/>
    <d v="2020-10-01T00:00:00"/>
    <x v="10"/>
    <x v="2"/>
    <x v="17"/>
    <n v="12"/>
  </r>
  <r>
    <x v="76"/>
    <d v="2020-11-01T00:00:00"/>
    <x v="78"/>
    <x v="2"/>
    <x v="51"/>
    <n v="11"/>
  </r>
  <r>
    <x v="76"/>
    <d v="2020-11-01T00:00:00"/>
    <x v="78"/>
    <x v="2"/>
    <x v="51"/>
    <n v="11"/>
  </r>
  <r>
    <x v="76"/>
    <d v="2020-11-01T00:00:00"/>
    <x v="78"/>
    <x v="2"/>
    <x v="51"/>
    <n v="12"/>
  </r>
  <r>
    <x v="77"/>
    <d v="2020-12-01T00:00:00"/>
    <x v="79"/>
    <x v="3"/>
    <x v="23"/>
    <n v="8"/>
  </r>
  <r>
    <x v="78"/>
    <d v="2020-12-01T00:00:00"/>
    <x v="80"/>
    <x v="1"/>
    <x v="56"/>
    <n v="20"/>
  </r>
  <r>
    <x v="79"/>
    <d v="2020-12-01T00:00:00"/>
    <x v="81"/>
    <x v="0"/>
    <x v="1"/>
    <n v="18"/>
  </r>
  <r>
    <x v="79"/>
    <d v="2020-12-01T00:00:00"/>
    <x v="81"/>
    <x v="0"/>
    <x v="1"/>
    <n v="1"/>
  </r>
  <r>
    <x v="79"/>
    <d v="2020-12-01T00:00:00"/>
    <x v="81"/>
    <x v="0"/>
    <x v="1"/>
    <n v="4"/>
  </r>
  <r>
    <x v="79"/>
    <d v="2020-12-01T00:00:00"/>
    <x v="10"/>
    <x v="4"/>
    <x v="21"/>
    <n v="14"/>
  </r>
  <r>
    <x v="79"/>
    <d v="2020-12-01T00:00:00"/>
    <x v="10"/>
    <x v="2"/>
    <x v="22"/>
    <n v="6"/>
  </r>
  <r>
    <x v="79"/>
    <d v="2020-12-01T00:00:00"/>
    <x v="10"/>
    <x v="3"/>
    <x v="5"/>
    <n v="5"/>
  </r>
  <r>
    <x v="11"/>
    <d v="2018-08-01T00:00:00"/>
    <x v="82"/>
    <x v="2"/>
    <x v="18"/>
    <n v="5"/>
  </r>
  <r>
    <x v="12"/>
    <s v="sept 2018"/>
    <x v="82"/>
    <x v="2"/>
    <x v="18"/>
    <n v="8"/>
  </r>
  <r>
    <x v="13"/>
    <s v="sept 2018"/>
    <x v="82"/>
    <x v="2"/>
    <x v="18"/>
    <n v="2"/>
  </r>
  <r>
    <x v="13"/>
    <s v="sept 2018"/>
    <x v="82"/>
    <x v="2"/>
    <x v="18"/>
    <n v="2"/>
  </r>
  <r>
    <x v="13"/>
    <s v="sept 2018"/>
    <x v="82"/>
    <x v="2"/>
    <x v="18"/>
    <n v="20"/>
  </r>
  <r>
    <x v="13"/>
    <s v="sept 2018"/>
    <x v="83"/>
    <x v="4"/>
    <x v="33"/>
    <n v="13"/>
  </r>
  <r>
    <x v="13"/>
    <s v="sept 2018"/>
    <x v="83"/>
    <x v="4"/>
    <x v="33"/>
    <n v="8"/>
  </r>
  <r>
    <x v="13"/>
    <s v="sept 2018"/>
    <x v="83"/>
    <x v="4"/>
    <x v="33"/>
    <n v="15"/>
  </r>
  <r>
    <x v="14"/>
    <d v="2018-10-01T00:00:00"/>
    <x v="10"/>
    <x v="2"/>
    <x v="26"/>
    <n v="16"/>
  </r>
  <r>
    <x v="14"/>
    <d v="2018-10-01T00:00:00"/>
    <x v="10"/>
    <x v="2"/>
    <x v="22"/>
    <n v="19"/>
  </r>
  <r>
    <x v="14"/>
    <d v="2018-10-01T00:00:00"/>
    <x v="10"/>
    <x v="2"/>
    <x v="6"/>
    <n v="1"/>
  </r>
  <r>
    <x v="14"/>
    <d v="2018-10-01T00:00:00"/>
    <x v="10"/>
    <x v="4"/>
    <x v="21"/>
    <n v="18"/>
  </r>
  <r>
    <x v="14"/>
    <d v="2018-10-01T00:00:00"/>
    <x v="84"/>
    <x v="0"/>
    <x v="57"/>
    <n v="19"/>
  </r>
  <r>
    <x v="15"/>
    <d v="2018-10-01T00:00:00"/>
    <x v="84"/>
    <x v="0"/>
    <x v="57"/>
    <n v="5"/>
  </r>
  <r>
    <x v="15"/>
    <d v="2018-10-01T00:00:00"/>
    <x v="84"/>
    <x v="0"/>
    <x v="57"/>
    <n v="12"/>
  </r>
  <r>
    <x v="15"/>
    <d v="2018-10-01T00:00:00"/>
    <x v="84"/>
    <x v="0"/>
    <x v="57"/>
    <n v="7"/>
  </r>
  <r>
    <x v="15"/>
    <d v="2018-10-01T00:00:00"/>
    <x v="84"/>
    <x v="0"/>
    <x v="57"/>
    <n v="5"/>
  </r>
  <r>
    <x v="15"/>
    <d v="2018-10-01T00:00:00"/>
    <x v="85"/>
    <x v="2"/>
    <x v="6"/>
    <n v="7"/>
  </r>
  <r>
    <x v="16"/>
    <d v="2018-11-01T00:00:00"/>
    <x v="85"/>
    <x v="2"/>
    <x v="6"/>
    <n v="16"/>
  </r>
  <r>
    <x v="17"/>
    <d v="2018-11-01T00:00:00"/>
    <x v="85"/>
    <x v="2"/>
    <x v="6"/>
    <n v="1"/>
  </r>
  <r>
    <x v="17"/>
    <d v="2018-11-01T00:00:00"/>
    <x v="10"/>
    <x v="0"/>
    <x v="2"/>
    <n v="2"/>
  </r>
  <r>
    <x v="17"/>
    <d v="2018-11-01T00:00:00"/>
    <x v="10"/>
    <x v="1"/>
    <x v="33"/>
    <n v="9"/>
  </r>
  <r>
    <x v="17"/>
    <d v="2018-11-01T00:00:00"/>
    <x v="10"/>
    <x v="2"/>
    <x v="22"/>
    <n v="10"/>
  </r>
  <r>
    <x v="17"/>
    <d v="2018-11-01T00:00:00"/>
    <x v="86"/>
    <x v="0"/>
    <x v="10"/>
    <n v="15"/>
  </r>
  <r>
    <x v="18"/>
    <d v="2018-12-01T00:00:00"/>
    <x v="87"/>
    <x v="3"/>
    <x v="2"/>
    <n v="19"/>
  </r>
  <r>
    <x v="18"/>
    <d v="2018-12-01T00:00:00"/>
    <x v="88"/>
    <x v="0"/>
    <x v="58"/>
    <n v="9"/>
  </r>
  <r>
    <x v="18"/>
    <d v="2018-12-01T00:00:00"/>
    <x v="89"/>
    <x v="2"/>
    <x v="59"/>
    <n v="16"/>
  </r>
  <r>
    <x v="18"/>
    <d v="2018-12-01T00:00:00"/>
    <x v="90"/>
    <x v="0"/>
    <x v="37"/>
    <n v="6"/>
  </r>
  <r>
    <x v="18"/>
    <d v="2018-12-01T00:00:00"/>
    <x v="90"/>
    <x v="0"/>
    <x v="37"/>
    <n v="6"/>
  </r>
  <r>
    <x v="18"/>
    <d v="2018-12-01T00:00:00"/>
    <x v="90"/>
    <x v="0"/>
    <x v="37"/>
    <n v="5"/>
  </r>
  <r>
    <x v="19"/>
    <d v="2018-12-01T00:00:00"/>
    <x v="91"/>
    <x v="4"/>
    <x v="21"/>
    <n v="19"/>
  </r>
  <r>
    <x v="20"/>
    <d v="2019-02-01T00:00:00"/>
    <x v="91"/>
    <x v="4"/>
    <x v="21"/>
    <n v="5"/>
  </r>
  <r>
    <x v="20"/>
    <d v="2019-02-01T00:00:00"/>
    <x v="91"/>
    <x v="4"/>
    <x v="21"/>
    <n v="8"/>
  </r>
  <r>
    <x v="20"/>
    <d v="2019-02-01T00:00:00"/>
    <x v="91"/>
    <x v="4"/>
    <x v="21"/>
    <n v="8"/>
  </r>
  <r>
    <x v="20"/>
    <d v="2019-02-01T00:00:00"/>
    <x v="91"/>
    <x v="4"/>
    <x v="21"/>
    <n v="12"/>
  </r>
  <r>
    <x v="20"/>
    <d v="2019-02-01T00:00:00"/>
    <x v="92"/>
    <x v="2"/>
    <x v="2"/>
    <n v="7"/>
  </r>
  <r>
    <x v="21"/>
    <d v="2019-02-01T00:00:00"/>
    <x v="93"/>
    <x v="1"/>
    <x v="60"/>
    <n v="2"/>
  </r>
  <r>
    <x v="22"/>
    <d v="2019-02-01T00:00:00"/>
    <x v="93"/>
    <x v="1"/>
    <x v="60"/>
    <n v="2"/>
  </r>
  <r>
    <x v="23"/>
    <d v="2019-03-01T00:00:00"/>
    <x v="93"/>
    <x v="1"/>
    <x v="60"/>
    <n v="7"/>
  </r>
  <r>
    <x v="23"/>
    <d v="2019-03-01T00:00:00"/>
    <x v="94"/>
    <x v="1"/>
    <x v="2"/>
    <n v="4"/>
  </r>
  <r>
    <x v="23"/>
    <d v="2019-03-01T00:00:00"/>
    <x v="95"/>
    <x v="2"/>
    <x v="17"/>
    <n v="11"/>
  </r>
  <r>
    <x v="23"/>
    <d v="2019-03-01T00:00:00"/>
    <x v="95"/>
    <x v="2"/>
    <x v="17"/>
    <n v="16"/>
  </r>
  <r>
    <x v="23"/>
    <d v="2019-03-01T00:00:00"/>
    <x v="95"/>
    <x v="2"/>
    <x v="17"/>
    <n v="13"/>
  </r>
  <r>
    <x v="24"/>
    <d v="2019-03-01T00:00:00"/>
    <x v="95"/>
    <x v="2"/>
    <x v="17"/>
    <n v="13"/>
  </r>
  <r>
    <x v="25"/>
    <d v="2019-03-01T00:00:00"/>
    <x v="95"/>
    <x v="2"/>
    <x v="17"/>
    <n v="5"/>
  </r>
  <r>
    <x v="25"/>
    <d v="2019-03-01T00:00:00"/>
    <x v="96"/>
    <x v="1"/>
    <x v="42"/>
    <n v="20"/>
  </r>
  <r>
    <x v="25"/>
    <d v="2019-03-01T00:00:00"/>
    <x v="10"/>
    <x v="2"/>
    <x v="22"/>
    <n v="6"/>
  </r>
  <r>
    <x v="25"/>
    <d v="2019-03-01T00:00:00"/>
    <x v="10"/>
    <x v="2"/>
    <x v="22"/>
    <n v="7"/>
  </r>
  <r>
    <x v="25"/>
    <d v="2019-03-01T00:00:00"/>
    <x v="10"/>
    <x v="2"/>
    <x v="22"/>
    <n v="16"/>
  </r>
  <r>
    <x v="26"/>
    <d v="2019-04-01T00:00:00"/>
    <x v="10"/>
    <x v="2"/>
    <x v="22"/>
    <n v="19"/>
  </r>
  <r>
    <x v="27"/>
    <d v="2019-04-01T00:00:00"/>
    <x v="10"/>
    <x v="2"/>
    <x v="22"/>
    <n v="7"/>
  </r>
  <r>
    <x v="28"/>
    <d v="2019-04-01T00:00:00"/>
    <x v="10"/>
    <x v="1"/>
    <x v="1"/>
    <n v="2"/>
  </r>
  <r>
    <x v="29"/>
    <d v="2019-04-01T00:00:00"/>
    <x v="10"/>
    <x v="0"/>
    <x v="2"/>
    <n v="15"/>
  </r>
  <r>
    <x v="29"/>
    <d v="2019-04-01T00:00:00"/>
    <x v="10"/>
    <x v="1"/>
    <x v="42"/>
    <n v="9"/>
  </r>
  <r>
    <x v="29"/>
    <d v="2019-04-01T00:00:00"/>
    <x v="10"/>
    <x v="2"/>
    <x v="22"/>
    <n v="8"/>
  </r>
  <r>
    <x v="29"/>
    <d v="2019-04-01T00:00:00"/>
    <x v="97"/>
    <x v="3"/>
    <x v="61"/>
    <n v="7"/>
  </r>
  <r>
    <x v="29"/>
    <d v="2019-04-01T00:00:00"/>
    <x v="98"/>
    <x v="2"/>
    <x v="60"/>
    <n v="4"/>
  </r>
  <r>
    <x v="30"/>
    <d v="2019-06-01T00:00:00"/>
    <x v="98"/>
    <x v="2"/>
    <x v="60"/>
    <n v="8"/>
  </r>
  <r>
    <x v="31"/>
    <d v="2019-06-01T00:00:00"/>
    <x v="98"/>
    <x v="2"/>
    <x v="60"/>
    <n v="7"/>
  </r>
  <r>
    <x v="32"/>
    <d v="2019-06-01T00:00:00"/>
    <x v="98"/>
    <x v="2"/>
    <x v="60"/>
    <n v="7"/>
  </r>
  <r>
    <x v="33"/>
    <d v="2019-06-01T00:00:00"/>
    <x v="98"/>
    <x v="2"/>
    <x v="60"/>
    <n v="8"/>
  </r>
  <r>
    <x v="34"/>
    <d v="2019-06-01T00:00:00"/>
    <x v="99"/>
    <x v="3"/>
    <x v="21"/>
    <n v="16"/>
  </r>
  <r>
    <x v="35"/>
    <d v="2019-07-01T00:00:00"/>
    <x v="99"/>
    <x v="3"/>
    <x v="21"/>
    <n v="5"/>
  </r>
  <r>
    <x v="36"/>
    <d v="2019-07-01T00:00:00"/>
    <x v="99"/>
    <x v="3"/>
    <x v="21"/>
    <n v="13"/>
  </r>
  <r>
    <x v="36"/>
    <d v="2019-07-01T00:00:00"/>
    <x v="10"/>
    <x v="0"/>
    <x v="28"/>
    <n v="17"/>
  </r>
  <r>
    <x v="36"/>
    <d v="2019-07-01T00:00:00"/>
    <x v="10"/>
    <x v="2"/>
    <x v="12"/>
    <n v="15"/>
  </r>
  <r>
    <x v="36"/>
    <d v="2019-07-01T00:00:00"/>
    <x v="10"/>
    <x v="2"/>
    <x v="22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7D692-4A11-4CD9-83BF-A4D9900111F7}" name="TablaDinámica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104" firstHeaderRow="1" firstDataRow="1" firstDataCol="1"/>
  <pivotFields count="8">
    <pivotField numFmtId="14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axis="axisRow" showAll="0">
      <items count="101">
        <item x="74"/>
        <item x="98"/>
        <item x="45"/>
        <item x="93"/>
        <item x="24"/>
        <item x="23"/>
        <item x="39"/>
        <item x="58"/>
        <item x="31"/>
        <item x="64"/>
        <item x="81"/>
        <item x="96"/>
        <item x="22"/>
        <item x="95"/>
        <item x="66"/>
        <item x="33"/>
        <item x="68"/>
        <item x="83"/>
        <item x="10"/>
        <item x="28"/>
        <item x="67"/>
        <item x="15"/>
        <item x="54"/>
        <item x="29"/>
        <item x="3"/>
        <item x="2"/>
        <item x="1"/>
        <item x="37"/>
        <item x="7"/>
        <item x="47"/>
        <item x="46"/>
        <item x="30"/>
        <item x="69"/>
        <item x="36"/>
        <item x="27"/>
        <item x="32"/>
        <item x="34"/>
        <item x="16"/>
        <item x="50"/>
        <item x="91"/>
        <item x="76"/>
        <item x="43"/>
        <item x="70"/>
        <item x="12"/>
        <item x="17"/>
        <item x="35"/>
        <item x="44"/>
        <item x="19"/>
        <item x="53"/>
        <item x="73"/>
        <item x="25"/>
        <item x="38"/>
        <item x="55"/>
        <item x="86"/>
        <item x="94"/>
        <item x="40"/>
        <item x="56"/>
        <item x="41"/>
        <item x="77"/>
        <item x="87"/>
        <item x="78"/>
        <item x="11"/>
        <item x="80"/>
        <item x="79"/>
        <item x="49"/>
        <item x="42"/>
        <item x="5"/>
        <item x="52"/>
        <item x="72"/>
        <item x="92"/>
        <item x="90"/>
        <item x="59"/>
        <item x="62"/>
        <item x="26"/>
        <item x="21"/>
        <item x="4"/>
        <item x="20"/>
        <item x="14"/>
        <item x="85"/>
        <item x="18"/>
        <item x="99"/>
        <item x="75"/>
        <item x="48"/>
        <item x="8"/>
        <item x="51"/>
        <item x="97"/>
        <item x="61"/>
        <item x="9"/>
        <item x="57"/>
        <item x="13"/>
        <item x="0"/>
        <item x="71"/>
        <item x="88"/>
        <item x="82"/>
        <item x="65"/>
        <item x="6"/>
        <item x="84"/>
        <item x="60"/>
        <item x="89"/>
        <item x="63"/>
        <item t="default"/>
      </items>
    </pivotField>
    <pivotField showAll="0">
      <items count="7">
        <item x="1"/>
        <item x="4"/>
        <item x="3"/>
        <item x="0"/>
        <item x="2"/>
        <item m="1" x="5"/>
        <item t="default"/>
      </items>
    </pivotField>
    <pivotField showAll="0">
      <items count="63">
        <item x="10"/>
        <item x="42"/>
        <item x="57"/>
        <item x="52"/>
        <item x="37"/>
        <item x="13"/>
        <item x="23"/>
        <item x="18"/>
        <item x="33"/>
        <item x="26"/>
        <item x="16"/>
        <item x="36"/>
        <item x="4"/>
        <item x="56"/>
        <item x="47"/>
        <item x="38"/>
        <item x="7"/>
        <item x="28"/>
        <item x="5"/>
        <item x="43"/>
        <item x="46"/>
        <item x="9"/>
        <item x="35"/>
        <item x="12"/>
        <item x="45"/>
        <item x="17"/>
        <item x="54"/>
        <item x="8"/>
        <item x="1"/>
        <item x="14"/>
        <item x="25"/>
        <item x="30"/>
        <item x="27"/>
        <item x="41"/>
        <item x="0"/>
        <item x="31"/>
        <item x="51"/>
        <item x="58"/>
        <item x="24"/>
        <item x="60"/>
        <item x="29"/>
        <item x="15"/>
        <item x="61"/>
        <item x="20"/>
        <item x="22"/>
        <item x="55"/>
        <item x="32"/>
        <item x="44"/>
        <item x="40"/>
        <item x="19"/>
        <item x="59"/>
        <item x="6"/>
        <item x="34"/>
        <item x="3"/>
        <item x="53"/>
        <item x="48"/>
        <item x="49"/>
        <item x="21"/>
        <item x="50"/>
        <item x="11"/>
        <item x="2"/>
        <item x="39"/>
        <item t="default"/>
      </items>
    </pivotField>
    <pivotField dataField="1" numFmtId="6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a de Amount" fld="5" baseField="0" baseItem="0" numFmtId="6"/>
  </dataFields>
  <chartFormats count="101">
    <chartFormat chart="4" format="1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0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1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11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1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1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1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4" format="1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4" format="1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4" format="1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4" format="1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4" format="1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4" format="1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4" format="1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4" format="1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4" format="1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4" format="1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4" format="12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4" format="1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4" format="1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4" format="1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4" format="1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4" format="1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4" format="132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4" format="1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4" format="134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4" format="135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4" format="136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4" format="137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4" format="1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4" format="139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4" format="140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4" format="1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4" format="142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4" format="143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4" format="1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4" format="145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4" format="146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4" format="147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4" format="148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4" format="149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4" format="150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4" format="15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4" format="152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4" format="153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4" format="154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4" format="155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4" format="156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4" format="157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4" format="158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4" format="159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4" format="160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4" format="16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4" format="162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4" format="163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4" format="164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4" format="165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4" format="166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4" format="167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4" format="168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4" format="169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4" format="170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4" format="171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4" format="172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4" format="173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4" format="174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4" format="175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4" format="176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4" format="177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4" format="178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4" format="179">
      <pivotArea type="data" outline="0" fieldPosition="0">
        <references count="2">
          <reference field="4294967294" count="1" selected="0">
            <x v="0"/>
          </reference>
          <reference field="2" count="1" selected="0">
            <x v="76"/>
          </reference>
        </references>
      </pivotArea>
    </chartFormat>
    <chartFormat chart="4" format="180">
      <pivotArea type="data" outline="0" fieldPosition="0">
        <references count="2">
          <reference field="4294967294" count="1" selected="0">
            <x v="0"/>
          </reference>
          <reference field="2" count="1" selected="0">
            <x v="77"/>
          </reference>
        </references>
      </pivotArea>
    </chartFormat>
    <chartFormat chart="4" format="181">
      <pivotArea type="data" outline="0" fieldPosition="0">
        <references count="2">
          <reference field="4294967294" count="1" selected="0">
            <x v="0"/>
          </reference>
          <reference field="2" count="1" selected="0">
            <x v="78"/>
          </reference>
        </references>
      </pivotArea>
    </chartFormat>
    <chartFormat chart="4" format="182">
      <pivotArea type="data" outline="0" fieldPosition="0">
        <references count="2">
          <reference field="4294967294" count="1" selected="0">
            <x v="0"/>
          </reference>
          <reference field="2" count="1" selected="0">
            <x v="79"/>
          </reference>
        </references>
      </pivotArea>
    </chartFormat>
    <chartFormat chart="4" format="183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4" format="184">
      <pivotArea type="data" outline="0" fieldPosition="0">
        <references count="2">
          <reference field="4294967294" count="1" selected="0">
            <x v="0"/>
          </reference>
          <reference field="2" count="1" selected="0">
            <x v="81"/>
          </reference>
        </references>
      </pivotArea>
    </chartFormat>
    <chartFormat chart="4" format="185">
      <pivotArea type="data" outline="0" fieldPosition="0">
        <references count="2">
          <reference field="4294967294" count="1" selected="0">
            <x v="0"/>
          </reference>
          <reference field="2" count="1" selected="0">
            <x v="82"/>
          </reference>
        </references>
      </pivotArea>
    </chartFormat>
    <chartFormat chart="4" format="186">
      <pivotArea type="data" outline="0" fieldPosition="0">
        <references count="2">
          <reference field="4294967294" count="1" selected="0">
            <x v="0"/>
          </reference>
          <reference field="2" count="1" selected="0">
            <x v="83"/>
          </reference>
        </references>
      </pivotArea>
    </chartFormat>
    <chartFormat chart="4" format="187">
      <pivotArea type="data" outline="0" fieldPosition="0">
        <references count="2">
          <reference field="4294967294" count="1" selected="0">
            <x v="0"/>
          </reference>
          <reference field="2" count="1" selected="0">
            <x v="84"/>
          </reference>
        </references>
      </pivotArea>
    </chartFormat>
    <chartFormat chart="4" format="188">
      <pivotArea type="data" outline="0" fieldPosition="0">
        <references count="2">
          <reference field="4294967294" count="1" selected="0">
            <x v="0"/>
          </reference>
          <reference field="2" count="1" selected="0">
            <x v="85"/>
          </reference>
        </references>
      </pivotArea>
    </chartFormat>
    <chartFormat chart="4" format="189">
      <pivotArea type="data" outline="0" fieldPosition="0">
        <references count="2">
          <reference field="4294967294" count="1" selected="0">
            <x v="0"/>
          </reference>
          <reference field="2" count="1" selected="0">
            <x v="86"/>
          </reference>
        </references>
      </pivotArea>
    </chartFormat>
    <chartFormat chart="4" format="190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4" format="191">
      <pivotArea type="data" outline="0" fieldPosition="0">
        <references count="2">
          <reference field="4294967294" count="1" selected="0">
            <x v="0"/>
          </reference>
          <reference field="2" count="1" selected="0">
            <x v="88"/>
          </reference>
        </references>
      </pivotArea>
    </chartFormat>
    <chartFormat chart="4" format="192">
      <pivotArea type="data" outline="0" fieldPosition="0">
        <references count="2">
          <reference field="4294967294" count="1" selected="0">
            <x v="0"/>
          </reference>
          <reference field="2" count="1" selected="0">
            <x v="89"/>
          </reference>
        </references>
      </pivotArea>
    </chartFormat>
    <chartFormat chart="4" format="193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4" format="194">
      <pivotArea type="data" outline="0" fieldPosition="0">
        <references count="2">
          <reference field="4294967294" count="1" selected="0">
            <x v="0"/>
          </reference>
          <reference field="2" count="1" selected="0">
            <x v="91"/>
          </reference>
        </references>
      </pivotArea>
    </chartFormat>
    <chartFormat chart="4" format="195">
      <pivotArea type="data" outline="0" fieldPosition="0">
        <references count="2">
          <reference field="4294967294" count="1" selected="0">
            <x v="0"/>
          </reference>
          <reference field="2" count="1" selected="0">
            <x v="92"/>
          </reference>
        </references>
      </pivotArea>
    </chartFormat>
    <chartFormat chart="4" format="196">
      <pivotArea type="data" outline="0" fieldPosition="0">
        <references count="2">
          <reference field="4294967294" count="1" selected="0">
            <x v="0"/>
          </reference>
          <reference field="2" count="1" selected="0">
            <x v="93"/>
          </reference>
        </references>
      </pivotArea>
    </chartFormat>
    <chartFormat chart="4" format="197">
      <pivotArea type="data" outline="0" fieldPosition="0">
        <references count="2">
          <reference field="4294967294" count="1" selected="0">
            <x v="0"/>
          </reference>
          <reference field="2" count="1" selected="0">
            <x v="94"/>
          </reference>
        </references>
      </pivotArea>
    </chartFormat>
    <chartFormat chart="4" format="198">
      <pivotArea type="data" outline="0" fieldPosition="0">
        <references count="2">
          <reference field="4294967294" count="1" selected="0">
            <x v="0"/>
          </reference>
          <reference field="2" count="1" selected="0">
            <x v="95"/>
          </reference>
        </references>
      </pivotArea>
    </chartFormat>
    <chartFormat chart="4" format="199">
      <pivotArea type="data" outline="0" fieldPosition="0">
        <references count="2">
          <reference field="4294967294" count="1" selected="0">
            <x v="0"/>
          </reference>
          <reference field="2" count="1" selected="0">
            <x v="96"/>
          </reference>
        </references>
      </pivotArea>
    </chartFormat>
    <chartFormat chart="4" format="200">
      <pivotArea type="data" outline="0" fieldPosition="0">
        <references count="2">
          <reference field="4294967294" count="1" selected="0">
            <x v="0"/>
          </reference>
          <reference field="2" count="1" selected="0">
            <x v="97"/>
          </reference>
        </references>
      </pivotArea>
    </chartFormat>
    <chartFormat chart="4" format="201">
      <pivotArea type="data" outline="0" fieldPosition="0">
        <references count="2">
          <reference field="4294967294" count="1" selected="0">
            <x v="0"/>
          </reference>
          <reference field="2" count="1" selected="0">
            <x v="98"/>
          </reference>
        </references>
      </pivotArea>
    </chartFormat>
    <chartFormat chart="4" format="202">
      <pivotArea type="data" outline="0" fieldPosition="0">
        <references count="2">
          <reference field="4294967294" count="1" selected="0">
            <x v="0"/>
          </reference>
          <reference field="2" count="1" selected="0">
            <x v="9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537D7-445E-41C6-ADF0-C1C13C5E78B4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B66" firstHeaderRow="1" firstDataRow="1" firstDataCol="1"/>
  <pivotFields count="8">
    <pivotField numFmtId="14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>
      <items count="101">
        <item x="74"/>
        <item x="98"/>
        <item x="45"/>
        <item x="93"/>
        <item x="24"/>
        <item x="23"/>
        <item x="39"/>
        <item x="58"/>
        <item x="31"/>
        <item x="64"/>
        <item x="81"/>
        <item x="96"/>
        <item x="22"/>
        <item x="95"/>
        <item x="66"/>
        <item x="33"/>
        <item x="68"/>
        <item x="83"/>
        <item x="10"/>
        <item x="28"/>
        <item x="67"/>
        <item x="15"/>
        <item x="54"/>
        <item x="29"/>
        <item x="3"/>
        <item x="2"/>
        <item x="1"/>
        <item x="37"/>
        <item x="7"/>
        <item x="47"/>
        <item x="46"/>
        <item x="30"/>
        <item x="69"/>
        <item x="36"/>
        <item x="27"/>
        <item x="32"/>
        <item x="34"/>
        <item x="16"/>
        <item x="50"/>
        <item x="91"/>
        <item x="76"/>
        <item x="43"/>
        <item x="70"/>
        <item x="12"/>
        <item x="17"/>
        <item x="35"/>
        <item x="44"/>
        <item x="19"/>
        <item x="53"/>
        <item x="73"/>
        <item x="25"/>
        <item x="38"/>
        <item x="55"/>
        <item x="86"/>
        <item x="94"/>
        <item x="40"/>
        <item x="56"/>
        <item x="41"/>
        <item x="77"/>
        <item x="87"/>
        <item x="78"/>
        <item x="11"/>
        <item x="80"/>
        <item x="79"/>
        <item x="49"/>
        <item x="42"/>
        <item x="5"/>
        <item x="52"/>
        <item x="72"/>
        <item x="92"/>
        <item x="90"/>
        <item x="59"/>
        <item x="62"/>
        <item x="26"/>
        <item x="21"/>
        <item x="4"/>
        <item x="20"/>
        <item x="14"/>
        <item x="85"/>
        <item x="18"/>
        <item x="99"/>
        <item x="75"/>
        <item x="48"/>
        <item x="8"/>
        <item x="51"/>
        <item x="97"/>
        <item x="61"/>
        <item x="9"/>
        <item x="57"/>
        <item x="13"/>
        <item x="0"/>
        <item x="71"/>
        <item x="88"/>
        <item x="82"/>
        <item x="65"/>
        <item x="6"/>
        <item x="84"/>
        <item x="60"/>
        <item x="89"/>
        <item x="63"/>
        <item t="default"/>
      </items>
    </pivotField>
    <pivotField showAll="0">
      <items count="7">
        <item x="1"/>
        <item x="4"/>
        <item x="3"/>
        <item x="0"/>
        <item x="2"/>
        <item m="1" x="5"/>
        <item t="default"/>
      </items>
    </pivotField>
    <pivotField axis="axisRow" showAll="0">
      <items count="63">
        <item x="10"/>
        <item x="42"/>
        <item x="57"/>
        <item x="52"/>
        <item x="37"/>
        <item x="13"/>
        <item x="23"/>
        <item x="18"/>
        <item x="33"/>
        <item x="26"/>
        <item x="16"/>
        <item x="36"/>
        <item x="4"/>
        <item x="56"/>
        <item x="47"/>
        <item x="38"/>
        <item x="7"/>
        <item x="28"/>
        <item x="5"/>
        <item x="43"/>
        <item x="46"/>
        <item x="9"/>
        <item x="35"/>
        <item x="12"/>
        <item x="45"/>
        <item x="17"/>
        <item x="54"/>
        <item x="8"/>
        <item x="1"/>
        <item x="14"/>
        <item x="25"/>
        <item x="30"/>
        <item x="27"/>
        <item x="41"/>
        <item x="0"/>
        <item x="31"/>
        <item x="51"/>
        <item x="58"/>
        <item x="24"/>
        <item x="60"/>
        <item x="29"/>
        <item x="15"/>
        <item x="61"/>
        <item x="20"/>
        <item x="22"/>
        <item x="55"/>
        <item x="32"/>
        <item x="44"/>
        <item x="40"/>
        <item x="19"/>
        <item x="59"/>
        <item x="6"/>
        <item x="34"/>
        <item x="3"/>
        <item x="53"/>
        <item x="48"/>
        <item x="49"/>
        <item x="21"/>
        <item x="50"/>
        <item x="11"/>
        <item x="2"/>
        <item x="39"/>
        <item t="default"/>
      </items>
    </pivotField>
    <pivotField dataField="1" numFmtId="6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dataFields count="1">
    <dataField name="Suma de Amount" fld="5" baseField="0" baseItem="0" numFmtId="6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2CD58-DB5E-4AD8-893E-85F3B96D6C46}" name="Tabla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C37" firstHeaderRow="0" firstDataRow="1" firstDataCol="1"/>
  <pivotFields count="8">
    <pivotField numFmtId="14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dataField="1" showAll="0">
      <items count="101">
        <item x="74"/>
        <item x="98"/>
        <item x="45"/>
        <item x="93"/>
        <item x="24"/>
        <item x="23"/>
        <item x="39"/>
        <item x="58"/>
        <item x="31"/>
        <item x="64"/>
        <item x="81"/>
        <item x="96"/>
        <item x="22"/>
        <item x="95"/>
        <item x="66"/>
        <item x="33"/>
        <item x="68"/>
        <item x="83"/>
        <item x="10"/>
        <item x="28"/>
        <item x="67"/>
        <item x="15"/>
        <item x="54"/>
        <item x="29"/>
        <item x="3"/>
        <item x="2"/>
        <item x="1"/>
        <item x="37"/>
        <item x="7"/>
        <item x="47"/>
        <item x="46"/>
        <item x="30"/>
        <item x="69"/>
        <item x="36"/>
        <item x="27"/>
        <item x="32"/>
        <item x="34"/>
        <item x="16"/>
        <item x="50"/>
        <item x="91"/>
        <item x="76"/>
        <item x="43"/>
        <item x="70"/>
        <item x="12"/>
        <item x="17"/>
        <item x="35"/>
        <item x="44"/>
        <item x="19"/>
        <item x="53"/>
        <item x="73"/>
        <item x="25"/>
        <item x="38"/>
        <item x="55"/>
        <item x="86"/>
        <item x="94"/>
        <item x="40"/>
        <item x="56"/>
        <item x="41"/>
        <item x="77"/>
        <item x="87"/>
        <item x="78"/>
        <item x="11"/>
        <item x="80"/>
        <item x="79"/>
        <item x="49"/>
        <item x="42"/>
        <item x="5"/>
        <item x="52"/>
        <item x="72"/>
        <item x="92"/>
        <item x="90"/>
        <item x="59"/>
        <item x="62"/>
        <item x="26"/>
        <item x="21"/>
        <item x="4"/>
        <item x="20"/>
        <item x="14"/>
        <item x="85"/>
        <item x="18"/>
        <item x="99"/>
        <item x="75"/>
        <item x="48"/>
        <item x="8"/>
        <item x="51"/>
        <item x="97"/>
        <item x="61"/>
        <item x="9"/>
        <item x="57"/>
        <item x="13"/>
        <item x="0"/>
        <item x="71"/>
        <item x="88"/>
        <item x="82"/>
        <item x="65"/>
        <item x="6"/>
        <item x="84"/>
        <item x="60"/>
        <item x="89"/>
        <item x="63"/>
        <item t="default"/>
      </items>
    </pivotField>
    <pivotField showAll="0">
      <items count="7">
        <item x="1"/>
        <item x="4"/>
        <item x="3"/>
        <item x="0"/>
        <item x="2"/>
        <item m="1" x="5"/>
        <item t="default"/>
      </items>
    </pivotField>
    <pivotField showAll="0">
      <items count="63">
        <item x="10"/>
        <item x="42"/>
        <item x="57"/>
        <item x="52"/>
        <item x="37"/>
        <item x="13"/>
        <item x="23"/>
        <item x="18"/>
        <item x="33"/>
        <item x="26"/>
        <item x="16"/>
        <item x="36"/>
        <item x="4"/>
        <item x="56"/>
        <item x="47"/>
        <item x="38"/>
        <item x="7"/>
        <item x="28"/>
        <item x="5"/>
        <item x="43"/>
        <item x="46"/>
        <item x="9"/>
        <item x="35"/>
        <item x="12"/>
        <item x="45"/>
        <item x="17"/>
        <item x="54"/>
        <item x="8"/>
        <item x="1"/>
        <item x="14"/>
        <item x="25"/>
        <item x="30"/>
        <item x="27"/>
        <item x="41"/>
        <item x="0"/>
        <item x="31"/>
        <item x="51"/>
        <item x="58"/>
        <item x="24"/>
        <item x="60"/>
        <item x="29"/>
        <item x="15"/>
        <item x="61"/>
        <item x="20"/>
        <item x="22"/>
        <item x="55"/>
        <item x="32"/>
        <item x="44"/>
        <item x="40"/>
        <item x="19"/>
        <item x="59"/>
        <item x="6"/>
        <item x="34"/>
        <item x="3"/>
        <item x="53"/>
        <item x="48"/>
        <item x="49"/>
        <item x="21"/>
        <item x="50"/>
        <item x="11"/>
        <item x="2"/>
        <item x="39"/>
        <item t="default"/>
      </items>
    </pivotField>
    <pivotField dataField="1" numFmtId="6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7"/>
    <field x="6"/>
  </rowFields>
  <rowItems count="34">
    <i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Amount" fld="5" baseField="0" baseItem="0" numFmtId="6"/>
    <dataField name="Cuenta de Product" fld="2" subtotal="count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" xr10:uid="{72DFBF94-A7C5-4581-8CA0-7F8D75B667A6}" sourceName="Product">
  <pivotTables>
    <pivotTable tabId="2" name="TablaDinámica1"/>
    <pivotTable tabId="4" name="TablaDinámica3"/>
  </pivotTables>
  <data>
    <tabular pivotCacheId="595585344">
      <items count="100">
        <i x="74" s="1"/>
        <i x="98" s="1"/>
        <i x="45" s="1"/>
        <i x="93" s="1"/>
        <i x="24" s="1"/>
        <i x="23" s="1"/>
        <i x="39" s="1"/>
        <i x="58" s="1"/>
        <i x="31" s="1"/>
        <i x="64" s="1"/>
        <i x="81" s="1"/>
        <i x="96" s="1"/>
        <i x="22" s="1"/>
        <i x="95" s="1"/>
        <i x="66" s="1"/>
        <i x="33" s="1"/>
        <i x="68" s="1"/>
        <i x="83" s="1"/>
        <i x="10" s="1"/>
        <i x="28" s="1"/>
        <i x="67" s="1"/>
        <i x="15" s="1"/>
        <i x="54" s="1"/>
        <i x="29" s="1"/>
        <i x="3" s="1"/>
        <i x="2" s="1"/>
        <i x="1" s="1"/>
        <i x="37" s="1"/>
        <i x="7" s="1"/>
        <i x="47" s="1"/>
        <i x="46" s="1"/>
        <i x="30" s="1"/>
        <i x="69" s="1"/>
        <i x="36" s="1"/>
        <i x="27" s="1"/>
        <i x="32" s="1"/>
        <i x="34" s="1"/>
        <i x="16" s="1"/>
        <i x="50" s="1"/>
        <i x="91" s="1"/>
        <i x="76" s="1"/>
        <i x="43" s="1"/>
        <i x="70" s="1"/>
        <i x="12" s="1"/>
        <i x="17" s="1"/>
        <i x="35" s="1"/>
        <i x="44" s="1"/>
        <i x="19" s="1"/>
        <i x="53" s="1"/>
        <i x="73" s="1"/>
        <i x="25" s="1"/>
        <i x="38" s="1"/>
        <i x="55" s="1"/>
        <i x="86" s="1"/>
        <i x="94" s="1"/>
        <i x="40" s="1"/>
        <i x="56" s="1"/>
        <i x="41" s="1"/>
        <i x="77" s="1"/>
        <i x="87" s="1"/>
        <i x="78" s="1"/>
        <i x="11" s="1"/>
        <i x="80" s="1"/>
        <i x="79" s="1"/>
        <i x="49" s="1"/>
        <i x="42" s="1"/>
        <i x="5" s="1"/>
        <i x="52" s="1"/>
        <i x="72" s="1"/>
        <i x="92" s="1"/>
        <i x="90" s="1"/>
        <i x="59" s="1"/>
        <i x="62" s="1"/>
        <i x="26" s="1"/>
        <i x="21" s="1"/>
        <i x="4" s="1"/>
        <i x="20" s="1"/>
        <i x="14" s="1"/>
        <i x="85" s="1"/>
        <i x="18" s="1"/>
        <i x="99" s="1"/>
        <i x="75" s="1"/>
        <i x="48" s="1"/>
        <i x="8" s="1"/>
        <i x="51" s="1"/>
        <i x="97" s="1"/>
        <i x="61" s="1"/>
        <i x="9" s="1"/>
        <i x="57" s="1"/>
        <i x="13" s="1"/>
        <i x="0" s="1"/>
        <i x="71" s="1"/>
        <i x="88" s="1"/>
        <i x="82" s="1"/>
        <i x="65" s="1"/>
        <i x="6" s="1"/>
        <i x="84" s="1"/>
        <i x="60" s="1"/>
        <i x="89" s="1"/>
        <i x="6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8F4FEA5F-13D5-4C31-AED0-DBD2DEDFBF01}" sourceName="Category">
  <pivotTables>
    <pivotTable tabId="2" name="TablaDinámica1"/>
    <pivotTable tabId="4" name="TablaDinámica3"/>
    <pivotTable tabId="3" name="TablaDinámica2"/>
  </pivotTables>
  <data>
    <tabular pivotCacheId="595585344" crossFilter="showItemsWithNoData">
      <items count="6">
        <i x="1" s="1"/>
        <i x="4" s="1"/>
        <i x="3" s="1"/>
        <i x="0" s="1"/>
        <i x="2" s="1"/>
        <i x="5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_Buyer" xr10:uid="{47E19FBC-932B-420C-96BB-A4EA5AD0BB51}" sourceName="Country Buyer">
  <pivotTables>
    <pivotTable tabId="2" name="TablaDinámica1"/>
    <pivotTable tabId="4" name="TablaDinámica3"/>
    <pivotTable tabId="3" name="TablaDinámica2"/>
  </pivotTables>
  <data>
    <tabular pivotCacheId="595585344">
      <items count="62">
        <i x="10" s="1"/>
        <i x="42" s="1"/>
        <i x="57" s="1"/>
        <i x="52" s="1"/>
        <i x="37" s="1"/>
        <i x="13" s="1"/>
        <i x="23" s="1"/>
        <i x="18" s="1"/>
        <i x="33" s="1"/>
        <i x="26" s="1"/>
        <i x="16" s="1"/>
        <i x="36" s="1"/>
        <i x="4" s="1"/>
        <i x="56" s="1"/>
        <i x="47" s="1"/>
        <i x="38" s="1"/>
        <i x="7" s="1"/>
        <i x="28" s="1"/>
        <i x="5" s="1"/>
        <i x="43" s="1"/>
        <i x="46" s="1"/>
        <i x="9" s="1"/>
        <i x="35" s="1"/>
        <i x="12" s="1"/>
        <i x="45" s="1"/>
        <i x="17" s="1"/>
        <i x="54" s="1"/>
        <i x="8" s="1"/>
        <i x="1" s="1"/>
        <i x="14" s="1"/>
        <i x="25" s="1"/>
        <i x="30" s="1"/>
        <i x="27" s="1"/>
        <i x="41" s="1"/>
        <i x="0" s="1"/>
        <i x="31" s="1"/>
        <i x="51" s="1"/>
        <i x="58" s="1"/>
        <i x="24" s="1"/>
        <i x="60" s="1"/>
        <i x="29" s="1"/>
        <i x="15" s="1"/>
        <i x="61" s="1"/>
        <i x="20" s="1"/>
        <i x="22" s="1"/>
        <i x="55" s="1"/>
        <i x="32" s="1"/>
        <i x="44" s="1"/>
        <i x="40" s="1"/>
        <i x="19" s="1"/>
        <i x="59" s="1"/>
        <i x="6" s="1"/>
        <i x="34" s="1"/>
        <i x="3" s="1"/>
        <i x="53" s="1"/>
        <i x="48" s="1"/>
        <i x="49" s="1"/>
        <i x="21" s="1"/>
        <i x="50" s="1"/>
        <i x="11" s="1"/>
        <i x="2" s="1"/>
        <i x="39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Date" xr10:uid="{A738ABF5-0EFD-4715-B531-7D53A2C40684}" sourceName="Meses (Date)">
  <pivotTables>
    <pivotTable tabId="2" name="TablaDinámica1"/>
    <pivotTable tabId="4" name="TablaDinámica3"/>
    <pivotTable tabId="3" name="TablaDinámica2"/>
  </pivotTables>
  <data>
    <tabular pivotCacheId="595585344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Date" xr10:uid="{81550E94-8A6E-4D3C-90AD-681F70F9416B}" sourceName="Años (Date)">
  <pivotTables>
    <pivotTable tabId="2" name="TablaDinámica1"/>
    <pivotTable tabId="4" name="TablaDinámica3"/>
    <pivotTable tabId="3" name="TablaDinámica2"/>
  </pivotTables>
  <data>
    <tabular pivotCacheId="595585344">
      <items count="5">
        <i x="1" s="1"/>
        <i x="2" s="1"/>
        <i x="3" s="1"/>
        <i x="0" s="1" nd="1"/>
        <i x="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C043BBC7-6048-4A6E-A6A6-2E65ED05ABD3}" cache="SegmentaciónDeDatos_Product" caption="Product" rowHeight="251883"/>
  <slicer name="Category" xr10:uid="{A2316359-EC0A-4351-AF3E-F706129663E5}" cache="SegmentaciónDeDatos_Category" caption="Category" rowHeight="251883"/>
  <slicer name="Country Buyer" xr10:uid="{22EFEB73-AA81-41B5-A659-F3C9A99F1463}" cache="SegmentaciónDeDatos_Country_Buyer" caption="Country Buyer" rowHeight="251883"/>
  <slicer name="Meses (Date)" xr10:uid="{948AF469-24B2-4B76-A46E-75D5338802D8}" cache="SegmentaciónDeDatos_Meses__Date" caption="Meses (Date)" rowHeight="251883"/>
  <slicer name="Años (Date)" xr10:uid="{E47299F7-7DD9-4CC5-B40F-44BA8F4E052A}" cache="SegmentaciónDeDatos_Años__Date" caption="Años (Date)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56C307-6B8D-48C6-BBF3-1DA3A98B1B35}" name="tblVentas" displayName="tblVentas" ref="A1:F299" totalsRowShown="0" headerRowDxfId="0" headerRowBorderDxfId="8" tableBorderDxfId="9" totalsRowBorderDxfId="7">
  <autoFilter ref="A1:F299" xr:uid="{7156C307-6B8D-48C6-BBF3-1DA3A98B1B35}"/>
  <tableColumns count="6">
    <tableColumn id="1" xr3:uid="{53B149C4-DA0A-451C-B1C3-6520B18CBC2E}" name="Date" dataDxfId="6"/>
    <tableColumn id="2" xr3:uid="{11BAE380-F7BC-4951-B734-B23E17AE5F8C}" name="Simple_Date" dataDxfId="5"/>
    <tableColumn id="3" xr3:uid="{550530BC-99E4-42A4-B208-EEE8CE68A513}" name="Product" dataDxfId="4"/>
    <tableColumn id="4" xr3:uid="{28B88224-E0F6-463D-87B4-38198D523445}" name="Category" dataDxfId="3"/>
    <tableColumn id="5" xr3:uid="{5BD2BDD2-EEC7-4C7A-B616-443A9216B95C}" name="Country Buyer" dataDxfId="2"/>
    <tableColumn id="6" xr3:uid="{AE4631C2-0A98-44C4-9DCC-395A526864D0}" name="Am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FC3F-7933-4BA9-A7A4-841A51DBB3F9}">
  <dimension ref="A3:B104"/>
  <sheetViews>
    <sheetView workbookViewId="0">
      <selection activeCell="A11" sqref="A11"/>
    </sheetView>
  </sheetViews>
  <sheetFormatPr baseColWidth="10" defaultRowHeight="14.5" x14ac:dyDescent="0.35"/>
  <cols>
    <col min="1" max="1" width="32.26953125" bestFit="1" customWidth="1"/>
    <col min="2" max="2" width="15" bestFit="1" customWidth="1"/>
  </cols>
  <sheetData>
    <row r="3" spans="1:2" x14ac:dyDescent="0.35">
      <c r="A3" s="16" t="s">
        <v>176</v>
      </c>
      <c r="B3" t="s">
        <v>193</v>
      </c>
    </row>
    <row r="4" spans="1:2" x14ac:dyDescent="0.35">
      <c r="A4" s="17" t="s">
        <v>143</v>
      </c>
      <c r="B4" s="3">
        <v>6</v>
      </c>
    </row>
    <row r="5" spans="1:2" x14ac:dyDescent="0.35">
      <c r="A5" s="17" t="s">
        <v>174</v>
      </c>
      <c r="B5" s="3">
        <v>34</v>
      </c>
    </row>
    <row r="6" spans="1:2" x14ac:dyDescent="0.35">
      <c r="A6" s="17" t="s">
        <v>97</v>
      </c>
      <c r="B6" s="3">
        <v>2</v>
      </c>
    </row>
    <row r="7" spans="1:2" x14ac:dyDescent="0.35">
      <c r="A7" s="17" t="s">
        <v>167</v>
      </c>
      <c r="B7" s="3">
        <v>11</v>
      </c>
    </row>
    <row r="8" spans="1:2" x14ac:dyDescent="0.35">
      <c r="A8" s="17" t="s">
        <v>61</v>
      </c>
      <c r="B8" s="3">
        <v>5</v>
      </c>
    </row>
    <row r="9" spans="1:2" x14ac:dyDescent="0.35">
      <c r="A9" s="17" t="s">
        <v>59</v>
      </c>
      <c r="B9" s="3">
        <v>13</v>
      </c>
    </row>
    <row r="10" spans="1:2" x14ac:dyDescent="0.35">
      <c r="A10" s="17" t="s">
        <v>85</v>
      </c>
      <c r="B10" s="3">
        <v>50</v>
      </c>
    </row>
    <row r="11" spans="1:2" x14ac:dyDescent="0.35">
      <c r="A11" s="17" t="s">
        <v>116</v>
      </c>
      <c r="B11" s="3">
        <v>17</v>
      </c>
    </row>
    <row r="12" spans="1:2" x14ac:dyDescent="0.35">
      <c r="A12" s="17" t="s">
        <v>71</v>
      </c>
      <c r="B12" s="3">
        <v>74</v>
      </c>
    </row>
    <row r="13" spans="1:2" x14ac:dyDescent="0.35">
      <c r="A13" s="17" t="s">
        <v>125</v>
      </c>
      <c r="B13" s="3">
        <v>31</v>
      </c>
    </row>
    <row r="14" spans="1:2" x14ac:dyDescent="0.35">
      <c r="A14" s="17" t="s">
        <v>152</v>
      </c>
      <c r="B14" s="3">
        <v>23</v>
      </c>
    </row>
    <row r="15" spans="1:2" x14ac:dyDescent="0.35">
      <c r="A15" s="17" t="s">
        <v>171</v>
      </c>
      <c r="B15" s="3">
        <v>20</v>
      </c>
    </row>
    <row r="16" spans="1:2" x14ac:dyDescent="0.35">
      <c r="A16" s="17" t="s">
        <v>58</v>
      </c>
      <c r="B16" s="3">
        <v>74</v>
      </c>
    </row>
    <row r="17" spans="1:2" x14ac:dyDescent="0.35">
      <c r="A17" s="17" t="s">
        <v>170</v>
      </c>
      <c r="B17" s="3">
        <v>58</v>
      </c>
    </row>
    <row r="18" spans="1:2" x14ac:dyDescent="0.35">
      <c r="A18" s="17" t="s">
        <v>128</v>
      </c>
      <c r="B18" s="3">
        <v>12</v>
      </c>
    </row>
    <row r="19" spans="1:2" x14ac:dyDescent="0.35">
      <c r="A19" s="17" t="s">
        <v>75</v>
      </c>
      <c r="B19" s="3">
        <v>1</v>
      </c>
    </row>
    <row r="20" spans="1:2" x14ac:dyDescent="0.35">
      <c r="A20" s="17" t="s">
        <v>131</v>
      </c>
      <c r="B20" s="3">
        <v>20</v>
      </c>
    </row>
    <row r="21" spans="1:2" x14ac:dyDescent="0.35">
      <c r="A21" s="17" t="s">
        <v>154</v>
      </c>
      <c r="B21" s="3">
        <v>36</v>
      </c>
    </row>
    <row r="22" spans="1:2" x14ac:dyDescent="0.35">
      <c r="A22" s="17" t="s">
        <v>30</v>
      </c>
      <c r="B22" s="3">
        <v>738</v>
      </c>
    </row>
    <row r="23" spans="1:2" x14ac:dyDescent="0.35">
      <c r="A23" s="17" t="s">
        <v>67</v>
      </c>
      <c r="B23" s="3">
        <v>2</v>
      </c>
    </row>
    <row r="24" spans="1:2" x14ac:dyDescent="0.35">
      <c r="A24" s="17" t="s">
        <v>129</v>
      </c>
      <c r="B24" s="3">
        <v>19</v>
      </c>
    </row>
    <row r="25" spans="1:2" x14ac:dyDescent="0.35">
      <c r="A25" s="17" t="s">
        <v>42</v>
      </c>
      <c r="B25" s="3">
        <v>63</v>
      </c>
    </row>
    <row r="26" spans="1:2" x14ac:dyDescent="0.35">
      <c r="A26" s="17" t="s">
        <v>111</v>
      </c>
      <c r="B26" s="3">
        <v>9</v>
      </c>
    </row>
    <row r="27" spans="1:2" x14ac:dyDescent="0.35">
      <c r="A27" s="17" t="s">
        <v>69</v>
      </c>
      <c r="B27" s="3">
        <v>14</v>
      </c>
    </row>
    <row r="28" spans="1:2" x14ac:dyDescent="0.35">
      <c r="A28" s="17" t="s">
        <v>14</v>
      </c>
      <c r="B28" s="3">
        <v>62</v>
      </c>
    </row>
    <row r="29" spans="1:2" x14ac:dyDescent="0.35">
      <c r="A29" s="17" t="s">
        <v>12</v>
      </c>
      <c r="B29" s="3">
        <v>4</v>
      </c>
    </row>
    <row r="30" spans="1:2" x14ac:dyDescent="0.35">
      <c r="A30" s="17" t="s">
        <v>9</v>
      </c>
      <c r="B30" s="3">
        <v>9</v>
      </c>
    </row>
    <row r="31" spans="1:2" x14ac:dyDescent="0.35">
      <c r="A31" s="17" t="s">
        <v>83</v>
      </c>
      <c r="B31" s="3">
        <v>11</v>
      </c>
    </row>
    <row r="32" spans="1:2" x14ac:dyDescent="0.35">
      <c r="A32" s="17" t="s">
        <v>23</v>
      </c>
      <c r="B32" s="3">
        <v>29</v>
      </c>
    </row>
    <row r="33" spans="1:2" x14ac:dyDescent="0.35">
      <c r="A33" s="17" t="s">
        <v>100</v>
      </c>
      <c r="B33" s="3">
        <v>6</v>
      </c>
    </row>
    <row r="34" spans="1:2" x14ac:dyDescent="0.35">
      <c r="A34" s="17" t="s">
        <v>99</v>
      </c>
      <c r="B34" s="3">
        <v>19</v>
      </c>
    </row>
    <row r="35" spans="1:2" x14ac:dyDescent="0.35">
      <c r="A35" s="17" t="s">
        <v>70</v>
      </c>
      <c r="B35" s="3">
        <v>20</v>
      </c>
    </row>
    <row r="36" spans="1:2" x14ac:dyDescent="0.35">
      <c r="A36" s="17" t="s">
        <v>133</v>
      </c>
      <c r="B36" s="3">
        <v>49</v>
      </c>
    </row>
    <row r="37" spans="1:2" x14ac:dyDescent="0.35">
      <c r="A37" s="17" t="s">
        <v>81</v>
      </c>
      <c r="B37" s="3">
        <v>15</v>
      </c>
    </row>
    <row r="38" spans="1:2" x14ac:dyDescent="0.35">
      <c r="A38" s="17" t="s">
        <v>65</v>
      </c>
      <c r="B38" s="3">
        <v>41</v>
      </c>
    </row>
    <row r="39" spans="1:2" x14ac:dyDescent="0.35">
      <c r="A39" s="17" t="s">
        <v>73</v>
      </c>
      <c r="B39" s="3">
        <v>1</v>
      </c>
    </row>
    <row r="40" spans="1:2" x14ac:dyDescent="0.35">
      <c r="A40" s="17" t="s">
        <v>77</v>
      </c>
      <c r="B40" s="3">
        <v>8</v>
      </c>
    </row>
    <row r="41" spans="1:2" x14ac:dyDescent="0.35">
      <c r="A41" s="17" t="s">
        <v>43</v>
      </c>
      <c r="B41" s="3">
        <v>39</v>
      </c>
    </row>
    <row r="42" spans="1:2" x14ac:dyDescent="0.35">
      <c r="A42" s="17" t="s">
        <v>105</v>
      </c>
      <c r="B42" s="3">
        <v>13</v>
      </c>
    </row>
    <row r="43" spans="1:2" x14ac:dyDescent="0.35">
      <c r="A43" s="17" t="s">
        <v>165</v>
      </c>
      <c r="B43" s="3">
        <v>52</v>
      </c>
    </row>
    <row r="44" spans="1:2" x14ac:dyDescent="0.35">
      <c r="A44" s="17" t="s">
        <v>145</v>
      </c>
      <c r="B44" s="3">
        <v>11</v>
      </c>
    </row>
    <row r="45" spans="1:2" x14ac:dyDescent="0.35">
      <c r="A45" s="17" t="s">
        <v>93</v>
      </c>
      <c r="B45" s="3">
        <v>12</v>
      </c>
    </row>
    <row r="46" spans="1:2" x14ac:dyDescent="0.35">
      <c r="A46" s="17" t="s">
        <v>135</v>
      </c>
      <c r="B46" s="3">
        <v>18</v>
      </c>
    </row>
    <row r="47" spans="1:2" x14ac:dyDescent="0.35">
      <c r="A47" s="17" t="s">
        <v>36</v>
      </c>
      <c r="B47" s="3">
        <v>43</v>
      </c>
    </row>
    <row r="48" spans="1:2" x14ac:dyDescent="0.35">
      <c r="A48" s="17" t="s">
        <v>45</v>
      </c>
      <c r="B48" s="3">
        <v>2</v>
      </c>
    </row>
    <row r="49" spans="1:2" x14ac:dyDescent="0.35">
      <c r="A49" s="17" t="s">
        <v>79</v>
      </c>
      <c r="B49" s="3">
        <v>4</v>
      </c>
    </row>
    <row r="50" spans="1:2" x14ac:dyDescent="0.35">
      <c r="A50" s="17" t="s">
        <v>96</v>
      </c>
      <c r="B50" s="3">
        <v>50</v>
      </c>
    </row>
    <row r="51" spans="1:2" x14ac:dyDescent="0.35">
      <c r="A51" s="17" t="s">
        <v>51</v>
      </c>
      <c r="B51" s="3">
        <v>64</v>
      </c>
    </row>
    <row r="52" spans="1:2" x14ac:dyDescent="0.35">
      <c r="A52" s="17" t="s">
        <v>109</v>
      </c>
      <c r="B52" s="3">
        <v>18</v>
      </c>
    </row>
    <row r="53" spans="1:2" x14ac:dyDescent="0.35">
      <c r="A53" s="17" t="s">
        <v>140</v>
      </c>
      <c r="B53" s="3">
        <v>6</v>
      </c>
    </row>
    <row r="54" spans="1:2" x14ac:dyDescent="0.35">
      <c r="A54" s="17" t="s">
        <v>62</v>
      </c>
      <c r="B54" s="3">
        <v>52</v>
      </c>
    </row>
    <row r="55" spans="1:2" x14ac:dyDescent="0.35">
      <c r="A55" s="17" t="s">
        <v>84</v>
      </c>
      <c r="B55" s="3">
        <v>70</v>
      </c>
    </row>
    <row r="56" spans="1:2" x14ac:dyDescent="0.35">
      <c r="A56" s="17" t="s">
        <v>112</v>
      </c>
      <c r="B56" s="3">
        <v>81</v>
      </c>
    </row>
    <row r="57" spans="1:2" x14ac:dyDescent="0.35">
      <c r="A57" s="17" t="s">
        <v>158</v>
      </c>
      <c r="B57" s="3">
        <v>15</v>
      </c>
    </row>
    <row r="58" spans="1:2" x14ac:dyDescent="0.35">
      <c r="A58" s="17" t="s">
        <v>169</v>
      </c>
      <c r="B58" s="3">
        <v>4</v>
      </c>
    </row>
    <row r="59" spans="1:2" x14ac:dyDescent="0.35">
      <c r="A59" s="17" t="s">
        <v>87</v>
      </c>
      <c r="B59" s="3">
        <v>9</v>
      </c>
    </row>
    <row r="60" spans="1:2" x14ac:dyDescent="0.35">
      <c r="A60" s="17" t="s">
        <v>113</v>
      </c>
      <c r="B60" s="3">
        <v>73</v>
      </c>
    </row>
    <row r="61" spans="1:2" x14ac:dyDescent="0.35">
      <c r="A61" s="17" t="s">
        <v>89</v>
      </c>
      <c r="B61" s="3">
        <v>59</v>
      </c>
    </row>
    <row r="62" spans="1:2" x14ac:dyDescent="0.35">
      <c r="A62" s="17" t="s">
        <v>147</v>
      </c>
      <c r="B62" s="3">
        <v>23</v>
      </c>
    </row>
    <row r="63" spans="1:2" x14ac:dyDescent="0.35">
      <c r="A63" s="17" t="s">
        <v>159</v>
      </c>
      <c r="B63" s="3">
        <v>19</v>
      </c>
    </row>
    <row r="64" spans="1:2" x14ac:dyDescent="0.35">
      <c r="A64" s="17" t="s">
        <v>148</v>
      </c>
      <c r="B64" s="3">
        <v>34</v>
      </c>
    </row>
    <row r="65" spans="1:2" x14ac:dyDescent="0.35">
      <c r="A65" s="17" t="s">
        <v>34</v>
      </c>
      <c r="B65" s="3">
        <v>2</v>
      </c>
    </row>
    <row r="66" spans="1:2" x14ac:dyDescent="0.35">
      <c r="A66" s="17" t="s">
        <v>150</v>
      </c>
      <c r="B66" s="3">
        <v>20</v>
      </c>
    </row>
    <row r="67" spans="1:2" x14ac:dyDescent="0.35">
      <c r="A67" s="17" t="s">
        <v>149</v>
      </c>
      <c r="B67" s="3">
        <v>8</v>
      </c>
    </row>
    <row r="68" spans="1:2" x14ac:dyDescent="0.35">
      <c r="A68" s="17" t="s">
        <v>103</v>
      </c>
      <c r="B68" s="3">
        <v>11</v>
      </c>
    </row>
    <row r="69" spans="1:2" x14ac:dyDescent="0.35">
      <c r="A69" s="17" t="s">
        <v>91</v>
      </c>
      <c r="B69" s="3">
        <v>33</v>
      </c>
    </row>
    <row r="70" spans="1:2" x14ac:dyDescent="0.35">
      <c r="A70" s="17" t="s">
        <v>19</v>
      </c>
      <c r="B70" s="3">
        <v>6</v>
      </c>
    </row>
    <row r="71" spans="1:2" x14ac:dyDescent="0.35">
      <c r="A71" s="17" t="s">
        <v>108</v>
      </c>
      <c r="B71" s="3">
        <v>4</v>
      </c>
    </row>
    <row r="72" spans="1:2" x14ac:dyDescent="0.35">
      <c r="A72" s="17" t="s">
        <v>139</v>
      </c>
      <c r="B72" s="3">
        <v>67</v>
      </c>
    </row>
    <row r="73" spans="1:2" x14ac:dyDescent="0.35">
      <c r="A73" s="17" t="s">
        <v>166</v>
      </c>
      <c r="B73" s="3">
        <v>7</v>
      </c>
    </row>
    <row r="74" spans="1:2" x14ac:dyDescent="0.35">
      <c r="A74" s="17" t="s">
        <v>164</v>
      </c>
      <c r="B74" s="3">
        <v>17</v>
      </c>
    </row>
    <row r="75" spans="1:2" x14ac:dyDescent="0.35">
      <c r="A75" s="17" t="s">
        <v>117</v>
      </c>
      <c r="B75" s="3">
        <v>56</v>
      </c>
    </row>
    <row r="76" spans="1:2" x14ac:dyDescent="0.35">
      <c r="A76" s="17" t="s">
        <v>122</v>
      </c>
      <c r="B76" s="3">
        <v>4</v>
      </c>
    </row>
    <row r="77" spans="1:2" x14ac:dyDescent="0.35">
      <c r="A77" s="17" t="s">
        <v>63</v>
      </c>
      <c r="B77" s="3">
        <v>8</v>
      </c>
    </row>
    <row r="78" spans="1:2" x14ac:dyDescent="0.35">
      <c r="A78" s="17" t="s">
        <v>57</v>
      </c>
      <c r="B78" s="3">
        <v>8</v>
      </c>
    </row>
    <row r="79" spans="1:2" x14ac:dyDescent="0.35">
      <c r="A79" s="17" t="s">
        <v>17</v>
      </c>
      <c r="B79" s="3">
        <v>24</v>
      </c>
    </row>
    <row r="80" spans="1:2" x14ac:dyDescent="0.35">
      <c r="A80" s="17" t="s">
        <v>53</v>
      </c>
      <c r="B80" s="3">
        <v>20</v>
      </c>
    </row>
    <row r="81" spans="1:2" x14ac:dyDescent="0.35">
      <c r="A81" s="17" t="s">
        <v>41</v>
      </c>
      <c r="B81" s="3">
        <v>3</v>
      </c>
    </row>
    <row r="82" spans="1:2" x14ac:dyDescent="0.35">
      <c r="A82" s="17" t="s">
        <v>157</v>
      </c>
      <c r="B82" s="3">
        <v>24</v>
      </c>
    </row>
    <row r="83" spans="1:2" x14ac:dyDescent="0.35">
      <c r="A83" s="17" t="s">
        <v>49</v>
      </c>
      <c r="B83" s="3">
        <v>4</v>
      </c>
    </row>
    <row r="84" spans="1:2" x14ac:dyDescent="0.35">
      <c r="A84" s="17" t="s">
        <v>175</v>
      </c>
      <c r="B84" s="3">
        <v>34</v>
      </c>
    </row>
    <row r="85" spans="1:2" x14ac:dyDescent="0.35">
      <c r="A85" s="17" t="s">
        <v>144</v>
      </c>
      <c r="B85" s="3">
        <v>30</v>
      </c>
    </row>
    <row r="86" spans="1:2" x14ac:dyDescent="0.35">
      <c r="A86" s="17" t="s">
        <v>102</v>
      </c>
      <c r="B86" s="3">
        <v>11</v>
      </c>
    </row>
    <row r="87" spans="1:2" x14ac:dyDescent="0.35">
      <c r="A87" s="17" t="s">
        <v>26</v>
      </c>
      <c r="B87" s="3">
        <v>47</v>
      </c>
    </row>
    <row r="88" spans="1:2" x14ac:dyDescent="0.35">
      <c r="A88" s="17" t="s">
        <v>106</v>
      </c>
      <c r="B88" s="3">
        <v>15</v>
      </c>
    </row>
    <row r="89" spans="1:2" x14ac:dyDescent="0.35">
      <c r="A89" s="17" t="s">
        <v>172</v>
      </c>
      <c r="B89" s="3">
        <v>7</v>
      </c>
    </row>
    <row r="90" spans="1:2" x14ac:dyDescent="0.35">
      <c r="A90" s="17" t="s">
        <v>120</v>
      </c>
      <c r="B90" s="3">
        <v>66</v>
      </c>
    </row>
    <row r="91" spans="1:2" x14ac:dyDescent="0.35">
      <c r="A91" s="17" t="s">
        <v>28</v>
      </c>
      <c r="B91" s="3">
        <v>15</v>
      </c>
    </row>
    <row r="92" spans="1:2" x14ac:dyDescent="0.35">
      <c r="A92" s="17" t="s">
        <v>114</v>
      </c>
      <c r="B92" s="3">
        <v>5</v>
      </c>
    </row>
    <row r="93" spans="1:2" x14ac:dyDescent="0.35">
      <c r="A93" s="17" t="s">
        <v>39</v>
      </c>
      <c r="B93" s="3">
        <v>17</v>
      </c>
    </row>
    <row r="94" spans="1:2" x14ac:dyDescent="0.35">
      <c r="A94" s="17" t="s">
        <v>6</v>
      </c>
      <c r="B94" s="3">
        <v>17</v>
      </c>
    </row>
    <row r="95" spans="1:2" x14ac:dyDescent="0.35">
      <c r="A95" s="17" t="s">
        <v>137</v>
      </c>
      <c r="B95" s="3">
        <v>17</v>
      </c>
    </row>
    <row r="96" spans="1:2" x14ac:dyDescent="0.35">
      <c r="A96" s="17" t="s">
        <v>160</v>
      </c>
      <c r="B96" s="3">
        <v>9</v>
      </c>
    </row>
    <row r="97" spans="1:2" x14ac:dyDescent="0.35">
      <c r="A97" s="17" t="s">
        <v>153</v>
      </c>
      <c r="B97" s="3">
        <v>37</v>
      </c>
    </row>
    <row r="98" spans="1:2" x14ac:dyDescent="0.35">
      <c r="A98" s="17" t="s">
        <v>126</v>
      </c>
      <c r="B98" s="3">
        <v>66</v>
      </c>
    </row>
    <row r="99" spans="1:2" x14ac:dyDescent="0.35">
      <c r="A99" s="17" t="s">
        <v>21</v>
      </c>
      <c r="B99" s="3">
        <v>13</v>
      </c>
    </row>
    <row r="100" spans="1:2" x14ac:dyDescent="0.35">
      <c r="A100" s="17" t="s">
        <v>155</v>
      </c>
      <c r="B100" s="3">
        <v>48</v>
      </c>
    </row>
    <row r="101" spans="1:2" x14ac:dyDescent="0.35">
      <c r="A101" s="17" t="s">
        <v>118</v>
      </c>
      <c r="B101" s="3">
        <v>19</v>
      </c>
    </row>
    <row r="102" spans="1:2" x14ac:dyDescent="0.35">
      <c r="A102" s="17" t="s">
        <v>162</v>
      </c>
      <c r="B102" s="3">
        <v>16</v>
      </c>
    </row>
    <row r="103" spans="1:2" x14ac:dyDescent="0.35">
      <c r="A103" s="17" t="s">
        <v>124</v>
      </c>
      <c r="B103" s="3">
        <v>25</v>
      </c>
    </row>
    <row r="104" spans="1:2" x14ac:dyDescent="0.35">
      <c r="A104" s="17" t="s">
        <v>177</v>
      </c>
      <c r="B104" s="3">
        <v>3217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259C-276B-41C0-BA9C-58E043FD5D9E}">
  <dimension ref="A3:B66"/>
  <sheetViews>
    <sheetView topLeftCell="B1" workbookViewId="0">
      <selection activeCell="J31" sqref="J31"/>
    </sheetView>
  </sheetViews>
  <sheetFormatPr baseColWidth="10" defaultRowHeight="14.5" x14ac:dyDescent="0.35"/>
  <cols>
    <col min="1" max="1" width="16.54296875" bestFit="1" customWidth="1"/>
    <col min="2" max="2" width="15" bestFit="1" customWidth="1"/>
  </cols>
  <sheetData>
    <row r="3" spans="1:2" x14ac:dyDescent="0.35">
      <c r="A3" s="16" t="s">
        <v>176</v>
      </c>
      <c r="B3" t="s">
        <v>193</v>
      </c>
    </row>
    <row r="4" spans="1:2" x14ac:dyDescent="0.35">
      <c r="A4" s="17" t="s">
        <v>32</v>
      </c>
      <c r="B4" s="3">
        <v>104</v>
      </c>
    </row>
    <row r="5" spans="1:2" x14ac:dyDescent="0.35">
      <c r="A5" s="17" t="s">
        <v>107</v>
      </c>
      <c r="B5" s="3">
        <v>67</v>
      </c>
    </row>
    <row r="6" spans="1:2" x14ac:dyDescent="0.35">
      <c r="A6" s="17" t="s">
        <v>156</v>
      </c>
      <c r="B6" s="3">
        <v>48</v>
      </c>
    </row>
    <row r="7" spans="1:2" x14ac:dyDescent="0.35">
      <c r="A7" s="17" t="s">
        <v>136</v>
      </c>
      <c r="B7" s="3">
        <v>18</v>
      </c>
    </row>
    <row r="8" spans="1:2" x14ac:dyDescent="0.35">
      <c r="A8" s="17" t="s">
        <v>92</v>
      </c>
      <c r="B8" s="3">
        <v>50</v>
      </c>
    </row>
    <row r="9" spans="1:2" x14ac:dyDescent="0.35">
      <c r="A9" s="17" t="s">
        <v>37</v>
      </c>
      <c r="B9" s="3">
        <v>88</v>
      </c>
    </row>
    <row r="10" spans="1:2" x14ac:dyDescent="0.35">
      <c r="A10" s="17" t="s">
        <v>56</v>
      </c>
      <c r="B10" s="3">
        <v>68</v>
      </c>
    </row>
    <row r="11" spans="1:2" x14ac:dyDescent="0.35">
      <c r="A11" s="17" t="s">
        <v>48</v>
      </c>
      <c r="B11" s="3">
        <v>109</v>
      </c>
    </row>
    <row r="12" spans="1:2" x14ac:dyDescent="0.35">
      <c r="A12" s="17" t="s">
        <v>82</v>
      </c>
      <c r="B12" s="3">
        <v>89</v>
      </c>
    </row>
    <row r="13" spans="1:2" x14ac:dyDescent="0.35">
      <c r="A13" s="17" t="s">
        <v>66</v>
      </c>
      <c r="B13" s="3">
        <v>104</v>
      </c>
    </row>
    <row r="14" spans="1:2" x14ac:dyDescent="0.35">
      <c r="A14" s="17" t="s">
        <v>46</v>
      </c>
      <c r="B14" s="3">
        <v>2</v>
      </c>
    </row>
    <row r="15" spans="1:2" x14ac:dyDescent="0.35">
      <c r="A15" s="17" t="s">
        <v>90</v>
      </c>
      <c r="B15" s="3">
        <v>59</v>
      </c>
    </row>
    <row r="16" spans="1:2" x14ac:dyDescent="0.35">
      <c r="A16" s="17" t="s">
        <v>18</v>
      </c>
      <c r="B16" s="3">
        <v>54</v>
      </c>
    </row>
    <row r="17" spans="1:2" x14ac:dyDescent="0.35">
      <c r="A17" s="17" t="s">
        <v>151</v>
      </c>
      <c r="B17" s="3">
        <v>20</v>
      </c>
    </row>
    <row r="18" spans="1:2" x14ac:dyDescent="0.35">
      <c r="A18" s="17" t="s">
        <v>123</v>
      </c>
      <c r="B18" s="3">
        <v>4</v>
      </c>
    </row>
    <row r="19" spans="1:2" x14ac:dyDescent="0.35">
      <c r="A19" s="17" t="s">
        <v>94</v>
      </c>
      <c r="B19" s="3">
        <v>12</v>
      </c>
    </row>
    <row r="20" spans="1:2" x14ac:dyDescent="0.35">
      <c r="A20" s="17" t="s">
        <v>25</v>
      </c>
      <c r="B20" s="3">
        <v>103</v>
      </c>
    </row>
    <row r="21" spans="1:2" x14ac:dyDescent="0.35">
      <c r="A21" s="17" t="s">
        <v>72</v>
      </c>
      <c r="B21" s="3">
        <v>163</v>
      </c>
    </row>
    <row r="22" spans="1:2" x14ac:dyDescent="0.35">
      <c r="A22" s="17" t="s">
        <v>20</v>
      </c>
      <c r="B22" s="3">
        <v>102</v>
      </c>
    </row>
    <row r="23" spans="1:2" x14ac:dyDescent="0.35">
      <c r="A23" s="17" t="s">
        <v>110</v>
      </c>
      <c r="B23" s="3">
        <v>18</v>
      </c>
    </row>
    <row r="24" spans="1:2" x14ac:dyDescent="0.35">
      <c r="A24" s="17" t="s">
        <v>121</v>
      </c>
      <c r="B24" s="3">
        <v>60</v>
      </c>
    </row>
    <row r="25" spans="1:2" x14ac:dyDescent="0.35">
      <c r="A25" s="17" t="s">
        <v>29</v>
      </c>
      <c r="B25" s="3">
        <v>15</v>
      </c>
    </row>
    <row r="26" spans="1:2" x14ac:dyDescent="0.35">
      <c r="A26" s="17" t="s">
        <v>88</v>
      </c>
      <c r="B26" s="3">
        <v>9</v>
      </c>
    </row>
    <row r="27" spans="1:2" x14ac:dyDescent="0.35">
      <c r="A27" s="17" t="s">
        <v>35</v>
      </c>
      <c r="B27" s="3">
        <v>59</v>
      </c>
    </row>
    <row r="28" spans="1:2" x14ac:dyDescent="0.35">
      <c r="A28" s="17" t="s">
        <v>119</v>
      </c>
      <c r="B28" s="3">
        <v>19</v>
      </c>
    </row>
    <row r="29" spans="1:2" x14ac:dyDescent="0.35">
      <c r="A29" s="17" t="s">
        <v>47</v>
      </c>
      <c r="B29" s="3">
        <v>90</v>
      </c>
    </row>
    <row r="30" spans="1:2" x14ac:dyDescent="0.35">
      <c r="A30" s="17" t="s">
        <v>141</v>
      </c>
      <c r="B30" s="3">
        <v>6</v>
      </c>
    </row>
    <row r="31" spans="1:2" x14ac:dyDescent="0.35">
      <c r="A31" s="17" t="s">
        <v>27</v>
      </c>
      <c r="B31" s="3">
        <v>190</v>
      </c>
    </row>
    <row r="32" spans="1:2" x14ac:dyDescent="0.35">
      <c r="A32" s="17" t="s">
        <v>11</v>
      </c>
      <c r="B32" s="3">
        <v>43</v>
      </c>
    </row>
    <row r="33" spans="1:2" x14ac:dyDescent="0.35">
      <c r="A33" s="17" t="s">
        <v>40</v>
      </c>
      <c r="B33" s="3">
        <v>17</v>
      </c>
    </row>
    <row r="34" spans="1:2" x14ac:dyDescent="0.35">
      <c r="A34" s="17" t="s">
        <v>64</v>
      </c>
      <c r="B34" s="3">
        <v>8</v>
      </c>
    </row>
    <row r="35" spans="1:2" x14ac:dyDescent="0.35">
      <c r="A35" s="17" t="s">
        <v>76</v>
      </c>
      <c r="B35" s="3">
        <v>1</v>
      </c>
    </row>
    <row r="36" spans="1:2" x14ac:dyDescent="0.35">
      <c r="A36" s="17" t="s">
        <v>68</v>
      </c>
      <c r="B36" s="3">
        <v>2</v>
      </c>
    </row>
    <row r="37" spans="1:2" x14ac:dyDescent="0.35">
      <c r="A37" s="17" t="s">
        <v>104</v>
      </c>
      <c r="B37" s="3">
        <v>11</v>
      </c>
    </row>
    <row r="38" spans="1:2" x14ac:dyDescent="0.35">
      <c r="A38" s="17" t="s">
        <v>8</v>
      </c>
      <c r="B38" s="3">
        <v>121</v>
      </c>
    </row>
    <row r="39" spans="1:2" x14ac:dyDescent="0.35">
      <c r="A39" s="17" t="s">
        <v>78</v>
      </c>
      <c r="B39" s="3">
        <v>8</v>
      </c>
    </row>
    <row r="40" spans="1:2" x14ac:dyDescent="0.35">
      <c r="A40" s="17" t="s">
        <v>134</v>
      </c>
      <c r="B40" s="3">
        <v>83</v>
      </c>
    </row>
    <row r="41" spans="1:2" x14ac:dyDescent="0.35">
      <c r="A41" s="17" t="s">
        <v>161</v>
      </c>
      <c r="B41" s="3">
        <v>9</v>
      </c>
    </row>
    <row r="42" spans="1:2" x14ac:dyDescent="0.35">
      <c r="A42" s="17" t="s">
        <v>60</v>
      </c>
      <c r="B42" s="3">
        <v>13</v>
      </c>
    </row>
    <row r="43" spans="1:2" x14ac:dyDescent="0.35">
      <c r="A43" s="17" t="s">
        <v>168</v>
      </c>
      <c r="B43" s="3">
        <v>45</v>
      </c>
    </row>
    <row r="44" spans="1:2" x14ac:dyDescent="0.35">
      <c r="A44" s="17" t="s">
        <v>74</v>
      </c>
      <c r="B44" s="3">
        <v>1</v>
      </c>
    </row>
    <row r="45" spans="1:2" x14ac:dyDescent="0.35">
      <c r="A45" s="17" t="s">
        <v>44</v>
      </c>
      <c r="B45" s="3">
        <v>70</v>
      </c>
    </row>
    <row r="46" spans="1:2" x14ac:dyDescent="0.35">
      <c r="A46" s="17" t="s">
        <v>173</v>
      </c>
      <c r="B46" s="3">
        <v>7</v>
      </c>
    </row>
    <row r="47" spans="1:2" x14ac:dyDescent="0.35">
      <c r="A47" s="17" t="s">
        <v>52</v>
      </c>
      <c r="B47" s="3">
        <v>68</v>
      </c>
    </row>
    <row r="48" spans="1:2" x14ac:dyDescent="0.35">
      <c r="A48" s="17" t="s">
        <v>55</v>
      </c>
      <c r="B48" s="3">
        <v>177</v>
      </c>
    </row>
    <row r="49" spans="1:2" x14ac:dyDescent="0.35">
      <c r="A49" s="17" t="s">
        <v>146</v>
      </c>
      <c r="B49" s="3">
        <v>11</v>
      </c>
    </row>
    <row r="50" spans="1:2" x14ac:dyDescent="0.35">
      <c r="A50" s="17" t="s">
        <v>80</v>
      </c>
      <c r="B50" s="3">
        <v>4</v>
      </c>
    </row>
    <row r="51" spans="1:2" x14ac:dyDescent="0.35">
      <c r="A51" s="17" t="s">
        <v>115</v>
      </c>
      <c r="B51" s="3">
        <v>5</v>
      </c>
    </row>
    <row r="52" spans="1:2" x14ac:dyDescent="0.35">
      <c r="A52" s="17" t="s">
        <v>101</v>
      </c>
      <c r="B52" s="3">
        <v>6</v>
      </c>
    </row>
    <row r="53" spans="1:2" x14ac:dyDescent="0.35">
      <c r="A53" s="17" t="s">
        <v>50</v>
      </c>
      <c r="B53" s="3">
        <v>4</v>
      </c>
    </row>
    <row r="54" spans="1:2" x14ac:dyDescent="0.35">
      <c r="A54" s="17" t="s">
        <v>163</v>
      </c>
      <c r="B54" s="3">
        <v>16</v>
      </c>
    </row>
    <row r="55" spans="1:2" x14ac:dyDescent="0.35">
      <c r="A55" s="17" t="s">
        <v>22</v>
      </c>
      <c r="B55" s="3">
        <v>125</v>
      </c>
    </row>
    <row r="56" spans="1:2" x14ac:dyDescent="0.35">
      <c r="A56" s="17" t="s">
        <v>86</v>
      </c>
      <c r="B56" s="3">
        <v>131</v>
      </c>
    </row>
    <row r="57" spans="1:2" x14ac:dyDescent="0.35">
      <c r="A57" s="17" t="s">
        <v>16</v>
      </c>
      <c r="B57" s="3">
        <v>62</v>
      </c>
    </row>
    <row r="58" spans="1:2" x14ac:dyDescent="0.35">
      <c r="A58" s="17" t="s">
        <v>138</v>
      </c>
      <c r="B58" s="3">
        <v>17</v>
      </c>
    </row>
    <row r="59" spans="1:2" x14ac:dyDescent="0.35">
      <c r="A59" s="17" t="s">
        <v>127</v>
      </c>
      <c r="B59" s="3">
        <v>49</v>
      </c>
    </row>
    <row r="60" spans="1:2" x14ac:dyDescent="0.35">
      <c r="A60" s="17" t="s">
        <v>130</v>
      </c>
      <c r="B60" s="3">
        <v>19</v>
      </c>
    </row>
    <row r="61" spans="1:2" x14ac:dyDescent="0.35">
      <c r="A61" s="17" t="s">
        <v>54</v>
      </c>
      <c r="B61" s="3">
        <v>153</v>
      </c>
    </row>
    <row r="62" spans="1:2" x14ac:dyDescent="0.35">
      <c r="A62" s="17" t="s">
        <v>132</v>
      </c>
      <c r="B62" s="3">
        <v>20</v>
      </c>
    </row>
    <row r="63" spans="1:2" x14ac:dyDescent="0.35">
      <c r="A63" s="17" t="s">
        <v>33</v>
      </c>
      <c r="B63" s="3">
        <v>108</v>
      </c>
    </row>
    <row r="64" spans="1:2" x14ac:dyDescent="0.35">
      <c r="A64" s="17" t="s">
        <v>13</v>
      </c>
      <c r="B64" s="3">
        <v>71</v>
      </c>
    </row>
    <row r="65" spans="1:2" x14ac:dyDescent="0.35">
      <c r="A65" s="17" t="s">
        <v>98</v>
      </c>
      <c r="B65" s="3">
        <v>2</v>
      </c>
    </row>
    <row r="66" spans="1:2" x14ac:dyDescent="0.35">
      <c r="A66" s="17" t="s">
        <v>177</v>
      </c>
      <c r="B66" s="3">
        <v>3217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6AF9-F9B6-4628-8CEF-632ECAA63A18}">
  <dimension ref="A3:C37"/>
  <sheetViews>
    <sheetView workbookViewId="0">
      <selection activeCell="C8" sqref="C8"/>
    </sheetView>
  </sheetViews>
  <sheetFormatPr baseColWidth="10" defaultRowHeight="14.5" x14ac:dyDescent="0.35"/>
  <cols>
    <col min="1" max="1" width="16.54296875" bestFit="1" customWidth="1"/>
    <col min="2" max="2" width="15" bestFit="1" customWidth="1"/>
    <col min="3" max="3" width="16.36328125" bestFit="1" customWidth="1"/>
  </cols>
  <sheetData>
    <row r="3" spans="1:3" x14ac:dyDescent="0.35">
      <c r="A3" s="16" t="s">
        <v>176</v>
      </c>
      <c r="B3" t="s">
        <v>193</v>
      </c>
      <c r="C3" t="s">
        <v>194</v>
      </c>
    </row>
    <row r="4" spans="1:3" x14ac:dyDescent="0.35">
      <c r="A4" s="17" t="s">
        <v>178</v>
      </c>
      <c r="B4" s="3">
        <v>915</v>
      </c>
      <c r="C4" s="19">
        <v>91</v>
      </c>
    </row>
    <row r="5" spans="1:3" x14ac:dyDescent="0.35">
      <c r="A5" s="18" t="s">
        <v>181</v>
      </c>
      <c r="B5" s="3">
        <v>17</v>
      </c>
      <c r="C5" s="19">
        <v>1</v>
      </c>
    </row>
    <row r="6" spans="1:3" x14ac:dyDescent="0.35">
      <c r="A6" s="18" t="s">
        <v>182</v>
      </c>
      <c r="B6" s="3">
        <v>13</v>
      </c>
      <c r="C6" s="19">
        <v>2</v>
      </c>
    </row>
    <row r="7" spans="1:3" x14ac:dyDescent="0.35">
      <c r="A7" s="18" t="s">
        <v>183</v>
      </c>
      <c r="B7" s="3">
        <v>86</v>
      </c>
      <c r="C7" s="19">
        <v>7</v>
      </c>
    </row>
    <row r="8" spans="1:3" x14ac:dyDescent="0.35">
      <c r="A8" s="18" t="s">
        <v>184</v>
      </c>
      <c r="B8" s="3">
        <v>48</v>
      </c>
      <c r="C8" s="19">
        <v>4</v>
      </c>
    </row>
    <row r="9" spans="1:3" x14ac:dyDescent="0.35">
      <c r="A9" s="18" t="s">
        <v>185</v>
      </c>
      <c r="B9" s="3">
        <v>89</v>
      </c>
      <c r="C9" s="19">
        <v>11</v>
      </c>
    </row>
    <row r="10" spans="1:3" x14ac:dyDescent="0.35">
      <c r="A10" s="18" t="s">
        <v>186</v>
      </c>
      <c r="B10" s="3">
        <v>48</v>
      </c>
      <c r="C10" s="19">
        <v>6</v>
      </c>
    </row>
    <row r="11" spans="1:3" x14ac:dyDescent="0.35">
      <c r="A11" s="18" t="s">
        <v>187</v>
      </c>
      <c r="B11" s="3">
        <v>151</v>
      </c>
      <c r="C11" s="19">
        <v>14</v>
      </c>
    </row>
    <row r="12" spans="1:3" x14ac:dyDescent="0.35">
      <c r="A12" s="18" t="s">
        <v>188</v>
      </c>
      <c r="B12" s="3">
        <v>196</v>
      </c>
      <c r="C12" s="19">
        <v>20</v>
      </c>
    </row>
    <row r="13" spans="1:3" x14ac:dyDescent="0.35">
      <c r="A13" s="18" t="s">
        <v>189</v>
      </c>
      <c r="B13" s="3">
        <v>121</v>
      </c>
      <c r="C13" s="19">
        <v>12</v>
      </c>
    </row>
    <row r="14" spans="1:3" x14ac:dyDescent="0.35">
      <c r="A14" s="18" t="s">
        <v>190</v>
      </c>
      <c r="B14" s="3">
        <v>146</v>
      </c>
      <c r="C14" s="19">
        <v>14</v>
      </c>
    </row>
    <row r="15" spans="1:3" x14ac:dyDescent="0.35">
      <c r="A15" s="17" t="s">
        <v>179</v>
      </c>
      <c r="B15" s="3">
        <v>1341</v>
      </c>
      <c r="C15" s="19">
        <v>118</v>
      </c>
    </row>
    <row r="16" spans="1:3" x14ac:dyDescent="0.35">
      <c r="A16" s="18" t="s">
        <v>181</v>
      </c>
      <c r="B16" s="3">
        <v>136</v>
      </c>
      <c r="C16" s="19">
        <v>14</v>
      </c>
    </row>
    <row r="17" spans="1:3" x14ac:dyDescent="0.35">
      <c r="A17" s="18" t="s">
        <v>191</v>
      </c>
      <c r="B17" s="3">
        <v>219</v>
      </c>
      <c r="C17" s="19">
        <v>22</v>
      </c>
    </row>
    <row r="18" spans="1:3" x14ac:dyDescent="0.35">
      <c r="A18" s="18" t="s">
        <v>182</v>
      </c>
      <c r="B18" s="3">
        <v>181</v>
      </c>
      <c r="C18" s="19">
        <v>16</v>
      </c>
    </row>
    <row r="19" spans="1:3" x14ac:dyDescent="0.35">
      <c r="A19" s="18" t="s">
        <v>184</v>
      </c>
      <c r="B19" s="3">
        <v>75</v>
      </c>
      <c r="C19" s="19">
        <v>10</v>
      </c>
    </row>
    <row r="20" spans="1:3" x14ac:dyDescent="0.35">
      <c r="A20" s="18" t="s">
        <v>185</v>
      </c>
      <c r="B20" s="3">
        <v>195</v>
      </c>
      <c r="C20" s="19">
        <v>14</v>
      </c>
    </row>
    <row r="21" spans="1:3" x14ac:dyDescent="0.35">
      <c r="A21" s="18" t="s">
        <v>186</v>
      </c>
      <c r="B21" s="3">
        <v>204</v>
      </c>
      <c r="C21" s="19">
        <v>17</v>
      </c>
    </row>
    <row r="22" spans="1:3" x14ac:dyDescent="0.35">
      <c r="A22" s="18" t="s">
        <v>187</v>
      </c>
      <c r="B22" s="3">
        <v>191</v>
      </c>
      <c r="C22" s="19">
        <v>15</v>
      </c>
    </row>
    <row r="23" spans="1:3" x14ac:dyDescent="0.35">
      <c r="A23" s="18" t="s">
        <v>188</v>
      </c>
      <c r="B23" s="3">
        <v>28</v>
      </c>
      <c r="C23" s="19">
        <v>2</v>
      </c>
    </row>
    <row r="24" spans="1:3" x14ac:dyDescent="0.35">
      <c r="A24" s="18" t="s">
        <v>189</v>
      </c>
      <c r="B24" s="3">
        <v>22</v>
      </c>
      <c r="C24" s="19">
        <v>2</v>
      </c>
    </row>
    <row r="25" spans="1:3" x14ac:dyDescent="0.35">
      <c r="A25" s="18" t="s">
        <v>190</v>
      </c>
      <c r="B25" s="3">
        <v>90</v>
      </c>
      <c r="C25" s="19">
        <v>6</v>
      </c>
    </row>
    <row r="26" spans="1:3" x14ac:dyDescent="0.35">
      <c r="A26" s="17" t="s">
        <v>180</v>
      </c>
      <c r="B26" s="3">
        <v>961</v>
      </c>
      <c r="C26" s="19">
        <v>89</v>
      </c>
    </row>
    <row r="27" spans="1:3" x14ac:dyDescent="0.35">
      <c r="A27" s="18" t="s">
        <v>192</v>
      </c>
      <c r="B27" s="3">
        <v>408</v>
      </c>
      <c r="C27" s="19">
        <v>35</v>
      </c>
    </row>
    <row r="28" spans="1:3" x14ac:dyDescent="0.35">
      <c r="A28" s="18" t="s">
        <v>181</v>
      </c>
      <c r="B28" s="3">
        <v>31</v>
      </c>
      <c r="C28" s="19">
        <v>5</v>
      </c>
    </row>
    <row r="29" spans="1:3" x14ac:dyDescent="0.35">
      <c r="A29" s="18" t="s">
        <v>182</v>
      </c>
      <c r="B29" s="3">
        <v>97</v>
      </c>
      <c r="C29" s="19">
        <v>7</v>
      </c>
    </row>
    <row r="30" spans="1:3" x14ac:dyDescent="0.35">
      <c r="A30" s="18" t="s">
        <v>183</v>
      </c>
      <c r="B30" s="3">
        <v>69</v>
      </c>
      <c r="C30" s="19">
        <v>6</v>
      </c>
    </row>
    <row r="31" spans="1:3" x14ac:dyDescent="0.35">
      <c r="A31" s="18" t="s">
        <v>185</v>
      </c>
      <c r="B31" s="3">
        <v>18</v>
      </c>
      <c r="C31" s="19">
        <v>1</v>
      </c>
    </row>
    <row r="32" spans="1:3" x14ac:dyDescent="0.35">
      <c r="A32" s="18" t="s">
        <v>186</v>
      </c>
      <c r="B32" s="3">
        <v>90</v>
      </c>
      <c r="C32" s="19">
        <v>7</v>
      </c>
    </row>
    <row r="33" spans="1:3" x14ac:dyDescent="0.35">
      <c r="A33" s="18" t="s">
        <v>187</v>
      </c>
      <c r="B33" s="3">
        <v>74</v>
      </c>
      <c r="C33" s="19">
        <v>10</v>
      </c>
    </row>
    <row r="34" spans="1:3" x14ac:dyDescent="0.35">
      <c r="A34" s="18" t="s">
        <v>188</v>
      </c>
      <c r="B34" s="3">
        <v>64</v>
      </c>
      <c r="C34" s="19">
        <v>7</v>
      </c>
    </row>
    <row r="35" spans="1:3" x14ac:dyDescent="0.35">
      <c r="A35" s="18" t="s">
        <v>189</v>
      </c>
      <c r="B35" s="3">
        <v>34</v>
      </c>
      <c r="C35" s="19">
        <v>3</v>
      </c>
    </row>
    <row r="36" spans="1:3" x14ac:dyDescent="0.35">
      <c r="A36" s="18" t="s">
        <v>190</v>
      </c>
      <c r="B36" s="3">
        <v>76</v>
      </c>
      <c r="C36" s="19">
        <v>8</v>
      </c>
    </row>
    <row r="37" spans="1:3" x14ac:dyDescent="0.35">
      <c r="A37" s="17" t="s">
        <v>177</v>
      </c>
      <c r="B37" s="3">
        <v>3217</v>
      </c>
      <c r="C37" s="19">
        <v>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06FA-1E10-4638-80B0-FF5FB16B66C2}">
  <dimension ref="A1:F299"/>
  <sheetViews>
    <sheetView workbookViewId="0">
      <selection activeCell="J149" sqref="J149"/>
    </sheetView>
  </sheetViews>
  <sheetFormatPr baseColWidth="10" defaultRowHeight="14.5" x14ac:dyDescent="0.35"/>
  <cols>
    <col min="2" max="2" width="15.81640625" customWidth="1"/>
    <col min="3" max="3" width="23.54296875" customWidth="1"/>
    <col min="4" max="4" width="26.26953125" customWidth="1"/>
    <col min="5" max="5" width="17.90625" customWidth="1"/>
    <col min="6" max="6" width="11.08984375" customWidth="1"/>
  </cols>
  <sheetData>
    <row r="1" spans="1:6" ht="16" thickBot="1" x14ac:dyDescent="0.4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ht="15" thickBot="1" x14ac:dyDescent="0.4">
      <c r="A2" s="6">
        <v>43154</v>
      </c>
      <c r="B2" s="1">
        <v>43132</v>
      </c>
      <c r="C2" s="2" t="s">
        <v>6</v>
      </c>
      <c r="D2" s="5" t="s">
        <v>7</v>
      </c>
      <c r="E2" s="2" t="s">
        <v>8</v>
      </c>
      <c r="F2" s="7">
        <v>17</v>
      </c>
    </row>
    <row r="3" spans="1:6" ht="15" thickBot="1" x14ac:dyDescent="0.4">
      <c r="A3" s="6">
        <v>43203</v>
      </c>
      <c r="B3" s="1">
        <v>43191</v>
      </c>
      <c r="C3" s="2" t="s">
        <v>9</v>
      </c>
      <c r="D3" s="5" t="s">
        <v>10</v>
      </c>
      <c r="E3" s="2" t="s">
        <v>11</v>
      </c>
      <c r="F3" s="7">
        <v>9</v>
      </c>
    </row>
    <row r="4" spans="1:6" ht="15" thickBot="1" x14ac:dyDescent="0.4">
      <c r="A4" s="6">
        <v>43220</v>
      </c>
      <c r="B4" s="1">
        <v>43191</v>
      </c>
      <c r="C4" s="2" t="s">
        <v>12</v>
      </c>
      <c r="D4" s="5" t="s">
        <v>7</v>
      </c>
      <c r="E4" s="2" t="s">
        <v>13</v>
      </c>
      <c r="F4" s="7">
        <v>4</v>
      </c>
    </row>
    <row r="5" spans="1:6" ht="15" thickBot="1" x14ac:dyDescent="0.4">
      <c r="A5" s="6">
        <v>43221</v>
      </c>
      <c r="B5" s="1">
        <v>43221</v>
      </c>
      <c r="C5" s="2" t="s">
        <v>14</v>
      </c>
      <c r="D5" s="5" t="s">
        <v>15</v>
      </c>
      <c r="E5" s="2" t="s">
        <v>16</v>
      </c>
      <c r="F5" s="7">
        <v>11</v>
      </c>
    </row>
    <row r="6" spans="1:6" ht="15" thickBot="1" x14ac:dyDescent="0.4">
      <c r="A6" s="6">
        <v>43221</v>
      </c>
      <c r="B6" s="1">
        <v>43221</v>
      </c>
      <c r="C6" s="2" t="s">
        <v>14</v>
      </c>
      <c r="D6" s="5" t="s">
        <v>15</v>
      </c>
      <c r="E6" s="2" t="s">
        <v>16</v>
      </c>
      <c r="F6" s="7">
        <v>16</v>
      </c>
    </row>
    <row r="7" spans="1:6" ht="15" thickBot="1" x14ac:dyDescent="0.4">
      <c r="A7" s="6">
        <v>43221</v>
      </c>
      <c r="B7" s="1">
        <v>43221</v>
      </c>
      <c r="C7" s="2" t="s">
        <v>14</v>
      </c>
      <c r="D7" s="5" t="s">
        <v>15</v>
      </c>
      <c r="E7" s="2" t="s">
        <v>16</v>
      </c>
      <c r="F7" s="7">
        <v>5</v>
      </c>
    </row>
    <row r="8" spans="1:6" ht="15" thickBot="1" x14ac:dyDescent="0.4">
      <c r="A8" s="6">
        <v>43221</v>
      </c>
      <c r="B8" s="1">
        <v>43221</v>
      </c>
      <c r="C8" s="2" t="s">
        <v>14</v>
      </c>
      <c r="D8" s="5" t="s">
        <v>15</v>
      </c>
      <c r="E8" s="2" t="s">
        <v>16</v>
      </c>
      <c r="F8" s="7">
        <v>14</v>
      </c>
    </row>
    <row r="9" spans="1:6" ht="15" thickBot="1" x14ac:dyDescent="0.4">
      <c r="A9" s="6">
        <v>43221</v>
      </c>
      <c r="B9" s="1">
        <v>43221</v>
      </c>
      <c r="C9" s="2" t="s">
        <v>14</v>
      </c>
      <c r="D9" s="5" t="s">
        <v>15</v>
      </c>
      <c r="E9" s="2" t="s">
        <v>16</v>
      </c>
      <c r="F9" s="7">
        <v>16</v>
      </c>
    </row>
    <row r="10" spans="1:6" ht="15" thickBot="1" x14ac:dyDescent="0.4">
      <c r="A10" s="6">
        <v>43241</v>
      </c>
      <c r="B10" s="1">
        <v>43221</v>
      </c>
      <c r="C10" s="2" t="s">
        <v>17</v>
      </c>
      <c r="D10" s="5" t="s">
        <v>15</v>
      </c>
      <c r="E10" s="2" t="s">
        <v>18</v>
      </c>
      <c r="F10" s="7">
        <v>9</v>
      </c>
    </row>
    <row r="11" spans="1:6" ht="15" thickBot="1" x14ac:dyDescent="0.4">
      <c r="A11" s="6">
        <v>43241</v>
      </c>
      <c r="B11" s="1">
        <v>43221</v>
      </c>
      <c r="C11" s="2" t="s">
        <v>17</v>
      </c>
      <c r="D11" s="5" t="s">
        <v>15</v>
      </c>
      <c r="E11" s="2" t="s">
        <v>18</v>
      </c>
      <c r="F11" s="7">
        <v>15</v>
      </c>
    </row>
    <row r="12" spans="1:6" ht="26.5" thickBot="1" x14ac:dyDescent="0.4">
      <c r="A12" s="6">
        <v>43254</v>
      </c>
      <c r="B12" s="1">
        <v>43252</v>
      </c>
      <c r="C12" s="2" t="s">
        <v>19</v>
      </c>
      <c r="D12" s="5" t="s">
        <v>15</v>
      </c>
      <c r="E12" s="2" t="s">
        <v>20</v>
      </c>
      <c r="F12" s="7">
        <v>6</v>
      </c>
    </row>
    <row r="13" spans="1:6" ht="15" thickBot="1" x14ac:dyDescent="0.4">
      <c r="A13" s="6">
        <v>43257</v>
      </c>
      <c r="B13" s="1">
        <v>43252</v>
      </c>
      <c r="C13" s="2" t="s">
        <v>21</v>
      </c>
      <c r="D13" s="5" t="s">
        <v>15</v>
      </c>
      <c r="E13" s="2" t="s">
        <v>22</v>
      </c>
      <c r="F13" s="7">
        <v>13</v>
      </c>
    </row>
    <row r="14" spans="1:6" ht="26.5" thickBot="1" x14ac:dyDescent="0.4">
      <c r="A14" s="6">
        <v>43259</v>
      </c>
      <c r="B14" s="1">
        <v>43252</v>
      </c>
      <c r="C14" s="2" t="s">
        <v>23</v>
      </c>
      <c r="D14" s="5" t="s">
        <v>24</v>
      </c>
      <c r="E14" s="2" t="s">
        <v>25</v>
      </c>
      <c r="F14" s="7">
        <v>15</v>
      </c>
    </row>
    <row r="15" spans="1:6" ht="26.5" thickBot="1" x14ac:dyDescent="0.4">
      <c r="A15" s="6">
        <v>43259</v>
      </c>
      <c r="B15" s="1">
        <v>43252</v>
      </c>
      <c r="C15" s="2" t="s">
        <v>23</v>
      </c>
      <c r="D15" s="5" t="s">
        <v>24</v>
      </c>
      <c r="E15" s="2" t="s">
        <v>25</v>
      </c>
      <c r="F15" s="7">
        <v>14</v>
      </c>
    </row>
    <row r="16" spans="1:6" ht="15" thickBot="1" x14ac:dyDescent="0.4">
      <c r="A16" s="6">
        <v>43289</v>
      </c>
      <c r="B16" s="1">
        <v>43282</v>
      </c>
      <c r="C16" s="2" t="s">
        <v>26</v>
      </c>
      <c r="D16" s="5" t="s">
        <v>7</v>
      </c>
      <c r="E16" s="2" t="s">
        <v>27</v>
      </c>
      <c r="F16" s="7">
        <v>1</v>
      </c>
    </row>
    <row r="17" spans="1:6" ht="15" thickBot="1" x14ac:dyDescent="0.4">
      <c r="A17" s="6">
        <v>43289</v>
      </c>
      <c r="B17" s="1">
        <v>43282</v>
      </c>
      <c r="C17" s="2" t="s">
        <v>26</v>
      </c>
      <c r="D17" s="5" t="s">
        <v>7</v>
      </c>
      <c r="E17" s="2" t="s">
        <v>27</v>
      </c>
      <c r="F17" s="7">
        <v>9</v>
      </c>
    </row>
    <row r="18" spans="1:6" ht="15" thickBot="1" x14ac:dyDescent="0.4">
      <c r="A18" s="6">
        <v>43289</v>
      </c>
      <c r="B18" s="1">
        <v>43282</v>
      </c>
      <c r="C18" s="2" t="s">
        <v>26</v>
      </c>
      <c r="D18" s="5" t="s">
        <v>7</v>
      </c>
      <c r="E18" s="2" t="s">
        <v>27</v>
      </c>
      <c r="F18" s="7">
        <v>11</v>
      </c>
    </row>
    <row r="19" spans="1:6" ht="15" thickBot="1" x14ac:dyDescent="0.4">
      <c r="A19" s="6">
        <v>43289</v>
      </c>
      <c r="B19" s="1">
        <v>43282</v>
      </c>
      <c r="C19" s="2" t="s">
        <v>26</v>
      </c>
      <c r="D19" s="5" t="s">
        <v>7</v>
      </c>
      <c r="E19" s="2" t="s">
        <v>27</v>
      </c>
      <c r="F19" s="7">
        <v>11</v>
      </c>
    </row>
    <row r="20" spans="1:6" ht="15" thickBot="1" x14ac:dyDescent="0.4">
      <c r="A20" s="6">
        <v>43289</v>
      </c>
      <c r="B20" s="1">
        <v>43282</v>
      </c>
      <c r="C20" s="2" t="s">
        <v>26</v>
      </c>
      <c r="D20" s="5" t="s">
        <v>7</v>
      </c>
      <c r="E20" s="2" t="s">
        <v>27</v>
      </c>
      <c r="F20" s="7">
        <v>15</v>
      </c>
    </row>
    <row r="21" spans="1:6" ht="15" thickBot="1" x14ac:dyDescent="0.4">
      <c r="A21" s="6">
        <v>43300</v>
      </c>
      <c r="B21" s="1">
        <v>43282</v>
      </c>
      <c r="C21" s="2" t="s">
        <v>28</v>
      </c>
      <c r="D21" s="5" t="s">
        <v>15</v>
      </c>
      <c r="E21" s="2" t="s">
        <v>29</v>
      </c>
      <c r="F21" s="7">
        <v>15</v>
      </c>
    </row>
    <row r="22" spans="1:6" ht="15" thickBot="1" x14ac:dyDescent="0.4">
      <c r="A22" s="6">
        <v>43300</v>
      </c>
      <c r="B22" s="1">
        <v>43282</v>
      </c>
      <c r="C22" s="2" t="s">
        <v>30</v>
      </c>
      <c r="D22" s="5" t="s">
        <v>31</v>
      </c>
      <c r="E22" s="2" t="s">
        <v>32</v>
      </c>
      <c r="F22" s="7">
        <v>1</v>
      </c>
    </row>
    <row r="23" spans="1:6" ht="15" thickBot="1" x14ac:dyDescent="0.4">
      <c r="A23" s="6">
        <v>43300</v>
      </c>
      <c r="B23" s="1">
        <v>43282</v>
      </c>
      <c r="C23" s="2" t="s">
        <v>30</v>
      </c>
      <c r="D23" s="5" t="s">
        <v>31</v>
      </c>
      <c r="E23" s="2" t="s">
        <v>32</v>
      </c>
      <c r="F23" s="7">
        <v>13</v>
      </c>
    </row>
    <row r="24" spans="1:6" ht="15" thickBot="1" x14ac:dyDescent="0.4">
      <c r="A24" s="6">
        <v>43300</v>
      </c>
      <c r="B24" s="1">
        <v>43282</v>
      </c>
      <c r="C24" s="2" t="s">
        <v>30</v>
      </c>
      <c r="D24" s="5" t="s">
        <v>24</v>
      </c>
      <c r="E24" s="2" t="s">
        <v>20</v>
      </c>
      <c r="F24" s="7">
        <v>4</v>
      </c>
    </row>
    <row r="25" spans="1:6" ht="15" thickBot="1" x14ac:dyDescent="0.4">
      <c r="A25" s="6">
        <v>43300</v>
      </c>
      <c r="B25" s="1">
        <v>43282</v>
      </c>
      <c r="C25" s="2" t="s">
        <v>30</v>
      </c>
      <c r="D25" s="5" t="s">
        <v>24</v>
      </c>
      <c r="E25" s="2" t="s">
        <v>33</v>
      </c>
      <c r="F25" s="7">
        <v>7</v>
      </c>
    </row>
    <row r="26" spans="1:6" ht="15" thickBot="1" x14ac:dyDescent="0.4">
      <c r="A26" s="6">
        <v>43309</v>
      </c>
      <c r="B26" s="1">
        <v>43282</v>
      </c>
      <c r="C26" s="2" t="s">
        <v>34</v>
      </c>
      <c r="D26" s="5" t="s">
        <v>15</v>
      </c>
      <c r="E26" s="2" t="s">
        <v>35</v>
      </c>
      <c r="F26" s="7">
        <v>2</v>
      </c>
    </row>
    <row r="27" spans="1:6" ht="26.5" thickBot="1" x14ac:dyDescent="0.4">
      <c r="A27" s="6">
        <v>43338</v>
      </c>
      <c r="B27" s="1">
        <v>43313</v>
      </c>
      <c r="C27" s="2" t="s">
        <v>36</v>
      </c>
      <c r="D27" s="5" t="s">
        <v>31</v>
      </c>
      <c r="E27" s="2" t="s">
        <v>37</v>
      </c>
      <c r="F27" s="7">
        <v>18</v>
      </c>
    </row>
    <row r="28" spans="1:6" ht="26.5" thickBot="1" x14ac:dyDescent="0.4">
      <c r="A28" s="6">
        <v>43338</v>
      </c>
      <c r="B28" s="1">
        <v>43313</v>
      </c>
      <c r="C28" s="2" t="s">
        <v>36</v>
      </c>
      <c r="D28" s="5" t="s">
        <v>31</v>
      </c>
      <c r="E28" s="2" t="s">
        <v>37</v>
      </c>
      <c r="F28" s="7">
        <v>4</v>
      </c>
    </row>
    <row r="29" spans="1:6" ht="26.5" thickBot="1" x14ac:dyDescent="0.4">
      <c r="A29" s="6">
        <v>43338</v>
      </c>
      <c r="B29" s="1">
        <v>43313</v>
      </c>
      <c r="C29" s="2" t="s">
        <v>36</v>
      </c>
      <c r="D29" s="5" t="s">
        <v>31</v>
      </c>
      <c r="E29" s="2" t="s">
        <v>37</v>
      </c>
      <c r="F29" s="7">
        <v>6</v>
      </c>
    </row>
    <row r="30" spans="1:6" ht="26.5" thickBot="1" x14ac:dyDescent="0.4">
      <c r="A30" s="6">
        <v>43338</v>
      </c>
      <c r="B30" s="1">
        <v>43313</v>
      </c>
      <c r="C30" s="2" t="s">
        <v>36</v>
      </c>
      <c r="D30" s="5" t="s">
        <v>31</v>
      </c>
      <c r="E30" s="2" t="s">
        <v>37</v>
      </c>
      <c r="F30" s="7">
        <v>6</v>
      </c>
    </row>
    <row r="31" spans="1:6" ht="26.5" thickBot="1" x14ac:dyDescent="0.4">
      <c r="A31" s="6">
        <v>43338</v>
      </c>
      <c r="B31" s="1">
        <v>43313</v>
      </c>
      <c r="C31" s="2" t="s">
        <v>36</v>
      </c>
      <c r="D31" s="5" t="s">
        <v>31</v>
      </c>
      <c r="E31" s="2" t="s">
        <v>37</v>
      </c>
      <c r="F31" s="7">
        <v>9</v>
      </c>
    </row>
    <row r="32" spans="1:6" ht="15" thickBot="1" x14ac:dyDescent="0.4">
      <c r="A32" s="6">
        <v>43355</v>
      </c>
      <c r="B32" s="4" t="s">
        <v>38</v>
      </c>
      <c r="C32" s="2" t="s">
        <v>39</v>
      </c>
      <c r="D32" s="5" t="s">
        <v>31</v>
      </c>
      <c r="E32" s="2" t="s">
        <v>40</v>
      </c>
      <c r="F32" s="7">
        <v>17</v>
      </c>
    </row>
    <row r="33" spans="1:6" ht="15" thickBot="1" x14ac:dyDescent="0.4">
      <c r="A33" s="6">
        <v>43369</v>
      </c>
      <c r="B33" s="4" t="s">
        <v>38</v>
      </c>
      <c r="C33" s="2" t="s">
        <v>41</v>
      </c>
      <c r="D33" s="5" t="s">
        <v>15</v>
      </c>
      <c r="E33" s="2" t="s">
        <v>37</v>
      </c>
      <c r="F33" s="7">
        <v>3</v>
      </c>
    </row>
    <row r="34" spans="1:6" ht="15" thickBot="1" x14ac:dyDescent="0.4">
      <c r="A34" s="6">
        <v>43369</v>
      </c>
      <c r="B34" s="4" t="s">
        <v>38</v>
      </c>
      <c r="C34" s="2" t="s">
        <v>42</v>
      </c>
      <c r="D34" s="5" t="s">
        <v>31</v>
      </c>
      <c r="E34" s="2" t="s">
        <v>22</v>
      </c>
      <c r="F34" s="7">
        <v>17</v>
      </c>
    </row>
    <row r="35" spans="1:6" ht="15" thickBot="1" x14ac:dyDescent="0.4">
      <c r="A35" s="6">
        <v>43369</v>
      </c>
      <c r="B35" s="4" t="s">
        <v>38</v>
      </c>
      <c r="C35" s="2" t="s">
        <v>42</v>
      </c>
      <c r="D35" s="5" t="s">
        <v>31</v>
      </c>
      <c r="E35" s="2" t="s">
        <v>22</v>
      </c>
      <c r="F35" s="7">
        <v>14</v>
      </c>
    </row>
    <row r="36" spans="1:6" ht="15" thickBot="1" x14ac:dyDescent="0.4">
      <c r="A36" s="6">
        <v>43369</v>
      </c>
      <c r="B36" s="4" t="s">
        <v>38</v>
      </c>
      <c r="C36" s="2" t="s">
        <v>42</v>
      </c>
      <c r="D36" s="5" t="s">
        <v>31</v>
      </c>
      <c r="E36" s="2" t="s">
        <v>22</v>
      </c>
      <c r="F36" s="7">
        <v>7</v>
      </c>
    </row>
    <row r="37" spans="1:6" ht="15" thickBot="1" x14ac:dyDescent="0.4">
      <c r="A37" s="6">
        <v>43369</v>
      </c>
      <c r="B37" s="4" t="s">
        <v>38</v>
      </c>
      <c r="C37" s="2" t="s">
        <v>42</v>
      </c>
      <c r="D37" s="5" t="s">
        <v>31</v>
      </c>
      <c r="E37" s="2" t="s">
        <v>22</v>
      </c>
      <c r="F37" s="7">
        <v>11</v>
      </c>
    </row>
    <row r="38" spans="1:6" ht="15" thickBot="1" x14ac:dyDescent="0.4">
      <c r="A38" s="6">
        <v>43369</v>
      </c>
      <c r="B38" s="4" t="s">
        <v>38</v>
      </c>
      <c r="C38" s="2" t="s">
        <v>42</v>
      </c>
      <c r="D38" s="5" t="s">
        <v>31</v>
      </c>
      <c r="E38" s="2" t="s">
        <v>22</v>
      </c>
      <c r="F38" s="7">
        <v>14</v>
      </c>
    </row>
    <row r="39" spans="1:6" ht="15" thickBot="1" x14ac:dyDescent="0.4">
      <c r="A39" s="6">
        <v>43374</v>
      </c>
      <c r="B39" s="1">
        <v>43374</v>
      </c>
      <c r="C39" s="2" t="s">
        <v>43</v>
      </c>
      <c r="D39" s="5" t="s">
        <v>7</v>
      </c>
      <c r="E39" s="2" t="s">
        <v>44</v>
      </c>
      <c r="F39" s="7">
        <v>7</v>
      </c>
    </row>
    <row r="40" spans="1:6" ht="15" thickBot="1" x14ac:dyDescent="0.4">
      <c r="A40" s="6">
        <v>43374</v>
      </c>
      <c r="B40" s="1">
        <v>43374</v>
      </c>
      <c r="C40" s="2" t="s">
        <v>43</v>
      </c>
      <c r="D40" s="5" t="s">
        <v>7</v>
      </c>
      <c r="E40" s="2" t="s">
        <v>44</v>
      </c>
      <c r="F40" s="7">
        <v>1</v>
      </c>
    </row>
    <row r="41" spans="1:6" ht="15" thickBot="1" x14ac:dyDescent="0.4">
      <c r="A41" s="6">
        <v>43374</v>
      </c>
      <c r="B41" s="1">
        <v>43374</v>
      </c>
      <c r="C41" s="2" t="s">
        <v>43</v>
      </c>
      <c r="D41" s="5" t="s">
        <v>7</v>
      </c>
      <c r="E41" s="2" t="s">
        <v>44</v>
      </c>
      <c r="F41" s="7">
        <v>9</v>
      </c>
    </row>
    <row r="42" spans="1:6" ht="15" thickBot="1" x14ac:dyDescent="0.4">
      <c r="A42" s="6">
        <v>43374</v>
      </c>
      <c r="B42" s="1">
        <v>43374</v>
      </c>
      <c r="C42" s="2" t="s">
        <v>43</v>
      </c>
      <c r="D42" s="5" t="s">
        <v>7</v>
      </c>
      <c r="E42" s="2" t="s">
        <v>44</v>
      </c>
      <c r="F42" s="7">
        <v>9</v>
      </c>
    </row>
    <row r="43" spans="1:6" ht="15" thickBot="1" x14ac:dyDescent="0.4">
      <c r="A43" s="6">
        <v>43374</v>
      </c>
      <c r="B43" s="1">
        <v>43374</v>
      </c>
      <c r="C43" s="2" t="s">
        <v>43</v>
      </c>
      <c r="D43" s="5" t="s">
        <v>7</v>
      </c>
      <c r="E43" s="2" t="s">
        <v>44</v>
      </c>
      <c r="F43" s="7">
        <v>13</v>
      </c>
    </row>
    <row r="44" spans="1:6" ht="15" thickBot="1" x14ac:dyDescent="0.4">
      <c r="A44" s="6">
        <v>43378</v>
      </c>
      <c r="B44" s="1">
        <v>43374</v>
      </c>
      <c r="C44" s="2" t="s">
        <v>45</v>
      </c>
      <c r="D44" s="5" t="s">
        <v>24</v>
      </c>
      <c r="E44" s="2" t="s">
        <v>46</v>
      </c>
      <c r="F44" s="7">
        <v>2</v>
      </c>
    </row>
    <row r="45" spans="1:6" ht="15" thickBot="1" x14ac:dyDescent="0.4">
      <c r="A45" s="6">
        <v>43378</v>
      </c>
      <c r="B45" s="1">
        <v>43374</v>
      </c>
      <c r="C45" s="2" t="s">
        <v>30</v>
      </c>
      <c r="D45" s="5" t="s">
        <v>31</v>
      </c>
      <c r="E45" s="2" t="s">
        <v>37</v>
      </c>
      <c r="F45" s="7">
        <v>13</v>
      </c>
    </row>
    <row r="46" spans="1:6" ht="15" thickBot="1" x14ac:dyDescent="0.4">
      <c r="A46" s="6">
        <v>43378</v>
      </c>
      <c r="B46" s="1">
        <v>43374</v>
      </c>
      <c r="C46" s="2" t="s">
        <v>30</v>
      </c>
      <c r="D46" s="5" t="s">
        <v>31</v>
      </c>
      <c r="E46" s="2" t="s">
        <v>37</v>
      </c>
      <c r="F46" s="7">
        <v>8</v>
      </c>
    </row>
    <row r="47" spans="1:6" ht="15" thickBot="1" x14ac:dyDescent="0.4">
      <c r="A47" s="6">
        <v>43378</v>
      </c>
      <c r="B47" s="1">
        <v>43374</v>
      </c>
      <c r="C47" s="2" t="s">
        <v>30</v>
      </c>
      <c r="D47" s="5" t="s">
        <v>15</v>
      </c>
      <c r="E47" s="2" t="s">
        <v>47</v>
      </c>
      <c r="F47" s="7">
        <v>9</v>
      </c>
    </row>
    <row r="48" spans="1:6" ht="15" thickBot="1" x14ac:dyDescent="0.4">
      <c r="A48" s="6">
        <v>43378</v>
      </c>
      <c r="B48" s="1">
        <v>43374</v>
      </c>
      <c r="C48" s="2" t="s">
        <v>30</v>
      </c>
      <c r="D48" s="5" t="s">
        <v>15</v>
      </c>
      <c r="E48" s="2" t="s">
        <v>48</v>
      </c>
      <c r="F48" s="7">
        <v>16</v>
      </c>
    </row>
    <row r="49" spans="1:6" ht="26.5" thickBot="1" x14ac:dyDescent="0.4">
      <c r="A49" s="6">
        <v>43428</v>
      </c>
      <c r="B49" s="1">
        <v>43405</v>
      </c>
      <c r="C49" s="2" t="s">
        <v>49</v>
      </c>
      <c r="D49" s="5" t="s">
        <v>10</v>
      </c>
      <c r="E49" s="2" t="s">
        <v>50</v>
      </c>
      <c r="F49" s="7">
        <v>4</v>
      </c>
    </row>
    <row r="50" spans="1:6" ht="15" thickBot="1" x14ac:dyDescent="0.4">
      <c r="A50" s="6">
        <v>43433</v>
      </c>
      <c r="B50" s="1">
        <v>43405</v>
      </c>
      <c r="C50" s="2" t="s">
        <v>51</v>
      </c>
      <c r="D50" s="5" t="s">
        <v>15</v>
      </c>
      <c r="E50" s="2" t="s">
        <v>52</v>
      </c>
      <c r="F50" s="7">
        <v>13</v>
      </c>
    </row>
    <row r="51" spans="1:6" ht="15" thickBot="1" x14ac:dyDescent="0.4">
      <c r="A51" s="6">
        <v>43433</v>
      </c>
      <c r="B51" s="1">
        <v>43405</v>
      </c>
      <c r="C51" s="2" t="s">
        <v>51</v>
      </c>
      <c r="D51" s="5" t="s">
        <v>15</v>
      </c>
      <c r="E51" s="2" t="s">
        <v>52</v>
      </c>
      <c r="F51" s="7">
        <v>18</v>
      </c>
    </row>
    <row r="52" spans="1:6" ht="15" thickBot="1" x14ac:dyDescent="0.4">
      <c r="A52" s="6">
        <v>43433</v>
      </c>
      <c r="B52" s="1">
        <v>43405</v>
      </c>
      <c r="C52" s="2" t="s">
        <v>51</v>
      </c>
      <c r="D52" s="5" t="s">
        <v>15</v>
      </c>
      <c r="E52" s="2" t="s">
        <v>52</v>
      </c>
      <c r="F52" s="7">
        <v>1</v>
      </c>
    </row>
    <row r="53" spans="1:6" ht="15" thickBot="1" x14ac:dyDescent="0.4">
      <c r="A53" s="6">
        <v>43433</v>
      </c>
      <c r="B53" s="1">
        <v>43405</v>
      </c>
      <c r="C53" s="2" t="s">
        <v>51</v>
      </c>
      <c r="D53" s="5" t="s">
        <v>15</v>
      </c>
      <c r="E53" s="2" t="s">
        <v>52</v>
      </c>
      <c r="F53" s="7">
        <v>14</v>
      </c>
    </row>
    <row r="54" spans="1:6" ht="15" thickBot="1" x14ac:dyDescent="0.4">
      <c r="A54" s="6">
        <v>43433</v>
      </c>
      <c r="B54" s="1">
        <v>43405</v>
      </c>
      <c r="C54" s="2" t="s">
        <v>51</v>
      </c>
      <c r="D54" s="5" t="s">
        <v>15</v>
      </c>
      <c r="E54" s="2" t="s">
        <v>52</v>
      </c>
      <c r="F54" s="7">
        <v>18</v>
      </c>
    </row>
    <row r="55" spans="1:6" ht="26.5" thickBot="1" x14ac:dyDescent="0.4">
      <c r="A55" s="6">
        <v>43440</v>
      </c>
      <c r="B55" s="1">
        <v>43435</v>
      </c>
      <c r="C55" s="2" t="s">
        <v>53</v>
      </c>
      <c r="D55" s="5" t="s">
        <v>7</v>
      </c>
      <c r="E55" s="2" t="s">
        <v>54</v>
      </c>
      <c r="F55" s="7">
        <v>20</v>
      </c>
    </row>
    <row r="56" spans="1:6" ht="15" thickBot="1" x14ac:dyDescent="0.4">
      <c r="A56" s="6">
        <v>43440</v>
      </c>
      <c r="B56" s="1">
        <v>43435</v>
      </c>
      <c r="C56" s="2" t="s">
        <v>30</v>
      </c>
      <c r="D56" s="5" t="s">
        <v>7</v>
      </c>
      <c r="E56" s="2" t="s">
        <v>44</v>
      </c>
      <c r="F56" s="7">
        <v>5</v>
      </c>
    </row>
    <row r="57" spans="1:6" ht="15" thickBot="1" x14ac:dyDescent="0.4">
      <c r="A57" s="6">
        <v>43440</v>
      </c>
      <c r="B57" s="1">
        <v>43435</v>
      </c>
      <c r="C57" s="2" t="s">
        <v>30</v>
      </c>
      <c r="D57" s="5" t="s">
        <v>7</v>
      </c>
      <c r="E57" s="2" t="s">
        <v>44</v>
      </c>
      <c r="F57" s="7">
        <v>6</v>
      </c>
    </row>
    <row r="58" spans="1:6" ht="15" thickBot="1" x14ac:dyDescent="0.4">
      <c r="A58" s="6">
        <v>43440</v>
      </c>
      <c r="B58" s="1">
        <v>43435</v>
      </c>
      <c r="C58" s="2" t="s">
        <v>30</v>
      </c>
      <c r="D58" s="5" t="s">
        <v>15</v>
      </c>
      <c r="E58" s="2" t="s">
        <v>55</v>
      </c>
      <c r="F58" s="7">
        <v>13</v>
      </c>
    </row>
    <row r="59" spans="1:6" ht="15" thickBot="1" x14ac:dyDescent="0.4">
      <c r="A59" s="6">
        <v>43440</v>
      </c>
      <c r="B59" s="1">
        <v>43435</v>
      </c>
      <c r="C59" s="2" t="s">
        <v>30</v>
      </c>
      <c r="D59" s="5" t="s">
        <v>24</v>
      </c>
      <c r="E59" s="2" t="s">
        <v>56</v>
      </c>
      <c r="F59" s="7">
        <v>13</v>
      </c>
    </row>
    <row r="60" spans="1:6" ht="15" thickBot="1" x14ac:dyDescent="0.4">
      <c r="A60" s="6">
        <v>43440</v>
      </c>
      <c r="B60" s="1">
        <v>43435</v>
      </c>
      <c r="C60" s="2" t="s">
        <v>30</v>
      </c>
      <c r="D60" s="5" t="s">
        <v>15</v>
      </c>
      <c r="E60" s="2" t="s">
        <v>8</v>
      </c>
      <c r="F60" s="7">
        <v>1</v>
      </c>
    </row>
    <row r="61" spans="1:6" ht="15" thickBot="1" x14ac:dyDescent="0.4">
      <c r="A61" s="6">
        <v>43444</v>
      </c>
      <c r="B61" s="1">
        <v>43435</v>
      </c>
      <c r="C61" s="2" t="s">
        <v>57</v>
      </c>
      <c r="D61" s="5" t="s">
        <v>15</v>
      </c>
      <c r="E61" s="2" t="s">
        <v>8</v>
      </c>
      <c r="F61" s="7">
        <v>8</v>
      </c>
    </row>
    <row r="62" spans="1:6" ht="15" thickBot="1" x14ac:dyDescent="0.4">
      <c r="A62" s="6">
        <v>43501</v>
      </c>
      <c r="B62" s="1">
        <v>43497</v>
      </c>
      <c r="C62" s="2" t="s">
        <v>58</v>
      </c>
      <c r="D62" s="5" t="s">
        <v>31</v>
      </c>
      <c r="E62" s="2" t="s">
        <v>25</v>
      </c>
      <c r="F62" s="7">
        <v>20</v>
      </c>
    </row>
    <row r="63" spans="1:6" ht="15" thickBot="1" x14ac:dyDescent="0.4">
      <c r="A63" s="6">
        <v>43501</v>
      </c>
      <c r="B63" s="1">
        <v>43497</v>
      </c>
      <c r="C63" s="2" t="s">
        <v>58</v>
      </c>
      <c r="D63" s="5" t="s">
        <v>31</v>
      </c>
      <c r="E63" s="2" t="s">
        <v>25</v>
      </c>
      <c r="F63" s="7">
        <v>13</v>
      </c>
    </row>
    <row r="64" spans="1:6" ht="15" thickBot="1" x14ac:dyDescent="0.4">
      <c r="A64" s="6">
        <v>43501</v>
      </c>
      <c r="B64" s="1">
        <v>43497</v>
      </c>
      <c r="C64" s="2" t="s">
        <v>58</v>
      </c>
      <c r="D64" s="5" t="s">
        <v>31</v>
      </c>
      <c r="E64" s="2" t="s">
        <v>25</v>
      </c>
      <c r="F64" s="7">
        <v>14</v>
      </c>
    </row>
    <row r="65" spans="1:6" ht="15" thickBot="1" x14ac:dyDescent="0.4">
      <c r="A65" s="6">
        <v>43501</v>
      </c>
      <c r="B65" s="1">
        <v>43497</v>
      </c>
      <c r="C65" s="2" t="s">
        <v>58</v>
      </c>
      <c r="D65" s="5" t="s">
        <v>31</v>
      </c>
      <c r="E65" s="2" t="s">
        <v>25</v>
      </c>
      <c r="F65" s="7">
        <v>14</v>
      </c>
    </row>
    <row r="66" spans="1:6" ht="15" thickBot="1" x14ac:dyDescent="0.4">
      <c r="A66" s="6">
        <v>43501</v>
      </c>
      <c r="B66" s="1">
        <v>43497</v>
      </c>
      <c r="C66" s="2" t="s">
        <v>58</v>
      </c>
      <c r="D66" s="5" t="s">
        <v>31</v>
      </c>
      <c r="E66" s="2" t="s">
        <v>25</v>
      </c>
      <c r="F66" s="7">
        <v>13</v>
      </c>
    </row>
    <row r="67" spans="1:6" ht="15" thickBot="1" x14ac:dyDescent="0.4">
      <c r="A67" s="6">
        <v>43505</v>
      </c>
      <c r="B67" s="1">
        <v>43497</v>
      </c>
      <c r="C67" s="2" t="s">
        <v>59</v>
      </c>
      <c r="D67" s="5" t="s">
        <v>15</v>
      </c>
      <c r="E67" s="2" t="s">
        <v>60</v>
      </c>
      <c r="F67" s="7">
        <v>13</v>
      </c>
    </row>
    <row r="68" spans="1:6" ht="15" thickBot="1" x14ac:dyDescent="0.4">
      <c r="A68" s="6">
        <v>43521</v>
      </c>
      <c r="B68" s="1">
        <v>43497</v>
      </c>
      <c r="C68" s="2" t="s">
        <v>61</v>
      </c>
      <c r="D68" s="5" t="s">
        <v>10</v>
      </c>
      <c r="E68" s="2" t="s">
        <v>11</v>
      </c>
      <c r="F68" s="7">
        <v>5</v>
      </c>
    </row>
    <row r="69" spans="1:6" ht="15" thickBot="1" x14ac:dyDescent="0.4">
      <c r="A69" s="6">
        <v>43526</v>
      </c>
      <c r="B69" s="1">
        <v>43525</v>
      </c>
      <c r="C69" s="2" t="s">
        <v>62</v>
      </c>
      <c r="D69" s="5" t="s">
        <v>15</v>
      </c>
      <c r="E69" s="2" t="s">
        <v>27</v>
      </c>
      <c r="F69" s="7">
        <v>2</v>
      </c>
    </row>
    <row r="70" spans="1:6" ht="15" thickBot="1" x14ac:dyDescent="0.4">
      <c r="A70" s="6">
        <v>43526</v>
      </c>
      <c r="B70" s="1">
        <v>43525</v>
      </c>
      <c r="C70" s="2" t="s">
        <v>62</v>
      </c>
      <c r="D70" s="5" t="s">
        <v>15</v>
      </c>
      <c r="E70" s="2" t="s">
        <v>27</v>
      </c>
      <c r="F70" s="7">
        <v>19</v>
      </c>
    </row>
    <row r="71" spans="1:6" ht="15" thickBot="1" x14ac:dyDescent="0.4">
      <c r="A71" s="6">
        <v>43526</v>
      </c>
      <c r="B71" s="1">
        <v>43525</v>
      </c>
      <c r="C71" s="2" t="s">
        <v>62</v>
      </c>
      <c r="D71" s="5" t="s">
        <v>15</v>
      </c>
      <c r="E71" s="2" t="s">
        <v>27</v>
      </c>
      <c r="F71" s="7">
        <v>14</v>
      </c>
    </row>
    <row r="72" spans="1:6" ht="15" thickBot="1" x14ac:dyDescent="0.4">
      <c r="A72" s="6">
        <v>43526</v>
      </c>
      <c r="B72" s="1">
        <v>43525</v>
      </c>
      <c r="C72" s="2" t="s">
        <v>62</v>
      </c>
      <c r="D72" s="5" t="s">
        <v>15</v>
      </c>
      <c r="E72" s="2" t="s">
        <v>27</v>
      </c>
      <c r="F72" s="7">
        <v>6</v>
      </c>
    </row>
    <row r="73" spans="1:6" ht="15" thickBot="1" x14ac:dyDescent="0.4">
      <c r="A73" s="6">
        <v>43526</v>
      </c>
      <c r="B73" s="1">
        <v>43525</v>
      </c>
      <c r="C73" s="2" t="s">
        <v>62</v>
      </c>
      <c r="D73" s="5" t="s">
        <v>7</v>
      </c>
      <c r="E73" s="2" t="s">
        <v>8</v>
      </c>
      <c r="F73" s="7">
        <v>11</v>
      </c>
    </row>
    <row r="74" spans="1:6" ht="15" thickBot="1" x14ac:dyDescent="0.4">
      <c r="A74" s="6">
        <v>43536</v>
      </c>
      <c r="B74" s="1">
        <v>43525</v>
      </c>
      <c r="C74" s="2" t="s">
        <v>63</v>
      </c>
      <c r="D74" s="5" t="s">
        <v>15</v>
      </c>
      <c r="E74" s="2" t="s">
        <v>64</v>
      </c>
      <c r="F74" s="7">
        <v>8</v>
      </c>
    </row>
    <row r="75" spans="1:6" ht="15" thickBot="1" x14ac:dyDescent="0.4">
      <c r="A75" s="6">
        <v>43541</v>
      </c>
      <c r="B75" s="1">
        <v>43525</v>
      </c>
      <c r="C75" s="2" t="s">
        <v>65</v>
      </c>
      <c r="D75" s="5" t="s">
        <v>15</v>
      </c>
      <c r="E75" s="2" t="s">
        <v>66</v>
      </c>
      <c r="F75" s="7">
        <v>14</v>
      </c>
    </row>
    <row r="76" spans="1:6" ht="15" thickBot="1" x14ac:dyDescent="0.4">
      <c r="A76" s="6">
        <v>43541</v>
      </c>
      <c r="B76" s="1">
        <v>43525</v>
      </c>
      <c r="C76" s="2" t="s">
        <v>65</v>
      </c>
      <c r="D76" s="5" t="s">
        <v>15</v>
      </c>
      <c r="E76" s="2" t="s">
        <v>66</v>
      </c>
      <c r="F76" s="7">
        <v>18</v>
      </c>
    </row>
    <row r="77" spans="1:6" ht="15" thickBot="1" x14ac:dyDescent="0.4">
      <c r="A77" s="6">
        <v>43541</v>
      </c>
      <c r="B77" s="1">
        <v>43525</v>
      </c>
      <c r="C77" s="2" t="s">
        <v>65</v>
      </c>
      <c r="D77" s="5" t="s">
        <v>15</v>
      </c>
      <c r="E77" s="2" t="s">
        <v>66</v>
      </c>
      <c r="F77" s="7">
        <v>4</v>
      </c>
    </row>
    <row r="78" spans="1:6" ht="15" thickBot="1" x14ac:dyDescent="0.4">
      <c r="A78" s="6">
        <v>43541</v>
      </c>
      <c r="B78" s="1">
        <v>43525</v>
      </c>
      <c r="C78" s="2" t="s">
        <v>65</v>
      </c>
      <c r="D78" s="5" t="s">
        <v>15</v>
      </c>
      <c r="E78" s="2" t="s">
        <v>66</v>
      </c>
      <c r="F78" s="7">
        <v>4</v>
      </c>
    </row>
    <row r="79" spans="1:6" ht="15" thickBot="1" x14ac:dyDescent="0.4">
      <c r="A79" s="6">
        <v>43541</v>
      </c>
      <c r="B79" s="1">
        <v>43525</v>
      </c>
      <c r="C79" s="2" t="s">
        <v>65</v>
      </c>
      <c r="D79" s="5" t="s">
        <v>15</v>
      </c>
      <c r="E79" s="2" t="s">
        <v>66</v>
      </c>
      <c r="F79" s="7">
        <v>1</v>
      </c>
    </row>
    <row r="80" spans="1:6" ht="15" thickBot="1" x14ac:dyDescent="0.4">
      <c r="A80" s="6">
        <v>43557</v>
      </c>
      <c r="B80" s="1">
        <v>43556</v>
      </c>
      <c r="C80" s="2" t="s">
        <v>67</v>
      </c>
      <c r="D80" s="5" t="s">
        <v>15</v>
      </c>
      <c r="E80" s="2" t="s">
        <v>68</v>
      </c>
      <c r="F80" s="7">
        <v>2</v>
      </c>
    </row>
    <row r="81" spans="1:6" ht="26.5" thickBot="1" x14ac:dyDescent="0.4">
      <c r="A81" s="6">
        <v>43571</v>
      </c>
      <c r="B81" s="1">
        <v>43556</v>
      </c>
      <c r="C81" s="2" t="s">
        <v>69</v>
      </c>
      <c r="D81" s="5" t="s">
        <v>7</v>
      </c>
      <c r="E81" s="2" t="s">
        <v>56</v>
      </c>
      <c r="F81" s="7">
        <v>14</v>
      </c>
    </row>
    <row r="82" spans="1:6" ht="15" thickBot="1" x14ac:dyDescent="0.4">
      <c r="A82" s="6">
        <v>43573</v>
      </c>
      <c r="B82" s="1">
        <v>43556</v>
      </c>
      <c r="C82" s="2" t="s">
        <v>70</v>
      </c>
      <c r="D82" s="5" t="s">
        <v>24</v>
      </c>
      <c r="E82" s="2" t="s">
        <v>56</v>
      </c>
      <c r="F82" s="7">
        <v>20</v>
      </c>
    </row>
    <row r="83" spans="1:6" ht="15" thickBot="1" x14ac:dyDescent="0.4">
      <c r="A83" s="6">
        <v>43584</v>
      </c>
      <c r="B83" s="1">
        <v>43556</v>
      </c>
      <c r="C83" s="2" t="s">
        <v>71</v>
      </c>
      <c r="D83" s="5" t="s">
        <v>7</v>
      </c>
      <c r="E83" s="2" t="s">
        <v>72</v>
      </c>
      <c r="F83" s="7">
        <v>17</v>
      </c>
    </row>
    <row r="84" spans="1:6" ht="15" thickBot="1" x14ac:dyDescent="0.4">
      <c r="A84" s="6">
        <v>43584</v>
      </c>
      <c r="B84" s="1">
        <v>43556</v>
      </c>
      <c r="C84" s="2" t="s">
        <v>71</v>
      </c>
      <c r="D84" s="5" t="s">
        <v>7</v>
      </c>
      <c r="E84" s="2" t="s">
        <v>72</v>
      </c>
      <c r="F84" s="7">
        <v>14</v>
      </c>
    </row>
    <row r="85" spans="1:6" ht="15" thickBot="1" x14ac:dyDescent="0.4">
      <c r="A85" s="6">
        <v>43584</v>
      </c>
      <c r="B85" s="1">
        <v>43556</v>
      </c>
      <c r="C85" s="2" t="s">
        <v>71</v>
      </c>
      <c r="D85" s="5" t="s">
        <v>7</v>
      </c>
      <c r="E85" s="2" t="s">
        <v>72</v>
      </c>
      <c r="F85" s="7">
        <v>18</v>
      </c>
    </row>
    <row r="86" spans="1:6" ht="15" thickBot="1" x14ac:dyDescent="0.4">
      <c r="A86" s="6">
        <v>43584</v>
      </c>
      <c r="B86" s="1">
        <v>43556</v>
      </c>
      <c r="C86" s="2" t="s">
        <v>71</v>
      </c>
      <c r="D86" s="5" t="s">
        <v>7</v>
      </c>
      <c r="E86" s="2" t="s">
        <v>72</v>
      </c>
      <c r="F86" s="7">
        <v>18</v>
      </c>
    </row>
    <row r="87" spans="1:6" ht="15" thickBot="1" x14ac:dyDescent="0.4">
      <c r="A87" s="6">
        <v>43584</v>
      </c>
      <c r="B87" s="1">
        <v>43556</v>
      </c>
      <c r="C87" s="2" t="s">
        <v>71</v>
      </c>
      <c r="D87" s="5" t="s">
        <v>7</v>
      </c>
      <c r="E87" s="2" t="s">
        <v>72</v>
      </c>
      <c r="F87" s="7">
        <v>7</v>
      </c>
    </row>
    <row r="88" spans="1:6" ht="15" thickBot="1" x14ac:dyDescent="0.4">
      <c r="A88" s="6">
        <v>43618</v>
      </c>
      <c r="B88" s="1">
        <v>43617</v>
      </c>
      <c r="C88" s="2" t="s">
        <v>73</v>
      </c>
      <c r="D88" s="5" t="s">
        <v>31</v>
      </c>
      <c r="E88" s="2" t="s">
        <v>74</v>
      </c>
      <c r="F88" s="7">
        <v>1</v>
      </c>
    </row>
    <row r="89" spans="1:6" ht="15" thickBot="1" x14ac:dyDescent="0.4">
      <c r="A89" s="6">
        <v>43623</v>
      </c>
      <c r="B89" s="1">
        <v>43617</v>
      </c>
      <c r="C89" s="2" t="s">
        <v>75</v>
      </c>
      <c r="D89" s="5" t="s">
        <v>31</v>
      </c>
      <c r="E89" s="2" t="s">
        <v>76</v>
      </c>
      <c r="F89" s="7">
        <v>1</v>
      </c>
    </row>
    <row r="90" spans="1:6" ht="15" thickBot="1" x14ac:dyDescent="0.4">
      <c r="A90" s="6">
        <v>43632</v>
      </c>
      <c r="B90" s="1">
        <v>43617</v>
      </c>
      <c r="C90" s="2" t="s">
        <v>77</v>
      </c>
      <c r="D90" s="5" t="s">
        <v>24</v>
      </c>
      <c r="E90" s="2" t="s">
        <v>78</v>
      </c>
      <c r="F90" s="7">
        <v>8</v>
      </c>
    </row>
    <row r="91" spans="1:6" ht="15" thickBot="1" x14ac:dyDescent="0.4">
      <c r="A91" s="6">
        <v>43641</v>
      </c>
      <c r="B91" s="1">
        <v>43617</v>
      </c>
      <c r="C91" s="2" t="s">
        <v>79</v>
      </c>
      <c r="D91" s="5" t="s">
        <v>24</v>
      </c>
      <c r="E91" s="2" t="s">
        <v>80</v>
      </c>
      <c r="F91" s="7">
        <v>4</v>
      </c>
    </row>
    <row r="92" spans="1:6" ht="26.5" thickBot="1" x14ac:dyDescent="0.4">
      <c r="A92" s="6">
        <v>43645</v>
      </c>
      <c r="B92" s="1">
        <v>43617</v>
      </c>
      <c r="C92" s="2" t="s">
        <v>81</v>
      </c>
      <c r="D92" s="5" t="s">
        <v>10</v>
      </c>
      <c r="E92" s="2" t="s">
        <v>82</v>
      </c>
      <c r="F92" s="7">
        <v>15</v>
      </c>
    </row>
    <row r="93" spans="1:6" ht="15" thickBot="1" x14ac:dyDescent="0.4">
      <c r="A93" s="6">
        <v>43650</v>
      </c>
      <c r="B93" s="1">
        <v>43647</v>
      </c>
      <c r="C93" s="2" t="s">
        <v>83</v>
      </c>
      <c r="D93" s="5" t="s">
        <v>24</v>
      </c>
      <c r="E93" s="2" t="s">
        <v>72</v>
      </c>
      <c r="F93" s="7">
        <v>11</v>
      </c>
    </row>
    <row r="94" spans="1:6" ht="15" thickBot="1" x14ac:dyDescent="0.4">
      <c r="A94" s="6">
        <v>43655</v>
      </c>
      <c r="B94" s="1">
        <v>43647</v>
      </c>
      <c r="C94" s="2" t="s">
        <v>84</v>
      </c>
      <c r="D94" s="5" t="s">
        <v>31</v>
      </c>
      <c r="E94" s="2" t="s">
        <v>32</v>
      </c>
      <c r="F94" s="7">
        <v>12</v>
      </c>
    </row>
    <row r="95" spans="1:6" ht="15" thickBot="1" x14ac:dyDescent="0.4">
      <c r="A95" s="6">
        <v>43655</v>
      </c>
      <c r="B95" s="1">
        <v>43647</v>
      </c>
      <c r="C95" s="2" t="s">
        <v>84</v>
      </c>
      <c r="D95" s="5" t="s">
        <v>31</v>
      </c>
      <c r="E95" s="2" t="s">
        <v>32</v>
      </c>
      <c r="F95" s="7">
        <v>20</v>
      </c>
    </row>
    <row r="96" spans="1:6" ht="15" thickBot="1" x14ac:dyDescent="0.4">
      <c r="A96" s="6">
        <v>43655</v>
      </c>
      <c r="B96" s="1">
        <v>43647</v>
      </c>
      <c r="C96" s="2" t="s">
        <v>84</v>
      </c>
      <c r="D96" s="5" t="s">
        <v>31</v>
      </c>
      <c r="E96" s="2" t="s">
        <v>32</v>
      </c>
      <c r="F96" s="7">
        <v>17</v>
      </c>
    </row>
    <row r="97" spans="1:6" ht="15" thickBot="1" x14ac:dyDescent="0.4">
      <c r="A97" s="6">
        <v>43655</v>
      </c>
      <c r="B97" s="1">
        <v>43647</v>
      </c>
      <c r="C97" s="2" t="s">
        <v>84</v>
      </c>
      <c r="D97" s="5" t="s">
        <v>31</v>
      </c>
      <c r="E97" s="2" t="s">
        <v>32</v>
      </c>
      <c r="F97" s="7">
        <v>17</v>
      </c>
    </row>
    <row r="98" spans="1:6" ht="15" thickBot="1" x14ac:dyDescent="0.4">
      <c r="A98" s="6">
        <v>43655</v>
      </c>
      <c r="B98" s="1">
        <v>43647</v>
      </c>
      <c r="C98" s="2" t="s">
        <v>84</v>
      </c>
      <c r="D98" s="5" t="s">
        <v>31</v>
      </c>
      <c r="E98" s="2" t="s">
        <v>32</v>
      </c>
      <c r="F98" s="7">
        <v>4</v>
      </c>
    </row>
    <row r="99" spans="1:6" ht="15" thickBot="1" x14ac:dyDescent="0.4">
      <c r="A99" s="6">
        <v>43670</v>
      </c>
      <c r="B99" s="1">
        <v>43647</v>
      </c>
      <c r="C99" s="2" t="s">
        <v>85</v>
      </c>
      <c r="D99" s="5" t="s">
        <v>10</v>
      </c>
      <c r="E99" s="2" t="s">
        <v>86</v>
      </c>
      <c r="F99" s="7">
        <v>17</v>
      </c>
    </row>
    <row r="100" spans="1:6" ht="15" thickBot="1" x14ac:dyDescent="0.4">
      <c r="A100" s="6">
        <v>43670</v>
      </c>
      <c r="B100" s="1">
        <v>43647</v>
      </c>
      <c r="C100" s="2" t="s">
        <v>85</v>
      </c>
      <c r="D100" s="5" t="s">
        <v>10</v>
      </c>
      <c r="E100" s="2" t="s">
        <v>86</v>
      </c>
      <c r="F100" s="7">
        <v>17</v>
      </c>
    </row>
    <row r="101" spans="1:6" ht="15" thickBot="1" x14ac:dyDescent="0.4">
      <c r="A101" s="6">
        <v>43670</v>
      </c>
      <c r="B101" s="1">
        <v>43647</v>
      </c>
      <c r="C101" s="2" t="s">
        <v>85</v>
      </c>
      <c r="D101" s="5" t="s">
        <v>10</v>
      </c>
      <c r="E101" s="2" t="s">
        <v>86</v>
      </c>
      <c r="F101" s="7">
        <v>16</v>
      </c>
    </row>
    <row r="102" spans="1:6" ht="15" thickBot="1" x14ac:dyDescent="0.4">
      <c r="A102" s="6">
        <v>43678</v>
      </c>
      <c r="B102" s="1">
        <v>43678</v>
      </c>
      <c r="C102" s="2" t="s">
        <v>87</v>
      </c>
      <c r="D102" s="5" t="s">
        <v>31</v>
      </c>
      <c r="E102" s="2" t="s">
        <v>88</v>
      </c>
      <c r="F102" s="7">
        <v>9</v>
      </c>
    </row>
    <row r="103" spans="1:6" ht="15" thickBot="1" x14ac:dyDescent="0.4">
      <c r="A103" s="6">
        <v>43678</v>
      </c>
      <c r="B103" s="1">
        <v>43678</v>
      </c>
      <c r="C103" s="2" t="s">
        <v>30</v>
      </c>
      <c r="D103" s="5" t="s">
        <v>15</v>
      </c>
      <c r="E103" s="2" t="s">
        <v>48</v>
      </c>
      <c r="F103" s="7">
        <v>18</v>
      </c>
    </row>
    <row r="104" spans="1:6" ht="15" thickBot="1" x14ac:dyDescent="0.4">
      <c r="A104" s="6">
        <v>43678</v>
      </c>
      <c r="B104" s="1">
        <v>43678</v>
      </c>
      <c r="C104" s="2" t="s">
        <v>30</v>
      </c>
      <c r="D104" s="5" t="s">
        <v>15</v>
      </c>
      <c r="E104" s="2" t="s">
        <v>48</v>
      </c>
      <c r="F104" s="7">
        <v>19</v>
      </c>
    </row>
    <row r="105" spans="1:6" ht="15" thickBot="1" x14ac:dyDescent="0.4">
      <c r="A105" s="6">
        <v>43678</v>
      </c>
      <c r="B105" s="1">
        <v>43678</v>
      </c>
      <c r="C105" s="2" t="s">
        <v>30</v>
      </c>
      <c r="D105" s="5" t="s">
        <v>7</v>
      </c>
      <c r="E105" s="2" t="s">
        <v>72</v>
      </c>
      <c r="F105" s="7">
        <v>20</v>
      </c>
    </row>
    <row r="106" spans="1:6" ht="15" thickBot="1" x14ac:dyDescent="0.4">
      <c r="A106" s="6">
        <v>43678</v>
      </c>
      <c r="B106" s="1">
        <v>43678</v>
      </c>
      <c r="C106" s="2" t="s">
        <v>30</v>
      </c>
      <c r="D106" s="5" t="s">
        <v>7</v>
      </c>
      <c r="E106" s="2" t="s">
        <v>13</v>
      </c>
      <c r="F106" s="7">
        <v>20</v>
      </c>
    </row>
    <row r="107" spans="1:6" ht="15" thickBot="1" x14ac:dyDescent="0.4">
      <c r="A107" s="6">
        <v>43678</v>
      </c>
      <c r="B107" s="1">
        <v>43678</v>
      </c>
      <c r="C107" s="2" t="s">
        <v>30</v>
      </c>
      <c r="D107" s="5" t="s">
        <v>7</v>
      </c>
      <c r="E107" s="2" t="s">
        <v>44</v>
      </c>
      <c r="F107" s="7">
        <v>14</v>
      </c>
    </row>
    <row r="108" spans="1:6" ht="26.5" thickBot="1" x14ac:dyDescent="0.4">
      <c r="A108" s="6">
        <v>43680</v>
      </c>
      <c r="B108" s="1">
        <v>43678</v>
      </c>
      <c r="C108" s="2" t="s">
        <v>89</v>
      </c>
      <c r="D108" s="5" t="s">
        <v>24</v>
      </c>
      <c r="E108" s="2" t="s">
        <v>90</v>
      </c>
      <c r="F108" s="7">
        <v>1</v>
      </c>
    </row>
    <row r="109" spans="1:6" ht="26.5" thickBot="1" x14ac:dyDescent="0.4">
      <c r="A109" s="6">
        <v>43680</v>
      </c>
      <c r="B109" s="1">
        <v>43678</v>
      </c>
      <c r="C109" s="2" t="s">
        <v>89</v>
      </c>
      <c r="D109" s="5" t="s">
        <v>24</v>
      </c>
      <c r="E109" s="2" t="s">
        <v>90</v>
      </c>
      <c r="F109" s="7">
        <v>12</v>
      </c>
    </row>
    <row r="110" spans="1:6" ht="26.5" thickBot="1" x14ac:dyDescent="0.4">
      <c r="A110" s="6">
        <v>43680</v>
      </c>
      <c r="B110" s="1">
        <v>43678</v>
      </c>
      <c r="C110" s="2" t="s">
        <v>89</v>
      </c>
      <c r="D110" s="5" t="s">
        <v>24</v>
      </c>
      <c r="E110" s="2" t="s">
        <v>90</v>
      </c>
      <c r="F110" s="7">
        <v>18</v>
      </c>
    </row>
    <row r="111" spans="1:6" ht="26.5" thickBot="1" x14ac:dyDescent="0.4">
      <c r="A111" s="6">
        <v>43680</v>
      </c>
      <c r="B111" s="1">
        <v>43678</v>
      </c>
      <c r="C111" s="2" t="s">
        <v>89</v>
      </c>
      <c r="D111" s="5" t="s">
        <v>24</v>
      </c>
      <c r="E111" s="2" t="s">
        <v>90</v>
      </c>
      <c r="F111" s="7">
        <v>16</v>
      </c>
    </row>
    <row r="112" spans="1:6" ht="26.5" thickBot="1" x14ac:dyDescent="0.4">
      <c r="A112" s="6">
        <v>43680</v>
      </c>
      <c r="B112" s="1">
        <v>43678</v>
      </c>
      <c r="C112" s="2" t="s">
        <v>89</v>
      </c>
      <c r="D112" s="5" t="s">
        <v>24</v>
      </c>
      <c r="E112" s="2" t="s">
        <v>90</v>
      </c>
      <c r="F112" s="7">
        <v>12</v>
      </c>
    </row>
    <row r="113" spans="1:6" ht="26.5" thickBot="1" x14ac:dyDescent="0.4">
      <c r="A113" s="6">
        <v>43689</v>
      </c>
      <c r="B113" s="1">
        <v>43678</v>
      </c>
      <c r="C113" s="2" t="s">
        <v>91</v>
      </c>
      <c r="D113" s="5" t="s">
        <v>10</v>
      </c>
      <c r="E113" s="2" t="s">
        <v>92</v>
      </c>
      <c r="F113" s="7">
        <v>15</v>
      </c>
    </row>
    <row r="114" spans="1:6" ht="26.5" thickBot="1" x14ac:dyDescent="0.4">
      <c r="A114" s="6">
        <v>43689</v>
      </c>
      <c r="B114" s="1">
        <v>43678</v>
      </c>
      <c r="C114" s="2" t="s">
        <v>91</v>
      </c>
      <c r="D114" s="5" t="s">
        <v>10</v>
      </c>
      <c r="E114" s="2" t="s">
        <v>92</v>
      </c>
      <c r="F114" s="7">
        <v>4</v>
      </c>
    </row>
    <row r="115" spans="1:6" ht="26.5" thickBot="1" x14ac:dyDescent="0.4">
      <c r="A115" s="6">
        <v>43689</v>
      </c>
      <c r="B115" s="1">
        <v>43678</v>
      </c>
      <c r="C115" s="2" t="s">
        <v>91</v>
      </c>
      <c r="D115" s="5" t="s">
        <v>10</v>
      </c>
      <c r="E115" s="2" t="s">
        <v>92</v>
      </c>
      <c r="F115" s="7">
        <v>5</v>
      </c>
    </row>
    <row r="116" spans="1:6" ht="26.5" thickBot="1" x14ac:dyDescent="0.4">
      <c r="A116" s="6">
        <v>43689</v>
      </c>
      <c r="B116" s="1">
        <v>43678</v>
      </c>
      <c r="C116" s="2" t="s">
        <v>91</v>
      </c>
      <c r="D116" s="5" t="s">
        <v>10</v>
      </c>
      <c r="E116" s="2" t="s">
        <v>92</v>
      </c>
      <c r="F116" s="7">
        <v>5</v>
      </c>
    </row>
    <row r="117" spans="1:6" ht="26.5" thickBot="1" x14ac:dyDescent="0.4">
      <c r="A117" s="6">
        <v>43689</v>
      </c>
      <c r="B117" s="1">
        <v>43678</v>
      </c>
      <c r="C117" s="2" t="s">
        <v>91</v>
      </c>
      <c r="D117" s="5" t="s">
        <v>10</v>
      </c>
      <c r="E117" s="2" t="s">
        <v>92</v>
      </c>
      <c r="F117" s="7">
        <v>4</v>
      </c>
    </row>
    <row r="118" spans="1:6" ht="26.5" thickBot="1" x14ac:dyDescent="0.4">
      <c r="A118" s="6">
        <v>43698</v>
      </c>
      <c r="B118" s="1">
        <v>43678</v>
      </c>
      <c r="C118" s="2" t="s">
        <v>93</v>
      </c>
      <c r="D118" s="5" t="s">
        <v>7</v>
      </c>
      <c r="E118" s="2" t="s">
        <v>94</v>
      </c>
      <c r="F118" s="7">
        <v>12</v>
      </c>
    </row>
    <row r="119" spans="1:6" ht="15" thickBot="1" x14ac:dyDescent="0.4">
      <c r="A119" s="6">
        <v>43710</v>
      </c>
      <c r="B119" s="4" t="s">
        <v>95</v>
      </c>
      <c r="C119" s="2" t="s">
        <v>96</v>
      </c>
      <c r="D119" s="5" t="s">
        <v>10</v>
      </c>
      <c r="E119" s="2" t="s">
        <v>20</v>
      </c>
      <c r="F119" s="7">
        <v>12</v>
      </c>
    </row>
    <row r="120" spans="1:6" ht="15" thickBot="1" x14ac:dyDescent="0.4">
      <c r="A120" s="6">
        <v>43710</v>
      </c>
      <c r="B120" s="4" t="s">
        <v>95</v>
      </c>
      <c r="C120" s="2" t="s">
        <v>96</v>
      </c>
      <c r="D120" s="5" t="s">
        <v>10</v>
      </c>
      <c r="E120" s="2" t="s">
        <v>20</v>
      </c>
      <c r="F120" s="7">
        <v>18</v>
      </c>
    </row>
    <row r="121" spans="1:6" ht="15" thickBot="1" x14ac:dyDescent="0.4">
      <c r="A121" s="6">
        <v>43710</v>
      </c>
      <c r="B121" s="4" t="s">
        <v>95</v>
      </c>
      <c r="C121" s="2" t="s">
        <v>96</v>
      </c>
      <c r="D121" s="5" t="s">
        <v>10</v>
      </c>
      <c r="E121" s="2" t="s">
        <v>20</v>
      </c>
      <c r="F121" s="7">
        <v>20</v>
      </c>
    </row>
    <row r="122" spans="1:6" ht="15" thickBot="1" x14ac:dyDescent="0.4">
      <c r="A122" s="6">
        <v>43710</v>
      </c>
      <c r="B122" s="4" t="s">
        <v>95</v>
      </c>
      <c r="C122" s="2" t="s">
        <v>30</v>
      </c>
      <c r="D122" s="5" t="s">
        <v>15</v>
      </c>
      <c r="E122" s="2" t="s">
        <v>47</v>
      </c>
      <c r="F122" s="7">
        <v>11</v>
      </c>
    </row>
    <row r="123" spans="1:6" ht="15" thickBot="1" x14ac:dyDescent="0.4">
      <c r="A123" s="6">
        <v>43710</v>
      </c>
      <c r="B123" s="4" t="s">
        <v>95</v>
      </c>
      <c r="C123" s="2" t="s">
        <v>30</v>
      </c>
      <c r="D123" s="5" t="s">
        <v>15</v>
      </c>
      <c r="E123" s="2" t="s">
        <v>55</v>
      </c>
      <c r="F123" s="7">
        <v>17</v>
      </c>
    </row>
    <row r="124" spans="1:6" ht="15" thickBot="1" x14ac:dyDescent="0.4">
      <c r="A124" s="6">
        <v>43710</v>
      </c>
      <c r="B124" s="4" t="s">
        <v>95</v>
      </c>
      <c r="C124" s="2" t="s">
        <v>30</v>
      </c>
      <c r="D124" s="5" t="s">
        <v>7</v>
      </c>
      <c r="E124" s="2" t="s">
        <v>72</v>
      </c>
      <c r="F124" s="7">
        <v>16</v>
      </c>
    </row>
    <row r="125" spans="1:6" ht="15" thickBot="1" x14ac:dyDescent="0.4">
      <c r="A125" s="6">
        <v>43713</v>
      </c>
      <c r="B125" s="4" t="s">
        <v>95</v>
      </c>
      <c r="C125" s="2" t="s">
        <v>97</v>
      </c>
      <c r="D125" s="5" t="s">
        <v>15</v>
      </c>
      <c r="E125" s="2" t="s">
        <v>98</v>
      </c>
      <c r="F125" s="7">
        <v>2</v>
      </c>
    </row>
    <row r="126" spans="1:6" ht="15" thickBot="1" x14ac:dyDescent="0.4">
      <c r="A126" s="6">
        <v>43719</v>
      </c>
      <c r="B126" s="4" t="s">
        <v>95</v>
      </c>
      <c r="C126" s="2" t="s">
        <v>99</v>
      </c>
      <c r="D126" s="5" t="s">
        <v>15</v>
      </c>
      <c r="E126" s="2" t="s">
        <v>48</v>
      </c>
      <c r="F126" s="7">
        <v>19</v>
      </c>
    </row>
    <row r="127" spans="1:6" ht="15" thickBot="1" x14ac:dyDescent="0.4">
      <c r="A127" s="6">
        <v>43722</v>
      </c>
      <c r="B127" s="4" t="s">
        <v>95</v>
      </c>
      <c r="C127" s="2" t="s">
        <v>100</v>
      </c>
      <c r="D127" s="5" t="s">
        <v>15</v>
      </c>
      <c r="E127" s="2" t="s">
        <v>101</v>
      </c>
      <c r="F127" s="7">
        <v>6</v>
      </c>
    </row>
    <row r="128" spans="1:6" ht="15" thickBot="1" x14ac:dyDescent="0.4">
      <c r="A128" s="6">
        <v>43728</v>
      </c>
      <c r="B128" s="4" t="s">
        <v>95</v>
      </c>
      <c r="C128" s="2" t="s">
        <v>102</v>
      </c>
      <c r="D128" s="5" t="s">
        <v>7</v>
      </c>
      <c r="E128" s="2" t="s">
        <v>33</v>
      </c>
      <c r="F128" s="7">
        <v>11</v>
      </c>
    </row>
    <row r="129" spans="1:6" ht="15" thickBot="1" x14ac:dyDescent="0.4">
      <c r="A129" s="6">
        <v>43728</v>
      </c>
      <c r="B129" s="4" t="s">
        <v>95</v>
      </c>
      <c r="C129" s="2" t="s">
        <v>30</v>
      </c>
      <c r="D129" s="5" t="s">
        <v>24</v>
      </c>
      <c r="E129" s="2" t="s">
        <v>56</v>
      </c>
      <c r="F129" s="7">
        <v>4</v>
      </c>
    </row>
    <row r="130" spans="1:6" ht="15" thickBot="1" x14ac:dyDescent="0.4">
      <c r="A130" s="6">
        <v>43728</v>
      </c>
      <c r="B130" s="4" t="s">
        <v>95</v>
      </c>
      <c r="C130" s="2" t="s">
        <v>30</v>
      </c>
      <c r="D130" s="5" t="s">
        <v>24</v>
      </c>
      <c r="E130" s="2" t="s">
        <v>56</v>
      </c>
      <c r="F130" s="7">
        <v>9</v>
      </c>
    </row>
    <row r="131" spans="1:6" ht="15" thickBot="1" x14ac:dyDescent="0.4">
      <c r="A131" s="6">
        <v>43728</v>
      </c>
      <c r="B131" s="4" t="s">
        <v>95</v>
      </c>
      <c r="C131" s="2" t="s">
        <v>30</v>
      </c>
      <c r="D131" s="5" t="s">
        <v>15</v>
      </c>
      <c r="E131" s="2" t="s">
        <v>66</v>
      </c>
      <c r="F131" s="7">
        <v>17</v>
      </c>
    </row>
    <row r="132" spans="1:6" ht="15" thickBot="1" x14ac:dyDescent="0.4">
      <c r="A132" s="6">
        <v>43728</v>
      </c>
      <c r="B132" s="4" t="s">
        <v>95</v>
      </c>
      <c r="C132" s="2" t="s">
        <v>30</v>
      </c>
      <c r="D132" s="5" t="s">
        <v>7</v>
      </c>
      <c r="E132" s="2" t="s">
        <v>27</v>
      </c>
      <c r="F132" s="7">
        <v>18</v>
      </c>
    </row>
    <row r="133" spans="1:6" ht="15" thickBot="1" x14ac:dyDescent="0.4">
      <c r="A133" s="6">
        <v>43730</v>
      </c>
      <c r="B133" s="4" t="s">
        <v>95</v>
      </c>
      <c r="C133" s="2" t="s">
        <v>103</v>
      </c>
      <c r="D133" s="5" t="s">
        <v>15</v>
      </c>
      <c r="E133" s="2" t="s">
        <v>104</v>
      </c>
      <c r="F133" s="7">
        <v>11</v>
      </c>
    </row>
    <row r="134" spans="1:6" ht="15" thickBot="1" x14ac:dyDescent="0.4">
      <c r="A134" s="6">
        <v>43739</v>
      </c>
      <c r="B134" s="1">
        <v>43739</v>
      </c>
      <c r="C134" s="2" t="s">
        <v>105</v>
      </c>
      <c r="D134" s="5" t="s">
        <v>15</v>
      </c>
      <c r="E134" s="2" t="s">
        <v>35</v>
      </c>
      <c r="F134" s="7">
        <v>13</v>
      </c>
    </row>
    <row r="135" spans="1:6" ht="15" thickBot="1" x14ac:dyDescent="0.4">
      <c r="A135" s="6">
        <v>43752</v>
      </c>
      <c r="B135" s="1">
        <v>43739</v>
      </c>
      <c r="C135" s="2" t="s">
        <v>106</v>
      </c>
      <c r="D135" s="5" t="s">
        <v>24</v>
      </c>
      <c r="E135" s="2" t="s">
        <v>107</v>
      </c>
      <c r="F135" s="7">
        <v>15</v>
      </c>
    </row>
    <row r="136" spans="1:6" ht="26.5" thickBot="1" x14ac:dyDescent="0.4">
      <c r="A136" s="6">
        <v>43785</v>
      </c>
      <c r="B136" s="1">
        <v>43770</v>
      </c>
      <c r="C136" s="2" t="s">
        <v>108</v>
      </c>
      <c r="D136" s="5" t="s">
        <v>31</v>
      </c>
      <c r="E136" s="2" t="s">
        <v>52</v>
      </c>
      <c r="F136" s="7">
        <v>4</v>
      </c>
    </row>
    <row r="137" spans="1:6" ht="15" thickBot="1" x14ac:dyDescent="0.4">
      <c r="A137" s="6">
        <v>43792</v>
      </c>
      <c r="B137" s="1">
        <v>43770</v>
      </c>
      <c r="C137" s="2" t="s">
        <v>109</v>
      </c>
      <c r="D137" s="5" t="s">
        <v>15</v>
      </c>
      <c r="E137" s="2" t="s">
        <v>110</v>
      </c>
      <c r="F137" s="7">
        <v>18</v>
      </c>
    </row>
    <row r="138" spans="1:6" ht="15" thickBot="1" x14ac:dyDescent="0.4">
      <c r="A138" s="6">
        <v>43817</v>
      </c>
      <c r="B138" s="1">
        <v>43800</v>
      </c>
      <c r="C138" s="2" t="s">
        <v>111</v>
      </c>
      <c r="D138" s="5" t="s">
        <v>10</v>
      </c>
      <c r="E138" s="2" t="s">
        <v>37</v>
      </c>
      <c r="F138" s="7">
        <v>9</v>
      </c>
    </row>
    <row r="139" spans="1:6" ht="15" thickBot="1" x14ac:dyDescent="0.4">
      <c r="A139" s="6">
        <v>43830</v>
      </c>
      <c r="B139" s="1">
        <v>43800</v>
      </c>
      <c r="C139" s="2" t="s">
        <v>112</v>
      </c>
      <c r="D139" s="5" t="s">
        <v>24</v>
      </c>
      <c r="E139" s="2" t="s">
        <v>86</v>
      </c>
      <c r="F139" s="7">
        <v>9</v>
      </c>
    </row>
    <row r="140" spans="1:6" ht="15" thickBot="1" x14ac:dyDescent="0.4">
      <c r="A140" s="6">
        <v>43830</v>
      </c>
      <c r="B140" s="1">
        <v>43800</v>
      </c>
      <c r="C140" s="2" t="s">
        <v>112</v>
      </c>
      <c r="D140" s="5" t="s">
        <v>24</v>
      </c>
      <c r="E140" s="2" t="s">
        <v>86</v>
      </c>
      <c r="F140" s="7">
        <v>20</v>
      </c>
    </row>
    <row r="141" spans="1:6" ht="15" thickBot="1" x14ac:dyDescent="0.4">
      <c r="A141" s="6">
        <v>43830</v>
      </c>
      <c r="B141" s="1">
        <v>43800</v>
      </c>
      <c r="C141" s="2" t="s">
        <v>112</v>
      </c>
      <c r="D141" s="5" t="s">
        <v>24</v>
      </c>
      <c r="E141" s="2" t="s">
        <v>86</v>
      </c>
      <c r="F141" s="7">
        <v>16</v>
      </c>
    </row>
    <row r="142" spans="1:6" ht="15" thickBot="1" x14ac:dyDescent="0.4">
      <c r="A142" s="6">
        <v>43830</v>
      </c>
      <c r="B142" s="1">
        <v>43800</v>
      </c>
      <c r="C142" s="2" t="s">
        <v>112</v>
      </c>
      <c r="D142" s="5" t="s">
        <v>24</v>
      </c>
      <c r="E142" s="2" t="s">
        <v>86</v>
      </c>
      <c r="F142" s="7">
        <v>16</v>
      </c>
    </row>
    <row r="143" spans="1:6" ht="15" thickBot="1" x14ac:dyDescent="0.4">
      <c r="A143" s="6">
        <v>43830</v>
      </c>
      <c r="B143" s="1">
        <v>43800</v>
      </c>
      <c r="C143" s="2" t="s">
        <v>112</v>
      </c>
      <c r="D143" s="5" t="s">
        <v>31</v>
      </c>
      <c r="E143" s="2" t="s">
        <v>86</v>
      </c>
      <c r="F143" s="7">
        <v>20</v>
      </c>
    </row>
    <row r="144" spans="1:6" ht="15" thickBot="1" x14ac:dyDescent="0.4">
      <c r="A144" s="6">
        <v>43837</v>
      </c>
      <c r="B144" s="1">
        <v>43831</v>
      </c>
      <c r="C144" s="2" t="s">
        <v>113</v>
      </c>
      <c r="D144" s="5" t="s">
        <v>15</v>
      </c>
      <c r="E144" s="2" t="s">
        <v>8</v>
      </c>
      <c r="F144" s="7">
        <v>3</v>
      </c>
    </row>
    <row r="145" spans="1:6" ht="15" thickBot="1" x14ac:dyDescent="0.4">
      <c r="A145" s="6">
        <v>43837</v>
      </c>
      <c r="B145" s="1">
        <v>43831</v>
      </c>
      <c r="C145" s="2" t="s">
        <v>113</v>
      </c>
      <c r="D145" s="5" t="s">
        <v>10</v>
      </c>
      <c r="E145" s="2" t="s">
        <v>8</v>
      </c>
      <c r="F145" s="7">
        <v>12</v>
      </c>
    </row>
    <row r="146" spans="1:6" ht="15" thickBot="1" x14ac:dyDescent="0.4">
      <c r="A146" s="6">
        <v>43837</v>
      </c>
      <c r="B146" s="1">
        <v>43831</v>
      </c>
      <c r="C146" s="2" t="s">
        <v>113</v>
      </c>
      <c r="D146" s="5" t="s">
        <v>15</v>
      </c>
      <c r="E146" s="2" t="s">
        <v>8</v>
      </c>
      <c r="F146" s="7">
        <v>20</v>
      </c>
    </row>
    <row r="147" spans="1:6" ht="15" thickBot="1" x14ac:dyDescent="0.4">
      <c r="A147" s="6">
        <v>43837</v>
      </c>
      <c r="B147" s="1">
        <v>43831</v>
      </c>
      <c r="C147" s="2" t="s">
        <v>113</v>
      </c>
      <c r="D147" s="5" t="s">
        <v>15</v>
      </c>
      <c r="E147" s="2" t="s">
        <v>8</v>
      </c>
      <c r="F147" s="7">
        <v>20</v>
      </c>
    </row>
    <row r="148" spans="1:6" ht="15" thickBot="1" x14ac:dyDescent="0.4">
      <c r="A148" s="6">
        <v>43837</v>
      </c>
      <c r="B148" s="1">
        <v>43831</v>
      </c>
      <c r="C148" s="2" t="s">
        <v>113</v>
      </c>
      <c r="D148" s="5" t="s">
        <v>15</v>
      </c>
      <c r="E148" s="2" t="s">
        <v>8</v>
      </c>
      <c r="F148" s="7">
        <v>18</v>
      </c>
    </row>
    <row r="149" spans="1:6" ht="26.5" thickBot="1" x14ac:dyDescent="0.4">
      <c r="A149" s="6">
        <v>43839</v>
      </c>
      <c r="B149" s="1">
        <v>43831</v>
      </c>
      <c r="C149" s="2" t="s">
        <v>114</v>
      </c>
      <c r="D149" s="5" t="s">
        <v>10</v>
      </c>
      <c r="E149" s="2" t="s">
        <v>115</v>
      </c>
      <c r="F149" s="7">
        <v>5</v>
      </c>
    </row>
    <row r="150" spans="1:6" ht="26.5" thickBot="1" x14ac:dyDescent="0.4">
      <c r="A150" s="6">
        <v>43840</v>
      </c>
      <c r="B150" s="1">
        <v>43831</v>
      </c>
      <c r="C150" s="2" t="s">
        <v>116</v>
      </c>
      <c r="D150" s="5" t="s">
        <v>10</v>
      </c>
      <c r="E150" s="2" t="s">
        <v>66</v>
      </c>
      <c r="F150" s="7">
        <v>17</v>
      </c>
    </row>
    <row r="151" spans="1:6" ht="15" thickBot="1" x14ac:dyDescent="0.4">
      <c r="A151" s="6">
        <v>43840</v>
      </c>
      <c r="B151" s="1">
        <v>43831</v>
      </c>
      <c r="C151" s="2" t="s">
        <v>30</v>
      </c>
      <c r="D151" s="5" t="s">
        <v>7</v>
      </c>
      <c r="E151" s="2" t="s">
        <v>27</v>
      </c>
      <c r="F151" s="7">
        <v>8</v>
      </c>
    </row>
    <row r="152" spans="1:6" ht="15" thickBot="1" x14ac:dyDescent="0.4">
      <c r="A152" s="6">
        <v>43840</v>
      </c>
      <c r="B152" s="1">
        <v>43831</v>
      </c>
      <c r="C152" s="2" t="s">
        <v>30</v>
      </c>
      <c r="D152" s="5" t="s">
        <v>7</v>
      </c>
      <c r="E152" s="2" t="s">
        <v>27</v>
      </c>
      <c r="F152" s="7">
        <v>20</v>
      </c>
    </row>
    <row r="153" spans="1:6" ht="15" thickBot="1" x14ac:dyDescent="0.4">
      <c r="A153" s="6">
        <v>43840</v>
      </c>
      <c r="B153" s="1">
        <v>43831</v>
      </c>
      <c r="C153" s="2" t="s">
        <v>30</v>
      </c>
      <c r="D153" s="5" t="s">
        <v>31</v>
      </c>
      <c r="E153" s="2" t="s">
        <v>54</v>
      </c>
      <c r="F153" s="7">
        <v>15</v>
      </c>
    </row>
    <row r="154" spans="1:6" ht="15" thickBot="1" x14ac:dyDescent="0.4">
      <c r="A154" s="6">
        <v>43840</v>
      </c>
      <c r="B154" s="1">
        <v>43831</v>
      </c>
      <c r="C154" s="2" t="s">
        <v>30</v>
      </c>
      <c r="D154" s="5" t="s">
        <v>31</v>
      </c>
      <c r="E154" s="2" t="s">
        <v>32</v>
      </c>
      <c r="F154" s="7">
        <v>5</v>
      </c>
    </row>
    <row r="155" spans="1:6" ht="26.5" thickBot="1" x14ac:dyDescent="0.4">
      <c r="A155" s="6">
        <v>43844</v>
      </c>
      <c r="B155" s="1">
        <v>43831</v>
      </c>
      <c r="C155" s="2" t="s">
        <v>117</v>
      </c>
      <c r="D155" s="5" t="s">
        <v>31</v>
      </c>
      <c r="E155" s="2" t="s">
        <v>27</v>
      </c>
      <c r="F155" s="7">
        <v>19</v>
      </c>
    </row>
    <row r="156" spans="1:6" ht="26.5" thickBot="1" x14ac:dyDescent="0.4">
      <c r="A156" s="6">
        <v>43844</v>
      </c>
      <c r="B156" s="1">
        <v>43831</v>
      </c>
      <c r="C156" s="2" t="s">
        <v>117</v>
      </c>
      <c r="D156" s="5" t="s">
        <v>31</v>
      </c>
      <c r="E156" s="2" t="s">
        <v>27</v>
      </c>
      <c r="F156" s="7">
        <v>19</v>
      </c>
    </row>
    <row r="157" spans="1:6" ht="26.5" thickBot="1" x14ac:dyDescent="0.4">
      <c r="A157" s="6">
        <v>43844</v>
      </c>
      <c r="B157" s="1">
        <v>43831</v>
      </c>
      <c r="C157" s="2" t="s">
        <v>117</v>
      </c>
      <c r="D157" s="5" t="s">
        <v>31</v>
      </c>
      <c r="E157" s="2" t="s">
        <v>27</v>
      </c>
      <c r="F157" s="7">
        <v>18</v>
      </c>
    </row>
    <row r="158" spans="1:6" ht="15" thickBot="1" x14ac:dyDescent="0.4">
      <c r="A158" s="6">
        <v>43844</v>
      </c>
      <c r="B158" s="1">
        <v>43831</v>
      </c>
      <c r="C158" s="2" t="s">
        <v>30</v>
      </c>
      <c r="D158" s="5" t="s">
        <v>10</v>
      </c>
      <c r="E158" s="2" t="s">
        <v>107</v>
      </c>
      <c r="F158" s="7">
        <v>15</v>
      </c>
    </row>
    <row r="159" spans="1:6" ht="15" thickBot="1" x14ac:dyDescent="0.4">
      <c r="A159" s="6">
        <v>43844</v>
      </c>
      <c r="B159" s="1">
        <v>43831</v>
      </c>
      <c r="C159" s="2" t="s">
        <v>30</v>
      </c>
      <c r="D159" s="5" t="s">
        <v>10</v>
      </c>
      <c r="E159" s="2" t="s">
        <v>11</v>
      </c>
      <c r="F159" s="7">
        <v>4</v>
      </c>
    </row>
    <row r="160" spans="1:6" ht="15" thickBot="1" x14ac:dyDescent="0.4">
      <c r="A160" s="6">
        <v>43844</v>
      </c>
      <c r="B160" s="1">
        <v>43831</v>
      </c>
      <c r="C160" s="2" t="s">
        <v>30</v>
      </c>
      <c r="D160" s="5" t="s">
        <v>15</v>
      </c>
      <c r="E160" s="2" t="s">
        <v>55</v>
      </c>
      <c r="F160" s="7">
        <v>9</v>
      </c>
    </row>
    <row r="161" spans="1:6" ht="15" thickBot="1" x14ac:dyDescent="0.4">
      <c r="A161" s="6">
        <v>43850</v>
      </c>
      <c r="B161" s="1">
        <v>43831</v>
      </c>
      <c r="C161" s="2" t="s">
        <v>118</v>
      </c>
      <c r="D161" s="5" t="s">
        <v>7</v>
      </c>
      <c r="E161" s="2" t="s">
        <v>119</v>
      </c>
      <c r="F161" s="7">
        <v>19</v>
      </c>
    </row>
    <row r="162" spans="1:6" ht="15" thickBot="1" x14ac:dyDescent="0.4">
      <c r="A162" s="6">
        <v>43852</v>
      </c>
      <c r="B162" s="1">
        <v>43831</v>
      </c>
      <c r="C162" s="2" t="s">
        <v>120</v>
      </c>
      <c r="D162" s="5" t="s">
        <v>24</v>
      </c>
      <c r="E162" s="2" t="s">
        <v>121</v>
      </c>
      <c r="F162" s="7">
        <v>15</v>
      </c>
    </row>
    <row r="163" spans="1:6" ht="15" thickBot="1" x14ac:dyDescent="0.4">
      <c r="A163" s="6">
        <v>43852</v>
      </c>
      <c r="B163" s="1">
        <v>43831</v>
      </c>
      <c r="C163" s="2" t="s">
        <v>120</v>
      </c>
      <c r="D163" s="5" t="s">
        <v>24</v>
      </c>
      <c r="E163" s="2" t="s">
        <v>121</v>
      </c>
      <c r="F163" s="7">
        <v>11</v>
      </c>
    </row>
    <row r="164" spans="1:6" ht="15" thickBot="1" x14ac:dyDescent="0.4">
      <c r="A164" s="6">
        <v>43852</v>
      </c>
      <c r="B164" s="1">
        <v>43831</v>
      </c>
      <c r="C164" s="2" t="s">
        <v>120</v>
      </c>
      <c r="D164" s="5" t="s">
        <v>24</v>
      </c>
      <c r="E164" s="2" t="s">
        <v>121</v>
      </c>
      <c r="F164" s="7">
        <v>17</v>
      </c>
    </row>
    <row r="165" spans="1:6" ht="15" thickBot="1" x14ac:dyDescent="0.4">
      <c r="A165" s="6">
        <v>43852</v>
      </c>
      <c r="B165" s="1">
        <v>43831</v>
      </c>
      <c r="C165" s="2" t="s">
        <v>120</v>
      </c>
      <c r="D165" s="5" t="s">
        <v>24</v>
      </c>
      <c r="E165" s="2" t="s">
        <v>121</v>
      </c>
      <c r="F165" s="7">
        <v>17</v>
      </c>
    </row>
    <row r="166" spans="1:6" ht="15" thickBot="1" x14ac:dyDescent="0.4">
      <c r="A166" s="6">
        <v>43852</v>
      </c>
      <c r="B166" s="1">
        <v>43831</v>
      </c>
      <c r="C166" s="2" t="s">
        <v>120</v>
      </c>
      <c r="D166" s="5" t="s">
        <v>15</v>
      </c>
      <c r="E166" s="2" t="s">
        <v>35</v>
      </c>
      <c r="F166" s="7">
        <v>6</v>
      </c>
    </row>
    <row r="167" spans="1:6" ht="15" thickBot="1" x14ac:dyDescent="0.4">
      <c r="A167" s="6">
        <v>43853</v>
      </c>
      <c r="B167" s="1">
        <v>43831</v>
      </c>
      <c r="C167" s="2" t="s">
        <v>122</v>
      </c>
      <c r="D167" s="5" t="s">
        <v>15</v>
      </c>
      <c r="E167" s="2" t="s">
        <v>123</v>
      </c>
      <c r="F167" s="7">
        <v>4</v>
      </c>
    </row>
    <row r="168" spans="1:6" ht="15" thickBot="1" x14ac:dyDescent="0.4">
      <c r="A168" s="6">
        <v>43853</v>
      </c>
      <c r="B168" s="1">
        <v>43831</v>
      </c>
      <c r="C168" s="2" t="s">
        <v>30</v>
      </c>
      <c r="D168" s="5" t="s">
        <v>24</v>
      </c>
      <c r="E168" s="2" t="s">
        <v>33</v>
      </c>
      <c r="F168" s="7">
        <v>12</v>
      </c>
    </row>
    <row r="169" spans="1:6" ht="15" thickBot="1" x14ac:dyDescent="0.4">
      <c r="A169" s="6">
        <v>43853</v>
      </c>
      <c r="B169" s="1">
        <v>43831</v>
      </c>
      <c r="C169" s="2" t="s">
        <v>30</v>
      </c>
      <c r="D169" s="5" t="s">
        <v>24</v>
      </c>
      <c r="E169" s="2" t="s">
        <v>33</v>
      </c>
      <c r="F169" s="7">
        <v>11</v>
      </c>
    </row>
    <row r="170" spans="1:6" ht="15" thickBot="1" x14ac:dyDescent="0.4">
      <c r="A170" s="6">
        <v>43853</v>
      </c>
      <c r="B170" s="1">
        <v>43831</v>
      </c>
      <c r="C170" s="2" t="s">
        <v>30</v>
      </c>
      <c r="D170" s="5" t="s">
        <v>15</v>
      </c>
      <c r="E170" s="2" t="s">
        <v>55</v>
      </c>
      <c r="F170" s="7">
        <v>8</v>
      </c>
    </row>
    <row r="171" spans="1:6" ht="15" thickBot="1" x14ac:dyDescent="0.4">
      <c r="A171" s="6">
        <v>43853</v>
      </c>
      <c r="B171" s="1">
        <v>43831</v>
      </c>
      <c r="C171" s="2" t="s">
        <v>30</v>
      </c>
      <c r="D171" s="5" t="s">
        <v>10</v>
      </c>
      <c r="E171" s="2" t="s">
        <v>107</v>
      </c>
      <c r="F171" s="7">
        <v>8</v>
      </c>
    </row>
    <row r="172" spans="1:6" ht="15" thickBot="1" x14ac:dyDescent="0.4">
      <c r="A172" s="6">
        <v>43853</v>
      </c>
      <c r="B172" s="1">
        <v>43831</v>
      </c>
      <c r="C172" s="2" t="s">
        <v>30</v>
      </c>
      <c r="D172" s="5" t="s">
        <v>15</v>
      </c>
      <c r="E172" s="2" t="s">
        <v>66</v>
      </c>
      <c r="F172" s="7">
        <v>13</v>
      </c>
    </row>
    <row r="173" spans="1:6" ht="26.5" thickBot="1" x14ac:dyDescent="0.4">
      <c r="A173" s="6">
        <v>43857</v>
      </c>
      <c r="B173" s="1">
        <v>43831</v>
      </c>
      <c r="C173" s="2" t="s">
        <v>124</v>
      </c>
      <c r="D173" s="5" t="s">
        <v>10</v>
      </c>
      <c r="E173" s="2" t="s">
        <v>72</v>
      </c>
      <c r="F173" s="7">
        <v>5</v>
      </c>
    </row>
    <row r="174" spans="1:6" ht="26.5" thickBot="1" x14ac:dyDescent="0.4">
      <c r="A174" s="6">
        <v>43857</v>
      </c>
      <c r="B174" s="1">
        <v>43831</v>
      </c>
      <c r="C174" s="2" t="s">
        <v>124</v>
      </c>
      <c r="D174" s="5" t="s">
        <v>10</v>
      </c>
      <c r="E174" s="2" t="s">
        <v>72</v>
      </c>
      <c r="F174" s="7">
        <v>12</v>
      </c>
    </row>
    <row r="175" spans="1:6" ht="26.5" thickBot="1" x14ac:dyDescent="0.4">
      <c r="A175" s="6">
        <v>43857</v>
      </c>
      <c r="B175" s="1">
        <v>43831</v>
      </c>
      <c r="C175" s="2" t="s">
        <v>124</v>
      </c>
      <c r="D175" s="5" t="s">
        <v>10</v>
      </c>
      <c r="E175" s="2" t="s">
        <v>72</v>
      </c>
      <c r="F175" s="7">
        <v>8</v>
      </c>
    </row>
    <row r="176" spans="1:6" ht="15" thickBot="1" x14ac:dyDescent="0.4">
      <c r="A176" s="6">
        <v>43857</v>
      </c>
      <c r="B176" s="1">
        <v>43831</v>
      </c>
      <c r="C176" s="2" t="s">
        <v>30</v>
      </c>
      <c r="D176" s="5" t="s">
        <v>24</v>
      </c>
      <c r="E176" s="2" t="s">
        <v>20</v>
      </c>
      <c r="F176" s="7">
        <v>6</v>
      </c>
    </row>
    <row r="177" spans="1:6" ht="15" thickBot="1" x14ac:dyDescent="0.4">
      <c r="A177" s="6">
        <v>43857</v>
      </c>
      <c r="B177" s="1">
        <v>43831</v>
      </c>
      <c r="C177" s="2" t="s">
        <v>30</v>
      </c>
      <c r="D177" s="5" t="s">
        <v>7</v>
      </c>
      <c r="E177" s="2" t="s">
        <v>8</v>
      </c>
      <c r="F177" s="7">
        <v>2</v>
      </c>
    </row>
    <row r="178" spans="1:6" ht="15" thickBot="1" x14ac:dyDescent="0.4">
      <c r="A178" s="6">
        <v>43857</v>
      </c>
      <c r="B178" s="1">
        <v>43831</v>
      </c>
      <c r="C178" s="2" t="s">
        <v>30</v>
      </c>
      <c r="D178" s="5" t="s">
        <v>15</v>
      </c>
      <c r="E178" s="2" t="s">
        <v>55</v>
      </c>
      <c r="F178" s="7">
        <v>7</v>
      </c>
    </row>
    <row r="179" spans="1:6" ht="15" thickBot="1" x14ac:dyDescent="0.4">
      <c r="A179" s="6">
        <v>43875</v>
      </c>
      <c r="B179" s="1">
        <v>43862</v>
      </c>
      <c r="C179" s="2" t="s">
        <v>125</v>
      </c>
      <c r="D179" s="5" t="s">
        <v>24</v>
      </c>
      <c r="E179" s="2" t="s">
        <v>20</v>
      </c>
      <c r="F179" s="7">
        <v>6</v>
      </c>
    </row>
    <row r="180" spans="1:6" ht="15" thickBot="1" x14ac:dyDescent="0.4">
      <c r="A180" s="6">
        <v>43875</v>
      </c>
      <c r="B180" s="1">
        <v>43862</v>
      </c>
      <c r="C180" s="2" t="s">
        <v>125</v>
      </c>
      <c r="D180" s="5" t="s">
        <v>24</v>
      </c>
      <c r="E180" s="2" t="s">
        <v>20</v>
      </c>
      <c r="F180" s="7">
        <v>7</v>
      </c>
    </row>
    <row r="181" spans="1:6" ht="15" thickBot="1" x14ac:dyDescent="0.4">
      <c r="A181" s="6">
        <v>43875</v>
      </c>
      <c r="B181" s="1">
        <v>43862</v>
      </c>
      <c r="C181" s="2" t="s">
        <v>125</v>
      </c>
      <c r="D181" s="5" t="s">
        <v>24</v>
      </c>
      <c r="E181" s="2" t="s">
        <v>20</v>
      </c>
      <c r="F181" s="7">
        <v>1</v>
      </c>
    </row>
    <row r="182" spans="1:6" ht="15" thickBot="1" x14ac:dyDescent="0.4">
      <c r="A182" s="6">
        <v>43875</v>
      </c>
      <c r="B182" s="1">
        <v>43862</v>
      </c>
      <c r="C182" s="2" t="s">
        <v>125</v>
      </c>
      <c r="D182" s="5" t="s">
        <v>24</v>
      </c>
      <c r="E182" s="2" t="s">
        <v>20</v>
      </c>
      <c r="F182" s="7">
        <v>1</v>
      </c>
    </row>
    <row r="183" spans="1:6" ht="15" thickBot="1" x14ac:dyDescent="0.4">
      <c r="A183" s="6">
        <v>43875</v>
      </c>
      <c r="B183" s="1">
        <v>43862</v>
      </c>
      <c r="C183" s="2" t="s">
        <v>125</v>
      </c>
      <c r="D183" s="5" t="s">
        <v>24</v>
      </c>
      <c r="E183" s="2" t="s">
        <v>20</v>
      </c>
      <c r="F183" s="7">
        <v>16</v>
      </c>
    </row>
    <row r="184" spans="1:6" ht="26.5" thickBot="1" x14ac:dyDescent="0.4">
      <c r="A184" s="6">
        <v>43926</v>
      </c>
      <c r="B184" s="1">
        <v>43922</v>
      </c>
      <c r="C184" s="2" t="s">
        <v>126</v>
      </c>
      <c r="D184" s="5" t="s">
        <v>15</v>
      </c>
      <c r="E184" s="2" t="s">
        <v>127</v>
      </c>
      <c r="F184" s="7">
        <v>9</v>
      </c>
    </row>
    <row r="185" spans="1:6" ht="26.5" thickBot="1" x14ac:dyDescent="0.4">
      <c r="A185" s="6">
        <v>43926</v>
      </c>
      <c r="B185" s="1">
        <v>43922</v>
      </c>
      <c r="C185" s="2" t="s">
        <v>126</v>
      </c>
      <c r="D185" s="5" t="s">
        <v>15</v>
      </c>
      <c r="E185" s="2" t="s">
        <v>127</v>
      </c>
      <c r="F185" s="7">
        <v>19</v>
      </c>
    </row>
    <row r="186" spans="1:6" ht="26.5" thickBot="1" x14ac:dyDescent="0.4">
      <c r="A186" s="6">
        <v>43926</v>
      </c>
      <c r="B186" s="1">
        <v>43922</v>
      </c>
      <c r="C186" s="2" t="s">
        <v>126</v>
      </c>
      <c r="D186" s="5" t="s">
        <v>15</v>
      </c>
      <c r="E186" s="2" t="s">
        <v>127</v>
      </c>
      <c r="F186" s="7">
        <v>19</v>
      </c>
    </row>
    <row r="187" spans="1:6" ht="26.5" thickBot="1" x14ac:dyDescent="0.4">
      <c r="A187" s="6">
        <v>43926</v>
      </c>
      <c r="B187" s="1">
        <v>43922</v>
      </c>
      <c r="C187" s="2" t="s">
        <v>126</v>
      </c>
      <c r="D187" s="5" t="s">
        <v>15</v>
      </c>
      <c r="E187" s="2" t="s">
        <v>127</v>
      </c>
      <c r="F187" s="7">
        <v>2</v>
      </c>
    </row>
    <row r="188" spans="1:6" ht="26.5" thickBot="1" x14ac:dyDescent="0.4">
      <c r="A188" s="6">
        <v>43926</v>
      </c>
      <c r="B188" s="1">
        <v>43922</v>
      </c>
      <c r="C188" s="2" t="s">
        <v>126</v>
      </c>
      <c r="D188" s="5" t="s">
        <v>10</v>
      </c>
      <c r="E188" s="2" t="s">
        <v>82</v>
      </c>
      <c r="F188" s="7">
        <v>17</v>
      </c>
    </row>
    <row r="189" spans="1:6" ht="15" thickBot="1" x14ac:dyDescent="0.4">
      <c r="A189" s="6">
        <v>43941</v>
      </c>
      <c r="B189" s="1">
        <v>43922</v>
      </c>
      <c r="C189" s="2" t="s">
        <v>128</v>
      </c>
      <c r="D189" s="5" t="s">
        <v>24</v>
      </c>
      <c r="E189" s="2" t="s">
        <v>82</v>
      </c>
      <c r="F189" s="7">
        <v>12</v>
      </c>
    </row>
    <row r="190" spans="1:6" ht="15" thickBot="1" x14ac:dyDescent="0.4">
      <c r="A190" s="6">
        <v>43946</v>
      </c>
      <c r="B190" s="1">
        <v>43922</v>
      </c>
      <c r="C190" s="2" t="s">
        <v>129</v>
      </c>
      <c r="D190" s="5" t="s">
        <v>10</v>
      </c>
      <c r="E190" s="2" t="s">
        <v>130</v>
      </c>
      <c r="F190" s="7">
        <v>19</v>
      </c>
    </row>
    <row r="191" spans="1:6" ht="15" thickBot="1" x14ac:dyDescent="0.4">
      <c r="A191" s="6">
        <v>43952</v>
      </c>
      <c r="B191" s="1">
        <v>43952</v>
      </c>
      <c r="C191" s="2" t="s">
        <v>131</v>
      </c>
      <c r="D191" s="5" t="s">
        <v>7</v>
      </c>
      <c r="E191" s="2" t="s">
        <v>132</v>
      </c>
      <c r="F191" s="7">
        <v>20</v>
      </c>
    </row>
    <row r="192" spans="1:6" ht="15" thickBot="1" x14ac:dyDescent="0.4">
      <c r="A192" s="6">
        <v>43970</v>
      </c>
      <c r="B192" s="1">
        <v>43952</v>
      </c>
      <c r="C192" s="2" t="s">
        <v>133</v>
      </c>
      <c r="D192" s="5" t="s">
        <v>10</v>
      </c>
      <c r="E192" s="2" t="s">
        <v>134</v>
      </c>
      <c r="F192" s="7">
        <v>2</v>
      </c>
    </row>
    <row r="193" spans="1:6" ht="15" thickBot="1" x14ac:dyDescent="0.4">
      <c r="A193" s="6">
        <v>43970</v>
      </c>
      <c r="B193" s="1">
        <v>43952</v>
      </c>
      <c r="C193" s="2" t="s">
        <v>133</v>
      </c>
      <c r="D193" s="5" t="s">
        <v>10</v>
      </c>
      <c r="E193" s="2" t="s">
        <v>134</v>
      </c>
      <c r="F193" s="7">
        <v>9</v>
      </c>
    </row>
    <row r="194" spans="1:6" ht="15" thickBot="1" x14ac:dyDescent="0.4">
      <c r="A194" s="6">
        <v>43970</v>
      </c>
      <c r="B194" s="1">
        <v>43952</v>
      </c>
      <c r="C194" s="2" t="s">
        <v>133</v>
      </c>
      <c r="D194" s="5" t="s">
        <v>10</v>
      </c>
      <c r="E194" s="2" t="s">
        <v>134</v>
      </c>
      <c r="F194" s="7">
        <v>12</v>
      </c>
    </row>
    <row r="195" spans="1:6" ht="15" thickBot="1" x14ac:dyDescent="0.4">
      <c r="A195" s="6">
        <v>43970</v>
      </c>
      <c r="B195" s="1">
        <v>43952</v>
      </c>
      <c r="C195" s="2" t="s">
        <v>133</v>
      </c>
      <c r="D195" s="5" t="s">
        <v>10</v>
      </c>
      <c r="E195" s="2" t="s">
        <v>134</v>
      </c>
      <c r="F195" s="7">
        <v>12</v>
      </c>
    </row>
    <row r="196" spans="1:6" ht="15" thickBot="1" x14ac:dyDescent="0.4">
      <c r="A196" s="6">
        <v>43970</v>
      </c>
      <c r="B196" s="1">
        <v>43952</v>
      </c>
      <c r="C196" s="2" t="s">
        <v>133</v>
      </c>
      <c r="D196" s="5" t="s">
        <v>10</v>
      </c>
      <c r="E196" s="2" t="s">
        <v>134</v>
      </c>
      <c r="F196" s="7">
        <v>14</v>
      </c>
    </row>
    <row r="197" spans="1:6" ht="15" thickBot="1" x14ac:dyDescent="0.4">
      <c r="A197" s="6">
        <v>44018</v>
      </c>
      <c r="B197" s="1">
        <v>44013</v>
      </c>
      <c r="C197" s="2" t="s">
        <v>135</v>
      </c>
      <c r="D197" s="5" t="s">
        <v>15</v>
      </c>
      <c r="E197" s="2" t="s">
        <v>136</v>
      </c>
      <c r="F197" s="7">
        <v>18</v>
      </c>
    </row>
    <row r="198" spans="1:6" ht="15" thickBot="1" x14ac:dyDescent="0.4">
      <c r="A198" s="6">
        <v>44046</v>
      </c>
      <c r="B198" s="1">
        <v>44044</v>
      </c>
      <c r="C198" s="2" t="s">
        <v>137</v>
      </c>
      <c r="D198" s="5" t="s">
        <v>31</v>
      </c>
      <c r="E198" s="2" t="s">
        <v>138</v>
      </c>
      <c r="F198" s="7">
        <v>17</v>
      </c>
    </row>
    <row r="199" spans="1:6" ht="26.5" thickBot="1" x14ac:dyDescent="0.4">
      <c r="A199" s="6">
        <v>44053</v>
      </c>
      <c r="B199" s="1">
        <v>44044</v>
      </c>
      <c r="C199" s="2" t="s">
        <v>139</v>
      </c>
      <c r="D199" s="5" t="s">
        <v>24</v>
      </c>
      <c r="E199" s="2" t="s">
        <v>33</v>
      </c>
      <c r="F199" s="7">
        <v>16</v>
      </c>
    </row>
    <row r="200" spans="1:6" ht="26.5" thickBot="1" x14ac:dyDescent="0.4">
      <c r="A200" s="6">
        <v>44053</v>
      </c>
      <c r="B200" s="1">
        <v>44044</v>
      </c>
      <c r="C200" s="2" t="s">
        <v>139</v>
      </c>
      <c r="D200" s="5" t="s">
        <v>24</v>
      </c>
      <c r="E200" s="2" t="s">
        <v>33</v>
      </c>
      <c r="F200" s="7">
        <v>13</v>
      </c>
    </row>
    <row r="201" spans="1:6" ht="26.5" thickBot="1" x14ac:dyDescent="0.4">
      <c r="A201" s="6">
        <v>44053</v>
      </c>
      <c r="B201" s="1">
        <v>44044</v>
      </c>
      <c r="C201" s="2" t="s">
        <v>139</v>
      </c>
      <c r="D201" s="5" t="s">
        <v>24</v>
      </c>
      <c r="E201" s="2" t="s">
        <v>33</v>
      </c>
      <c r="F201" s="7">
        <v>15</v>
      </c>
    </row>
    <row r="202" spans="1:6" ht="26.5" thickBot="1" x14ac:dyDescent="0.4">
      <c r="A202" s="6">
        <v>44053</v>
      </c>
      <c r="B202" s="1">
        <v>44044</v>
      </c>
      <c r="C202" s="2" t="s">
        <v>139</v>
      </c>
      <c r="D202" s="5" t="s">
        <v>24</v>
      </c>
      <c r="E202" s="2" t="s">
        <v>33</v>
      </c>
      <c r="F202" s="7">
        <v>15</v>
      </c>
    </row>
    <row r="203" spans="1:6" ht="26.5" thickBot="1" x14ac:dyDescent="0.4">
      <c r="A203" s="6">
        <v>44053</v>
      </c>
      <c r="B203" s="1">
        <v>44044</v>
      </c>
      <c r="C203" s="2" t="s">
        <v>139</v>
      </c>
      <c r="D203" s="5" t="s">
        <v>24</v>
      </c>
      <c r="E203" s="2" t="s">
        <v>33</v>
      </c>
      <c r="F203" s="7">
        <v>8</v>
      </c>
    </row>
    <row r="204" spans="1:6" ht="15" thickBot="1" x14ac:dyDescent="0.4">
      <c r="A204" s="6">
        <v>44065</v>
      </c>
      <c r="B204" s="1">
        <v>44044</v>
      </c>
      <c r="C204" s="2" t="s">
        <v>140</v>
      </c>
      <c r="D204" s="5" t="s">
        <v>15</v>
      </c>
      <c r="E204" s="2" t="s">
        <v>141</v>
      </c>
      <c r="F204" s="7">
        <v>6</v>
      </c>
    </row>
    <row r="205" spans="1:6" ht="15" thickBot="1" x14ac:dyDescent="0.4">
      <c r="A205" s="6">
        <v>44086</v>
      </c>
      <c r="B205" s="4" t="s">
        <v>142</v>
      </c>
      <c r="C205" s="2" t="s">
        <v>143</v>
      </c>
      <c r="D205" s="5" t="s">
        <v>10</v>
      </c>
      <c r="E205" s="2" t="s">
        <v>44</v>
      </c>
      <c r="F205" s="7">
        <v>6</v>
      </c>
    </row>
    <row r="206" spans="1:6" ht="15" thickBot="1" x14ac:dyDescent="0.4">
      <c r="A206" s="6">
        <v>44086</v>
      </c>
      <c r="B206" s="4" t="s">
        <v>142</v>
      </c>
      <c r="C206" s="2" t="s">
        <v>30</v>
      </c>
      <c r="D206" s="5" t="s">
        <v>15</v>
      </c>
      <c r="E206" s="2" t="s">
        <v>22</v>
      </c>
      <c r="F206" s="7">
        <v>20</v>
      </c>
    </row>
    <row r="207" spans="1:6" ht="15" thickBot="1" x14ac:dyDescent="0.4">
      <c r="A207" s="6">
        <v>44086</v>
      </c>
      <c r="B207" s="4" t="s">
        <v>142</v>
      </c>
      <c r="C207" s="2" t="s">
        <v>30</v>
      </c>
      <c r="D207" s="5" t="s">
        <v>15</v>
      </c>
      <c r="E207" s="2" t="s">
        <v>22</v>
      </c>
      <c r="F207" s="7">
        <v>4</v>
      </c>
    </row>
    <row r="208" spans="1:6" ht="15" thickBot="1" x14ac:dyDescent="0.4">
      <c r="A208" s="6">
        <v>44086</v>
      </c>
      <c r="B208" s="4" t="s">
        <v>142</v>
      </c>
      <c r="C208" s="2" t="s">
        <v>30</v>
      </c>
      <c r="D208" s="5" t="s">
        <v>15</v>
      </c>
      <c r="E208" s="2" t="s">
        <v>8</v>
      </c>
      <c r="F208" s="7">
        <v>2</v>
      </c>
    </row>
    <row r="209" spans="1:6" ht="15" thickBot="1" x14ac:dyDescent="0.4">
      <c r="A209" s="6">
        <v>44086</v>
      </c>
      <c r="B209" s="4" t="s">
        <v>142</v>
      </c>
      <c r="C209" s="2" t="s">
        <v>30</v>
      </c>
      <c r="D209" s="5" t="s">
        <v>31</v>
      </c>
      <c r="E209" s="2" t="s">
        <v>37</v>
      </c>
      <c r="F209" s="7">
        <v>12</v>
      </c>
    </row>
    <row r="210" spans="1:6" ht="26.5" thickBot="1" x14ac:dyDescent="0.4">
      <c r="A210" s="6">
        <v>44091</v>
      </c>
      <c r="B210" s="4" t="s">
        <v>142</v>
      </c>
      <c r="C210" s="2" t="s">
        <v>144</v>
      </c>
      <c r="D210" s="5" t="s">
        <v>15</v>
      </c>
      <c r="E210" s="2" t="s">
        <v>18</v>
      </c>
      <c r="F210" s="7">
        <v>8</v>
      </c>
    </row>
    <row r="211" spans="1:6" ht="26.5" thickBot="1" x14ac:dyDescent="0.4">
      <c r="A211" s="6">
        <v>44091</v>
      </c>
      <c r="B211" s="4" t="s">
        <v>142</v>
      </c>
      <c r="C211" s="2" t="s">
        <v>144</v>
      </c>
      <c r="D211" s="5" t="s">
        <v>15</v>
      </c>
      <c r="E211" s="2" t="s">
        <v>18</v>
      </c>
      <c r="F211" s="7">
        <v>1</v>
      </c>
    </row>
    <row r="212" spans="1:6" ht="26.5" thickBot="1" x14ac:dyDescent="0.4">
      <c r="A212" s="6">
        <v>44091</v>
      </c>
      <c r="B212" s="4" t="s">
        <v>142</v>
      </c>
      <c r="C212" s="2" t="s">
        <v>144</v>
      </c>
      <c r="D212" s="5" t="s">
        <v>15</v>
      </c>
      <c r="E212" s="2" t="s">
        <v>18</v>
      </c>
      <c r="F212" s="7">
        <v>13</v>
      </c>
    </row>
    <row r="213" spans="1:6" ht="26.5" thickBot="1" x14ac:dyDescent="0.4">
      <c r="A213" s="6">
        <v>44091</v>
      </c>
      <c r="B213" s="4" t="s">
        <v>142</v>
      </c>
      <c r="C213" s="2" t="s">
        <v>144</v>
      </c>
      <c r="D213" s="5" t="s">
        <v>15</v>
      </c>
      <c r="E213" s="2" t="s">
        <v>18</v>
      </c>
      <c r="F213" s="7">
        <v>7</v>
      </c>
    </row>
    <row r="214" spans="1:6" ht="26.5" thickBot="1" x14ac:dyDescent="0.4">
      <c r="A214" s="6">
        <v>44091</v>
      </c>
      <c r="B214" s="4" t="s">
        <v>142</v>
      </c>
      <c r="C214" s="2" t="s">
        <v>144</v>
      </c>
      <c r="D214" s="5" t="s">
        <v>15</v>
      </c>
      <c r="E214" s="2" t="s">
        <v>18</v>
      </c>
      <c r="F214" s="7">
        <v>1</v>
      </c>
    </row>
    <row r="215" spans="1:6" ht="15" thickBot="1" x14ac:dyDescent="0.4">
      <c r="A215" s="6">
        <v>44108</v>
      </c>
      <c r="B215" s="1">
        <v>44105</v>
      </c>
      <c r="C215" s="2" t="s">
        <v>145</v>
      </c>
      <c r="D215" s="5" t="s">
        <v>24</v>
      </c>
      <c r="E215" s="2" t="s">
        <v>146</v>
      </c>
      <c r="F215" s="7">
        <v>11</v>
      </c>
    </row>
    <row r="216" spans="1:6" ht="15" thickBot="1" x14ac:dyDescent="0.4">
      <c r="A216" s="6">
        <v>44119</v>
      </c>
      <c r="B216" s="1">
        <v>44105</v>
      </c>
      <c r="C216" s="2" t="s">
        <v>147</v>
      </c>
      <c r="D216" s="5" t="s">
        <v>15</v>
      </c>
      <c r="E216" s="2" t="s">
        <v>35</v>
      </c>
      <c r="F216" s="7">
        <v>1</v>
      </c>
    </row>
    <row r="217" spans="1:6" ht="15" thickBot="1" x14ac:dyDescent="0.4">
      <c r="A217" s="6">
        <v>44119</v>
      </c>
      <c r="B217" s="1">
        <v>44105</v>
      </c>
      <c r="C217" s="2" t="s">
        <v>147</v>
      </c>
      <c r="D217" s="5" t="s">
        <v>15</v>
      </c>
      <c r="E217" s="2" t="s">
        <v>35</v>
      </c>
      <c r="F217" s="7">
        <v>13</v>
      </c>
    </row>
    <row r="218" spans="1:6" ht="15" thickBot="1" x14ac:dyDescent="0.4">
      <c r="A218" s="6">
        <v>44119</v>
      </c>
      <c r="B218" s="1">
        <v>44105</v>
      </c>
      <c r="C218" s="2" t="s">
        <v>147</v>
      </c>
      <c r="D218" s="5" t="s">
        <v>15</v>
      </c>
      <c r="E218" s="2" t="s">
        <v>35</v>
      </c>
      <c r="F218" s="7">
        <v>9</v>
      </c>
    </row>
    <row r="219" spans="1:6" ht="15" thickBot="1" x14ac:dyDescent="0.4">
      <c r="A219" s="6">
        <v>44119</v>
      </c>
      <c r="B219" s="1">
        <v>44105</v>
      </c>
      <c r="C219" s="2" t="s">
        <v>30</v>
      </c>
      <c r="D219" s="5" t="s">
        <v>15</v>
      </c>
      <c r="E219" s="2" t="s">
        <v>8</v>
      </c>
      <c r="F219" s="7">
        <v>7</v>
      </c>
    </row>
    <row r="220" spans="1:6" ht="15" thickBot="1" x14ac:dyDescent="0.4">
      <c r="A220" s="6">
        <v>44119</v>
      </c>
      <c r="B220" s="1">
        <v>44105</v>
      </c>
      <c r="C220" s="2" t="s">
        <v>30</v>
      </c>
      <c r="D220" s="5" t="s">
        <v>15</v>
      </c>
      <c r="E220" s="2" t="s">
        <v>55</v>
      </c>
      <c r="F220" s="7">
        <v>11</v>
      </c>
    </row>
    <row r="221" spans="1:6" ht="15" thickBot="1" x14ac:dyDescent="0.4">
      <c r="A221" s="6">
        <v>44119</v>
      </c>
      <c r="B221" s="1">
        <v>44105</v>
      </c>
      <c r="C221" s="2" t="s">
        <v>30</v>
      </c>
      <c r="D221" s="5" t="s">
        <v>15</v>
      </c>
      <c r="E221" s="2" t="s">
        <v>47</v>
      </c>
      <c r="F221" s="7">
        <v>12</v>
      </c>
    </row>
    <row r="222" spans="1:6" ht="15" thickBot="1" x14ac:dyDescent="0.4">
      <c r="A222" s="6">
        <v>44142</v>
      </c>
      <c r="B222" s="1">
        <v>44136</v>
      </c>
      <c r="C222" s="2" t="s">
        <v>148</v>
      </c>
      <c r="D222" s="5" t="s">
        <v>15</v>
      </c>
      <c r="E222" s="2" t="s">
        <v>134</v>
      </c>
      <c r="F222" s="7">
        <v>11</v>
      </c>
    </row>
    <row r="223" spans="1:6" ht="15" thickBot="1" x14ac:dyDescent="0.4">
      <c r="A223" s="6">
        <v>44142</v>
      </c>
      <c r="B223" s="1">
        <v>44136</v>
      </c>
      <c r="C223" s="2" t="s">
        <v>148</v>
      </c>
      <c r="D223" s="5" t="s">
        <v>15</v>
      </c>
      <c r="E223" s="2" t="s">
        <v>134</v>
      </c>
      <c r="F223" s="7">
        <v>11</v>
      </c>
    </row>
    <row r="224" spans="1:6" ht="15" thickBot="1" x14ac:dyDescent="0.4">
      <c r="A224" s="6">
        <v>44142</v>
      </c>
      <c r="B224" s="1">
        <v>44136</v>
      </c>
      <c r="C224" s="2" t="s">
        <v>148</v>
      </c>
      <c r="D224" s="5" t="s">
        <v>15</v>
      </c>
      <c r="E224" s="2" t="s">
        <v>134</v>
      </c>
      <c r="F224" s="7">
        <v>12</v>
      </c>
    </row>
    <row r="225" spans="1:6" ht="15" thickBot="1" x14ac:dyDescent="0.4">
      <c r="A225" s="6">
        <v>44180</v>
      </c>
      <c r="B225" s="1">
        <v>44166</v>
      </c>
      <c r="C225" s="2" t="s">
        <v>149</v>
      </c>
      <c r="D225" s="5" t="s">
        <v>24</v>
      </c>
      <c r="E225" s="2" t="s">
        <v>56</v>
      </c>
      <c r="F225" s="7">
        <v>8</v>
      </c>
    </row>
    <row r="226" spans="1:6" ht="26.5" thickBot="1" x14ac:dyDescent="0.4">
      <c r="A226" s="6">
        <v>44182</v>
      </c>
      <c r="B226" s="1">
        <v>44166</v>
      </c>
      <c r="C226" s="2" t="s">
        <v>150</v>
      </c>
      <c r="D226" s="5" t="s">
        <v>10</v>
      </c>
      <c r="E226" s="2" t="s">
        <v>151</v>
      </c>
      <c r="F226" s="7">
        <v>20</v>
      </c>
    </row>
    <row r="227" spans="1:6" ht="15" thickBot="1" x14ac:dyDescent="0.4">
      <c r="A227" s="6">
        <v>44192</v>
      </c>
      <c r="B227" s="1">
        <v>44166</v>
      </c>
      <c r="C227" s="2" t="s">
        <v>152</v>
      </c>
      <c r="D227" s="5" t="s">
        <v>7</v>
      </c>
      <c r="E227" s="2" t="s">
        <v>11</v>
      </c>
      <c r="F227" s="7">
        <v>18</v>
      </c>
    </row>
    <row r="228" spans="1:6" ht="15" thickBot="1" x14ac:dyDescent="0.4">
      <c r="A228" s="6">
        <v>44192</v>
      </c>
      <c r="B228" s="1">
        <v>44166</v>
      </c>
      <c r="C228" s="2" t="s">
        <v>152</v>
      </c>
      <c r="D228" s="5" t="s">
        <v>7</v>
      </c>
      <c r="E228" s="2" t="s">
        <v>11</v>
      </c>
      <c r="F228" s="7">
        <v>1</v>
      </c>
    </row>
    <row r="229" spans="1:6" ht="15" thickBot="1" x14ac:dyDescent="0.4">
      <c r="A229" s="6">
        <v>44192</v>
      </c>
      <c r="B229" s="1">
        <v>44166</v>
      </c>
      <c r="C229" s="2" t="s">
        <v>152</v>
      </c>
      <c r="D229" s="5" t="s">
        <v>7</v>
      </c>
      <c r="E229" s="2" t="s">
        <v>11</v>
      </c>
      <c r="F229" s="7">
        <v>4</v>
      </c>
    </row>
    <row r="230" spans="1:6" ht="15" thickBot="1" x14ac:dyDescent="0.4">
      <c r="A230" s="6">
        <v>44192</v>
      </c>
      <c r="B230" s="1">
        <v>44166</v>
      </c>
      <c r="C230" s="2" t="s">
        <v>30</v>
      </c>
      <c r="D230" s="5" t="s">
        <v>31</v>
      </c>
      <c r="E230" s="2" t="s">
        <v>54</v>
      </c>
      <c r="F230" s="7">
        <v>14</v>
      </c>
    </row>
    <row r="231" spans="1:6" ht="15" thickBot="1" x14ac:dyDescent="0.4">
      <c r="A231" s="6">
        <v>44192</v>
      </c>
      <c r="B231" s="1">
        <v>44166</v>
      </c>
      <c r="C231" s="2" t="s">
        <v>30</v>
      </c>
      <c r="D231" s="5" t="s">
        <v>15</v>
      </c>
      <c r="E231" s="2" t="s">
        <v>55</v>
      </c>
      <c r="F231" s="7">
        <v>6</v>
      </c>
    </row>
    <row r="232" spans="1:6" ht="15" thickBot="1" x14ac:dyDescent="0.4">
      <c r="A232" s="6">
        <v>44192</v>
      </c>
      <c r="B232" s="1">
        <v>44166</v>
      </c>
      <c r="C232" s="2" t="s">
        <v>30</v>
      </c>
      <c r="D232" s="5" t="s">
        <v>24</v>
      </c>
      <c r="E232" s="2" t="s">
        <v>20</v>
      </c>
      <c r="F232" s="7">
        <v>5</v>
      </c>
    </row>
    <row r="233" spans="1:6" ht="15" thickBot="1" x14ac:dyDescent="0.4">
      <c r="A233" s="6">
        <v>43338</v>
      </c>
      <c r="B233" s="1">
        <v>43313</v>
      </c>
      <c r="C233" s="2" t="s">
        <v>153</v>
      </c>
      <c r="D233" s="5" t="s">
        <v>15</v>
      </c>
      <c r="E233" s="2" t="s">
        <v>48</v>
      </c>
      <c r="F233" s="7">
        <v>5</v>
      </c>
    </row>
    <row r="234" spans="1:6" ht="15" thickBot="1" x14ac:dyDescent="0.4">
      <c r="A234" s="6">
        <v>43355</v>
      </c>
      <c r="B234" s="4" t="s">
        <v>38</v>
      </c>
      <c r="C234" s="2" t="s">
        <v>153</v>
      </c>
      <c r="D234" s="5" t="s">
        <v>15</v>
      </c>
      <c r="E234" s="2" t="s">
        <v>48</v>
      </c>
      <c r="F234" s="7">
        <v>8</v>
      </c>
    </row>
    <row r="235" spans="1:6" ht="15" thickBot="1" x14ac:dyDescent="0.4">
      <c r="A235" s="6">
        <v>43369</v>
      </c>
      <c r="B235" s="4" t="s">
        <v>38</v>
      </c>
      <c r="C235" s="2" t="s">
        <v>153</v>
      </c>
      <c r="D235" s="5" t="s">
        <v>15</v>
      </c>
      <c r="E235" s="2" t="s">
        <v>48</v>
      </c>
      <c r="F235" s="7">
        <v>2</v>
      </c>
    </row>
    <row r="236" spans="1:6" ht="15" thickBot="1" x14ac:dyDescent="0.4">
      <c r="A236" s="6">
        <v>43369</v>
      </c>
      <c r="B236" s="4" t="s">
        <v>38</v>
      </c>
      <c r="C236" s="2" t="s">
        <v>153</v>
      </c>
      <c r="D236" s="5" t="s">
        <v>15</v>
      </c>
      <c r="E236" s="2" t="s">
        <v>48</v>
      </c>
      <c r="F236" s="7">
        <v>2</v>
      </c>
    </row>
    <row r="237" spans="1:6" ht="15" thickBot="1" x14ac:dyDescent="0.4">
      <c r="A237" s="6">
        <v>43369</v>
      </c>
      <c r="B237" s="4" t="s">
        <v>38</v>
      </c>
      <c r="C237" s="2" t="s">
        <v>153</v>
      </c>
      <c r="D237" s="5" t="s">
        <v>15</v>
      </c>
      <c r="E237" s="2" t="s">
        <v>48</v>
      </c>
      <c r="F237" s="7">
        <v>20</v>
      </c>
    </row>
    <row r="238" spans="1:6" ht="15" thickBot="1" x14ac:dyDescent="0.4">
      <c r="A238" s="6">
        <v>43369</v>
      </c>
      <c r="B238" s="4" t="s">
        <v>38</v>
      </c>
      <c r="C238" s="2" t="s">
        <v>154</v>
      </c>
      <c r="D238" s="5" t="s">
        <v>31</v>
      </c>
      <c r="E238" s="2" t="s">
        <v>82</v>
      </c>
      <c r="F238" s="7">
        <v>13</v>
      </c>
    </row>
    <row r="239" spans="1:6" ht="15" thickBot="1" x14ac:dyDescent="0.4">
      <c r="A239" s="6">
        <v>43369</v>
      </c>
      <c r="B239" s="4" t="s">
        <v>38</v>
      </c>
      <c r="C239" s="2" t="s">
        <v>154</v>
      </c>
      <c r="D239" s="5" t="s">
        <v>31</v>
      </c>
      <c r="E239" s="2" t="s">
        <v>82</v>
      </c>
      <c r="F239" s="7">
        <v>8</v>
      </c>
    </row>
    <row r="240" spans="1:6" ht="15" thickBot="1" x14ac:dyDescent="0.4">
      <c r="A240" s="6">
        <v>43369</v>
      </c>
      <c r="B240" s="4" t="s">
        <v>38</v>
      </c>
      <c r="C240" s="2" t="s">
        <v>154</v>
      </c>
      <c r="D240" s="5" t="s">
        <v>31</v>
      </c>
      <c r="E240" s="2" t="s">
        <v>82</v>
      </c>
      <c r="F240" s="7">
        <v>15</v>
      </c>
    </row>
    <row r="241" spans="1:6" ht="15" thickBot="1" x14ac:dyDescent="0.4">
      <c r="A241" s="6">
        <v>43374</v>
      </c>
      <c r="B241" s="1">
        <v>43374</v>
      </c>
      <c r="C241" s="2" t="s">
        <v>30</v>
      </c>
      <c r="D241" s="5" t="s">
        <v>15</v>
      </c>
      <c r="E241" s="2" t="s">
        <v>66</v>
      </c>
      <c r="F241" s="7">
        <v>16</v>
      </c>
    </row>
    <row r="242" spans="1:6" ht="15" thickBot="1" x14ac:dyDescent="0.4">
      <c r="A242" s="6">
        <v>43374</v>
      </c>
      <c r="B242" s="1">
        <v>43374</v>
      </c>
      <c r="C242" s="2" t="s">
        <v>30</v>
      </c>
      <c r="D242" s="5" t="s">
        <v>15</v>
      </c>
      <c r="E242" s="2" t="s">
        <v>55</v>
      </c>
      <c r="F242" s="7">
        <v>19</v>
      </c>
    </row>
    <row r="243" spans="1:6" ht="15" thickBot="1" x14ac:dyDescent="0.4">
      <c r="A243" s="6">
        <v>43374</v>
      </c>
      <c r="B243" s="1">
        <v>43374</v>
      </c>
      <c r="C243" s="2" t="s">
        <v>30</v>
      </c>
      <c r="D243" s="5" t="s">
        <v>15</v>
      </c>
      <c r="E243" s="2" t="s">
        <v>22</v>
      </c>
      <c r="F243" s="7">
        <v>1</v>
      </c>
    </row>
    <row r="244" spans="1:6" ht="15" thickBot="1" x14ac:dyDescent="0.4">
      <c r="A244" s="6">
        <v>43374</v>
      </c>
      <c r="B244" s="1">
        <v>43374</v>
      </c>
      <c r="C244" s="2" t="s">
        <v>30</v>
      </c>
      <c r="D244" s="5" t="s">
        <v>31</v>
      </c>
      <c r="E244" s="2" t="s">
        <v>54</v>
      </c>
      <c r="F244" s="7">
        <v>18</v>
      </c>
    </row>
    <row r="245" spans="1:6" ht="15" thickBot="1" x14ac:dyDescent="0.4">
      <c r="A245" s="6">
        <v>43374</v>
      </c>
      <c r="B245" s="1">
        <v>43374</v>
      </c>
      <c r="C245" s="2" t="s">
        <v>155</v>
      </c>
      <c r="D245" s="5" t="s">
        <v>7</v>
      </c>
      <c r="E245" s="2" t="s">
        <v>156</v>
      </c>
      <c r="F245" s="7">
        <v>19</v>
      </c>
    </row>
    <row r="246" spans="1:6" ht="15" thickBot="1" x14ac:dyDescent="0.4">
      <c r="A246" s="6">
        <v>43378</v>
      </c>
      <c r="B246" s="1">
        <v>43374</v>
      </c>
      <c r="C246" s="2" t="s">
        <v>155</v>
      </c>
      <c r="D246" s="5" t="s">
        <v>7</v>
      </c>
      <c r="E246" s="2" t="s">
        <v>156</v>
      </c>
      <c r="F246" s="7">
        <v>5</v>
      </c>
    </row>
    <row r="247" spans="1:6" ht="15" thickBot="1" x14ac:dyDescent="0.4">
      <c r="A247" s="6">
        <v>43378</v>
      </c>
      <c r="B247" s="1">
        <v>43374</v>
      </c>
      <c r="C247" s="2" t="s">
        <v>155</v>
      </c>
      <c r="D247" s="5" t="s">
        <v>7</v>
      </c>
      <c r="E247" s="2" t="s">
        <v>156</v>
      </c>
      <c r="F247" s="7">
        <v>12</v>
      </c>
    </row>
    <row r="248" spans="1:6" ht="15" thickBot="1" x14ac:dyDescent="0.4">
      <c r="A248" s="6">
        <v>43378</v>
      </c>
      <c r="B248" s="1">
        <v>43374</v>
      </c>
      <c r="C248" s="2" t="s">
        <v>155</v>
      </c>
      <c r="D248" s="5" t="s">
        <v>7</v>
      </c>
      <c r="E248" s="2" t="s">
        <v>156</v>
      </c>
      <c r="F248" s="7">
        <v>7</v>
      </c>
    </row>
    <row r="249" spans="1:6" ht="15" thickBot="1" x14ac:dyDescent="0.4">
      <c r="A249" s="6">
        <v>43378</v>
      </c>
      <c r="B249" s="1">
        <v>43374</v>
      </c>
      <c r="C249" s="2" t="s">
        <v>155</v>
      </c>
      <c r="D249" s="5" t="s">
        <v>7</v>
      </c>
      <c r="E249" s="2" t="s">
        <v>156</v>
      </c>
      <c r="F249" s="7">
        <v>5</v>
      </c>
    </row>
    <row r="250" spans="1:6" ht="15" thickBot="1" x14ac:dyDescent="0.4">
      <c r="A250" s="6">
        <v>43378</v>
      </c>
      <c r="B250" s="1">
        <v>43374</v>
      </c>
      <c r="C250" s="2" t="s">
        <v>157</v>
      </c>
      <c r="D250" s="5" t="s">
        <v>15</v>
      </c>
      <c r="E250" s="2" t="s">
        <v>22</v>
      </c>
      <c r="F250" s="7">
        <v>7</v>
      </c>
    </row>
    <row r="251" spans="1:6" ht="15" thickBot="1" x14ac:dyDescent="0.4">
      <c r="A251" s="6">
        <v>43428</v>
      </c>
      <c r="B251" s="1">
        <v>43405</v>
      </c>
      <c r="C251" s="2" t="s">
        <v>157</v>
      </c>
      <c r="D251" s="5" t="s">
        <v>15</v>
      </c>
      <c r="E251" s="2" t="s">
        <v>22</v>
      </c>
      <c r="F251" s="7">
        <v>16</v>
      </c>
    </row>
    <row r="252" spans="1:6" ht="15" thickBot="1" x14ac:dyDescent="0.4">
      <c r="A252" s="6">
        <v>43433</v>
      </c>
      <c r="B252" s="1">
        <v>43405</v>
      </c>
      <c r="C252" s="2" t="s">
        <v>157</v>
      </c>
      <c r="D252" s="5" t="s">
        <v>15</v>
      </c>
      <c r="E252" s="2" t="s">
        <v>22</v>
      </c>
      <c r="F252" s="7">
        <v>1</v>
      </c>
    </row>
    <row r="253" spans="1:6" ht="15" thickBot="1" x14ac:dyDescent="0.4">
      <c r="A253" s="6">
        <v>43433</v>
      </c>
      <c r="B253" s="1">
        <v>43405</v>
      </c>
      <c r="C253" s="2" t="s">
        <v>30</v>
      </c>
      <c r="D253" s="5" t="s">
        <v>7</v>
      </c>
      <c r="E253" s="2" t="s">
        <v>13</v>
      </c>
      <c r="F253" s="7">
        <v>2</v>
      </c>
    </row>
    <row r="254" spans="1:6" ht="15" thickBot="1" x14ac:dyDescent="0.4">
      <c r="A254" s="6">
        <v>43433</v>
      </c>
      <c r="B254" s="1">
        <v>43405</v>
      </c>
      <c r="C254" s="2" t="s">
        <v>30</v>
      </c>
      <c r="D254" s="5" t="s">
        <v>10</v>
      </c>
      <c r="E254" s="2" t="s">
        <v>82</v>
      </c>
      <c r="F254" s="7">
        <v>9</v>
      </c>
    </row>
    <row r="255" spans="1:6" ht="15" thickBot="1" x14ac:dyDescent="0.4">
      <c r="A255" s="6">
        <v>43433</v>
      </c>
      <c r="B255" s="1">
        <v>43405</v>
      </c>
      <c r="C255" s="2" t="s">
        <v>30</v>
      </c>
      <c r="D255" s="5" t="s">
        <v>15</v>
      </c>
      <c r="E255" s="2" t="s">
        <v>55</v>
      </c>
      <c r="F255" s="7">
        <v>10</v>
      </c>
    </row>
    <row r="256" spans="1:6" ht="15" thickBot="1" x14ac:dyDescent="0.4">
      <c r="A256" s="6">
        <v>43433</v>
      </c>
      <c r="B256" s="1">
        <v>43405</v>
      </c>
      <c r="C256" s="2" t="s">
        <v>158</v>
      </c>
      <c r="D256" s="5" t="s">
        <v>7</v>
      </c>
      <c r="E256" s="2" t="s">
        <v>32</v>
      </c>
      <c r="F256" s="7">
        <v>15</v>
      </c>
    </row>
    <row r="257" spans="1:6" ht="15" thickBot="1" x14ac:dyDescent="0.4">
      <c r="A257" s="6">
        <v>43440</v>
      </c>
      <c r="B257" s="1">
        <v>43435</v>
      </c>
      <c r="C257" s="2" t="s">
        <v>159</v>
      </c>
      <c r="D257" s="5" t="s">
        <v>24</v>
      </c>
      <c r="E257" s="2" t="s">
        <v>13</v>
      </c>
      <c r="F257" s="7">
        <v>19</v>
      </c>
    </row>
    <row r="258" spans="1:6" ht="26.5" thickBot="1" x14ac:dyDescent="0.4">
      <c r="A258" s="6">
        <v>43440</v>
      </c>
      <c r="B258" s="1">
        <v>43435</v>
      </c>
      <c r="C258" s="2" t="s">
        <v>160</v>
      </c>
      <c r="D258" s="5" t="s">
        <v>7</v>
      </c>
      <c r="E258" s="2" t="s">
        <v>161</v>
      </c>
      <c r="F258" s="7">
        <v>9</v>
      </c>
    </row>
    <row r="259" spans="1:6" ht="15" thickBot="1" x14ac:dyDescent="0.4">
      <c r="A259" s="6">
        <v>43440</v>
      </c>
      <c r="B259" s="1">
        <v>43435</v>
      </c>
      <c r="C259" s="2" t="s">
        <v>162</v>
      </c>
      <c r="D259" s="5" t="s">
        <v>15</v>
      </c>
      <c r="E259" s="2" t="s">
        <v>163</v>
      </c>
      <c r="F259" s="7">
        <v>16</v>
      </c>
    </row>
    <row r="260" spans="1:6" ht="15" thickBot="1" x14ac:dyDescent="0.4">
      <c r="A260" s="6">
        <v>43440</v>
      </c>
      <c r="B260" s="1">
        <v>43435</v>
      </c>
      <c r="C260" s="2" t="s">
        <v>164</v>
      </c>
      <c r="D260" s="5" t="s">
        <v>7</v>
      </c>
      <c r="E260" s="2" t="s">
        <v>92</v>
      </c>
      <c r="F260" s="7">
        <v>6</v>
      </c>
    </row>
    <row r="261" spans="1:6" ht="15" thickBot="1" x14ac:dyDescent="0.4">
      <c r="A261" s="6">
        <v>43440</v>
      </c>
      <c r="B261" s="1">
        <v>43435</v>
      </c>
      <c r="C261" s="2" t="s">
        <v>164</v>
      </c>
      <c r="D261" s="5" t="s">
        <v>7</v>
      </c>
      <c r="E261" s="2" t="s">
        <v>92</v>
      </c>
      <c r="F261" s="7">
        <v>6</v>
      </c>
    </row>
    <row r="262" spans="1:6" ht="15" thickBot="1" x14ac:dyDescent="0.4">
      <c r="A262" s="6">
        <v>43440</v>
      </c>
      <c r="B262" s="1">
        <v>43435</v>
      </c>
      <c r="C262" s="2" t="s">
        <v>164</v>
      </c>
      <c r="D262" s="5" t="s">
        <v>7</v>
      </c>
      <c r="E262" s="2" t="s">
        <v>92</v>
      </c>
      <c r="F262" s="7">
        <v>5</v>
      </c>
    </row>
    <row r="263" spans="1:6" ht="15" thickBot="1" x14ac:dyDescent="0.4">
      <c r="A263" s="6">
        <v>43444</v>
      </c>
      <c r="B263" s="1">
        <v>43435</v>
      </c>
      <c r="C263" s="2" t="s">
        <v>165</v>
      </c>
      <c r="D263" s="5" t="s">
        <v>31</v>
      </c>
      <c r="E263" s="2" t="s">
        <v>54</v>
      </c>
      <c r="F263" s="7">
        <v>19</v>
      </c>
    </row>
    <row r="264" spans="1:6" ht="15" thickBot="1" x14ac:dyDescent="0.4">
      <c r="A264" s="6">
        <v>43501</v>
      </c>
      <c r="B264" s="1">
        <v>43497</v>
      </c>
      <c r="C264" s="2" t="s">
        <v>165</v>
      </c>
      <c r="D264" s="5" t="s">
        <v>31</v>
      </c>
      <c r="E264" s="2" t="s">
        <v>54</v>
      </c>
      <c r="F264" s="7">
        <v>5</v>
      </c>
    </row>
    <row r="265" spans="1:6" ht="15" thickBot="1" x14ac:dyDescent="0.4">
      <c r="A265" s="6">
        <v>43501</v>
      </c>
      <c r="B265" s="1">
        <v>43497</v>
      </c>
      <c r="C265" s="2" t="s">
        <v>165</v>
      </c>
      <c r="D265" s="5" t="s">
        <v>31</v>
      </c>
      <c r="E265" s="2" t="s">
        <v>54</v>
      </c>
      <c r="F265" s="7">
        <v>8</v>
      </c>
    </row>
    <row r="266" spans="1:6" ht="15" thickBot="1" x14ac:dyDescent="0.4">
      <c r="A266" s="6">
        <v>43501</v>
      </c>
      <c r="B266" s="1">
        <v>43497</v>
      </c>
      <c r="C266" s="2" t="s">
        <v>165</v>
      </c>
      <c r="D266" s="5" t="s">
        <v>31</v>
      </c>
      <c r="E266" s="2" t="s">
        <v>54</v>
      </c>
      <c r="F266" s="7">
        <v>8</v>
      </c>
    </row>
    <row r="267" spans="1:6" ht="15" thickBot="1" x14ac:dyDescent="0.4">
      <c r="A267" s="6">
        <v>43501</v>
      </c>
      <c r="B267" s="1">
        <v>43497</v>
      </c>
      <c r="C267" s="2" t="s">
        <v>165</v>
      </c>
      <c r="D267" s="5" t="s">
        <v>31</v>
      </c>
      <c r="E267" s="2" t="s">
        <v>54</v>
      </c>
      <c r="F267" s="7">
        <v>12</v>
      </c>
    </row>
    <row r="268" spans="1:6" ht="15" thickBot="1" x14ac:dyDescent="0.4">
      <c r="A268" s="6">
        <v>43501</v>
      </c>
      <c r="B268" s="1">
        <v>43497</v>
      </c>
      <c r="C268" s="2" t="s">
        <v>166</v>
      </c>
      <c r="D268" s="5" t="s">
        <v>15</v>
      </c>
      <c r="E268" s="2" t="s">
        <v>13</v>
      </c>
      <c r="F268" s="7">
        <v>7</v>
      </c>
    </row>
    <row r="269" spans="1:6" ht="15" thickBot="1" x14ac:dyDescent="0.4">
      <c r="A269" s="6">
        <v>43505</v>
      </c>
      <c r="B269" s="1">
        <v>43497</v>
      </c>
      <c r="C269" s="2" t="s">
        <v>167</v>
      </c>
      <c r="D269" s="5" t="s">
        <v>10</v>
      </c>
      <c r="E269" s="2" t="s">
        <v>168</v>
      </c>
      <c r="F269" s="7">
        <v>2</v>
      </c>
    </row>
    <row r="270" spans="1:6" ht="15" thickBot="1" x14ac:dyDescent="0.4">
      <c r="A270" s="6">
        <v>43521</v>
      </c>
      <c r="B270" s="1">
        <v>43497</v>
      </c>
      <c r="C270" s="2" t="s">
        <v>167</v>
      </c>
      <c r="D270" s="5" t="s">
        <v>10</v>
      </c>
      <c r="E270" s="2" t="s">
        <v>168</v>
      </c>
      <c r="F270" s="7">
        <v>2</v>
      </c>
    </row>
    <row r="271" spans="1:6" ht="15" thickBot="1" x14ac:dyDescent="0.4">
      <c r="A271" s="6">
        <v>43526</v>
      </c>
      <c r="B271" s="1">
        <v>43525</v>
      </c>
      <c r="C271" s="2" t="s">
        <v>167</v>
      </c>
      <c r="D271" s="5" t="s">
        <v>10</v>
      </c>
      <c r="E271" s="2" t="s">
        <v>168</v>
      </c>
      <c r="F271" s="7">
        <v>7</v>
      </c>
    </row>
    <row r="272" spans="1:6" ht="15" thickBot="1" x14ac:dyDescent="0.4">
      <c r="A272" s="6">
        <v>43526</v>
      </c>
      <c r="B272" s="1">
        <v>43525</v>
      </c>
      <c r="C272" s="2" t="s">
        <v>169</v>
      </c>
      <c r="D272" s="5" t="s">
        <v>10</v>
      </c>
      <c r="E272" s="2" t="s">
        <v>13</v>
      </c>
      <c r="F272" s="7">
        <v>4</v>
      </c>
    </row>
    <row r="273" spans="1:6" ht="15" thickBot="1" x14ac:dyDescent="0.4">
      <c r="A273" s="6">
        <v>43526</v>
      </c>
      <c r="B273" s="1">
        <v>43525</v>
      </c>
      <c r="C273" s="2" t="s">
        <v>170</v>
      </c>
      <c r="D273" s="5" t="s">
        <v>15</v>
      </c>
      <c r="E273" s="2" t="s">
        <v>47</v>
      </c>
      <c r="F273" s="7">
        <v>11</v>
      </c>
    </row>
    <row r="274" spans="1:6" ht="15" thickBot="1" x14ac:dyDescent="0.4">
      <c r="A274" s="6">
        <v>43526</v>
      </c>
      <c r="B274" s="1">
        <v>43525</v>
      </c>
      <c r="C274" s="2" t="s">
        <v>170</v>
      </c>
      <c r="D274" s="5" t="s">
        <v>15</v>
      </c>
      <c r="E274" s="2" t="s">
        <v>47</v>
      </c>
      <c r="F274" s="7">
        <v>16</v>
      </c>
    </row>
    <row r="275" spans="1:6" ht="15" thickBot="1" x14ac:dyDescent="0.4">
      <c r="A275" s="6">
        <v>43526</v>
      </c>
      <c r="B275" s="1">
        <v>43525</v>
      </c>
      <c r="C275" s="2" t="s">
        <v>170</v>
      </c>
      <c r="D275" s="5" t="s">
        <v>15</v>
      </c>
      <c r="E275" s="2" t="s">
        <v>47</v>
      </c>
      <c r="F275" s="7">
        <v>13</v>
      </c>
    </row>
    <row r="276" spans="1:6" ht="15" thickBot="1" x14ac:dyDescent="0.4">
      <c r="A276" s="6">
        <v>43536</v>
      </c>
      <c r="B276" s="1">
        <v>43525</v>
      </c>
      <c r="C276" s="2" t="s">
        <v>170</v>
      </c>
      <c r="D276" s="5" t="s">
        <v>15</v>
      </c>
      <c r="E276" s="2" t="s">
        <v>47</v>
      </c>
      <c r="F276" s="7">
        <v>13</v>
      </c>
    </row>
    <row r="277" spans="1:6" ht="15" thickBot="1" x14ac:dyDescent="0.4">
      <c r="A277" s="6">
        <v>43541</v>
      </c>
      <c r="B277" s="1">
        <v>43525</v>
      </c>
      <c r="C277" s="2" t="s">
        <v>170</v>
      </c>
      <c r="D277" s="5" t="s">
        <v>15</v>
      </c>
      <c r="E277" s="2" t="s">
        <v>47</v>
      </c>
      <c r="F277" s="7">
        <v>5</v>
      </c>
    </row>
    <row r="278" spans="1:6" ht="15" thickBot="1" x14ac:dyDescent="0.4">
      <c r="A278" s="6">
        <v>43541</v>
      </c>
      <c r="B278" s="1">
        <v>43525</v>
      </c>
      <c r="C278" s="2" t="s">
        <v>171</v>
      </c>
      <c r="D278" s="5" t="s">
        <v>10</v>
      </c>
      <c r="E278" s="2" t="s">
        <v>107</v>
      </c>
      <c r="F278" s="7">
        <v>20</v>
      </c>
    </row>
    <row r="279" spans="1:6" ht="15" thickBot="1" x14ac:dyDescent="0.4">
      <c r="A279" s="6">
        <v>43541</v>
      </c>
      <c r="B279" s="1">
        <v>43525</v>
      </c>
      <c r="C279" s="2" t="s">
        <v>30</v>
      </c>
      <c r="D279" s="5" t="s">
        <v>15</v>
      </c>
      <c r="E279" s="2" t="s">
        <v>55</v>
      </c>
      <c r="F279" s="7">
        <v>6</v>
      </c>
    </row>
    <row r="280" spans="1:6" ht="15" thickBot="1" x14ac:dyDescent="0.4">
      <c r="A280" s="6">
        <v>43541</v>
      </c>
      <c r="B280" s="1">
        <v>43525</v>
      </c>
      <c r="C280" s="2" t="s">
        <v>30</v>
      </c>
      <c r="D280" s="5" t="s">
        <v>15</v>
      </c>
      <c r="E280" s="2" t="s">
        <v>55</v>
      </c>
      <c r="F280" s="7">
        <v>7</v>
      </c>
    </row>
    <row r="281" spans="1:6" ht="15" thickBot="1" x14ac:dyDescent="0.4">
      <c r="A281" s="6">
        <v>43541</v>
      </c>
      <c r="B281" s="1">
        <v>43525</v>
      </c>
      <c r="C281" s="2" t="s">
        <v>30</v>
      </c>
      <c r="D281" s="5" t="s">
        <v>15</v>
      </c>
      <c r="E281" s="2" t="s">
        <v>55</v>
      </c>
      <c r="F281" s="7">
        <v>16</v>
      </c>
    </row>
    <row r="282" spans="1:6" ht="15" thickBot="1" x14ac:dyDescent="0.4">
      <c r="A282" s="6">
        <v>43557</v>
      </c>
      <c r="B282" s="1">
        <v>43556</v>
      </c>
      <c r="C282" s="2" t="s">
        <v>30</v>
      </c>
      <c r="D282" s="5" t="s">
        <v>15</v>
      </c>
      <c r="E282" s="2" t="s">
        <v>55</v>
      </c>
      <c r="F282" s="7">
        <v>19</v>
      </c>
    </row>
    <row r="283" spans="1:6" ht="15" thickBot="1" x14ac:dyDescent="0.4">
      <c r="A283" s="6">
        <v>43571</v>
      </c>
      <c r="B283" s="1">
        <v>43556</v>
      </c>
      <c r="C283" s="2" t="s">
        <v>30</v>
      </c>
      <c r="D283" s="5" t="s">
        <v>15</v>
      </c>
      <c r="E283" s="2" t="s">
        <v>55</v>
      </c>
      <c r="F283" s="7">
        <v>7</v>
      </c>
    </row>
    <row r="284" spans="1:6" ht="15" thickBot="1" x14ac:dyDescent="0.4">
      <c r="A284" s="6">
        <v>43573</v>
      </c>
      <c r="B284" s="1">
        <v>43556</v>
      </c>
      <c r="C284" s="2" t="s">
        <v>30</v>
      </c>
      <c r="D284" s="5" t="s">
        <v>10</v>
      </c>
      <c r="E284" s="2" t="s">
        <v>11</v>
      </c>
      <c r="F284" s="7">
        <v>2</v>
      </c>
    </row>
    <row r="285" spans="1:6" ht="15" thickBot="1" x14ac:dyDescent="0.4">
      <c r="A285" s="6">
        <v>43584</v>
      </c>
      <c r="B285" s="1">
        <v>43556</v>
      </c>
      <c r="C285" s="2" t="s">
        <v>30</v>
      </c>
      <c r="D285" s="5" t="s">
        <v>7</v>
      </c>
      <c r="E285" s="2" t="s">
        <v>13</v>
      </c>
      <c r="F285" s="7">
        <v>15</v>
      </c>
    </row>
    <row r="286" spans="1:6" ht="15" thickBot="1" x14ac:dyDescent="0.4">
      <c r="A286" s="6">
        <v>43584</v>
      </c>
      <c r="B286" s="1">
        <v>43556</v>
      </c>
      <c r="C286" s="2" t="s">
        <v>30</v>
      </c>
      <c r="D286" s="5" t="s">
        <v>10</v>
      </c>
      <c r="E286" s="2" t="s">
        <v>107</v>
      </c>
      <c r="F286" s="7">
        <v>9</v>
      </c>
    </row>
    <row r="287" spans="1:6" ht="15" thickBot="1" x14ac:dyDescent="0.4">
      <c r="A287" s="6">
        <v>43584</v>
      </c>
      <c r="B287" s="1">
        <v>43556</v>
      </c>
      <c r="C287" s="2" t="s">
        <v>30</v>
      </c>
      <c r="D287" s="5" t="s">
        <v>15</v>
      </c>
      <c r="E287" s="2" t="s">
        <v>55</v>
      </c>
      <c r="F287" s="7">
        <v>8</v>
      </c>
    </row>
    <row r="288" spans="1:6" ht="15" thickBot="1" x14ac:dyDescent="0.4">
      <c r="A288" s="6">
        <v>43584</v>
      </c>
      <c r="B288" s="1">
        <v>43556</v>
      </c>
      <c r="C288" s="2" t="s">
        <v>172</v>
      </c>
      <c r="D288" s="5" t="s">
        <v>24</v>
      </c>
      <c r="E288" s="2" t="s">
        <v>173</v>
      </c>
      <c r="F288" s="7">
        <v>7</v>
      </c>
    </row>
    <row r="289" spans="1:6" ht="15" thickBot="1" x14ac:dyDescent="0.4">
      <c r="A289" s="6">
        <v>43584</v>
      </c>
      <c r="B289" s="1">
        <v>43556</v>
      </c>
      <c r="C289" s="2" t="s">
        <v>174</v>
      </c>
      <c r="D289" s="5" t="s">
        <v>15</v>
      </c>
      <c r="E289" s="2" t="s">
        <v>168</v>
      </c>
      <c r="F289" s="7">
        <v>4</v>
      </c>
    </row>
    <row r="290" spans="1:6" ht="15" thickBot="1" x14ac:dyDescent="0.4">
      <c r="A290" s="6">
        <v>43618</v>
      </c>
      <c r="B290" s="1">
        <v>43617</v>
      </c>
      <c r="C290" s="2" t="s">
        <v>174</v>
      </c>
      <c r="D290" s="5" t="s">
        <v>15</v>
      </c>
      <c r="E290" s="2" t="s">
        <v>168</v>
      </c>
      <c r="F290" s="7">
        <v>8</v>
      </c>
    </row>
    <row r="291" spans="1:6" ht="15" thickBot="1" x14ac:dyDescent="0.4">
      <c r="A291" s="6">
        <v>43623</v>
      </c>
      <c r="B291" s="1">
        <v>43617</v>
      </c>
      <c r="C291" s="2" t="s">
        <v>174</v>
      </c>
      <c r="D291" s="5" t="s">
        <v>15</v>
      </c>
      <c r="E291" s="2" t="s">
        <v>168</v>
      </c>
      <c r="F291" s="7">
        <v>7</v>
      </c>
    </row>
    <row r="292" spans="1:6" ht="15" thickBot="1" x14ac:dyDescent="0.4">
      <c r="A292" s="6">
        <v>43632</v>
      </c>
      <c r="B292" s="1">
        <v>43617</v>
      </c>
      <c r="C292" s="2" t="s">
        <v>174</v>
      </c>
      <c r="D292" s="5" t="s">
        <v>15</v>
      </c>
      <c r="E292" s="2" t="s">
        <v>168</v>
      </c>
      <c r="F292" s="7">
        <v>7</v>
      </c>
    </row>
    <row r="293" spans="1:6" ht="15" thickBot="1" x14ac:dyDescent="0.4">
      <c r="A293" s="6">
        <v>43641</v>
      </c>
      <c r="B293" s="1">
        <v>43617</v>
      </c>
      <c r="C293" s="2" t="s">
        <v>174</v>
      </c>
      <c r="D293" s="5" t="s">
        <v>15</v>
      </c>
      <c r="E293" s="2" t="s">
        <v>168</v>
      </c>
      <c r="F293" s="7">
        <v>8</v>
      </c>
    </row>
    <row r="294" spans="1:6" ht="26.5" thickBot="1" x14ac:dyDescent="0.4">
      <c r="A294" s="6">
        <v>43645</v>
      </c>
      <c r="B294" s="1">
        <v>43617</v>
      </c>
      <c r="C294" s="2" t="s">
        <v>175</v>
      </c>
      <c r="D294" s="5" t="s">
        <v>24</v>
      </c>
      <c r="E294" s="2" t="s">
        <v>54</v>
      </c>
      <c r="F294" s="7">
        <v>16</v>
      </c>
    </row>
    <row r="295" spans="1:6" ht="26.5" thickBot="1" x14ac:dyDescent="0.4">
      <c r="A295" s="6">
        <v>43650</v>
      </c>
      <c r="B295" s="1">
        <v>43647</v>
      </c>
      <c r="C295" s="2" t="s">
        <v>175</v>
      </c>
      <c r="D295" s="5" t="s">
        <v>24</v>
      </c>
      <c r="E295" s="2" t="s">
        <v>54</v>
      </c>
      <c r="F295" s="7">
        <v>5</v>
      </c>
    </row>
    <row r="296" spans="1:6" ht="26.5" thickBot="1" x14ac:dyDescent="0.4">
      <c r="A296" s="6">
        <v>43655</v>
      </c>
      <c r="B296" s="1">
        <v>43647</v>
      </c>
      <c r="C296" s="2" t="s">
        <v>175</v>
      </c>
      <c r="D296" s="5" t="s">
        <v>24</v>
      </c>
      <c r="E296" s="2" t="s">
        <v>54</v>
      </c>
      <c r="F296" s="7">
        <v>13</v>
      </c>
    </row>
    <row r="297" spans="1:6" ht="15" thickBot="1" x14ac:dyDescent="0.4">
      <c r="A297" s="6">
        <v>43655</v>
      </c>
      <c r="B297" s="1">
        <v>43647</v>
      </c>
      <c r="C297" s="2" t="s">
        <v>30</v>
      </c>
      <c r="D297" s="5" t="s">
        <v>7</v>
      </c>
      <c r="E297" s="2" t="s">
        <v>72</v>
      </c>
      <c r="F297" s="7">
        <v>17</v>
      </c>
    </row>
    <row r="298" spans="1:6" ht="15" thickBot="1" x14ac:dyDescent="0.4">
      <c r="A298" s="6">
        <v>43655</v>
      </c>
      <c r="B298" s="1">
        <v>43647</v>
      </c>
      <c r="C298" s="2" t="s">
        <v>30</v>
      </c>
      <c r="D298" s="5" t="s">
        <v>15</v>
      </c>
      <c r="E298" s="2" t="s">
        <v>35</v>
      </c>
      <c r="F298" s="7">
        <v>15</v>
      </c>
    </row>
    <row r="299" spans="1:6" x14ac:dyDescent="0.35">
      <c r="A299" s="11">
        <v>43655</v>
      </c>
      <c r="B299" s="12">
        <v>43647</v>
      </c>
      <c r="C299" s="13" t="s">
        <v>30</v>
      </c>
      <c r="D299" s="14" t="s">
        <v>15</v>
      </c>
      <c r="E299" s="13" t="s">
        <v>55</v>
      </c>
      <c r="F299" s="15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CE3F-4EB1-4307-9A23-39E030C6E493}">
  <dimension ref="A1:S271"/>
  <sheetViews>
    <sheetView tabSelected="1" zoomScale="77" zoomScaleNormal="77" workbookViewId="0">
      <selection activeCell="Q36" sqref="Q36"/>
    </sheetView>
  </sheetViews>
  <sheetFormatPr baseColWidth="10" defaultRowHeight="14.5" x14ac:dyDescent="0.35"/>
  <cols>
    <col min="1" max="2" width="20.6328125" customWidth="1"/>
    <col min="3" max="14" width="15" customWidth="1"/>
    <col min="15" max="16" width="20.6328125" customWidth="1"/>
  </cols>
  <sheetData>
    <row r="1" spans="1:19" ht="14.5" customHeight="1" thickBot="1" x14ac:dyDescent="0.4">
      <c r="A1" s="32" t="s">
        <v>195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4"/>
      <c r="Q1" s="31"/>
      <c r="R1" s="20"/>
      <c r="S1" s="21"/>
    </row>
    <row r="2" spans="1:19" ht="14.5" customHeight="1" thickBot="1" x14ac:dyDescent="0.4">
      <c r="A2" s="35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6"/>
      <c r="Q2" s="31"/>
      <c r="R2" s="22"/>
      <c r="S2" s="23"/>
    </row>
    <row r="3" spans="1:19" ht="15" customHeight="1" thickBot="1" x14ac:dyDescent="0.4">
      <c r="A3" s="37"/>
      <c r="B3" s="38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38"/>
      <c r="P3" s="39"/>
      <c r="Q3" s="31"/>
      <c r="R3" s="22"/>
      <c r="S3" s="23"/>
    </row>
    <row r="4" spans="1:19" ht="14.5" customHeight="1" thickBot="1" x14ac:dyDescent="0.4">
      <c r="A4" s="28"/>
      <c r="B4" s="25"/>
      <c r="C4" s="45">
        <f>COUNTA(INPUT!F2:F1000)</f>
        <v>298</v>
      </c>
      <c r="D4" s="46"/>
      <c r="E4" s="48"/>
      <c r="F4" s="45">
        <f>SUM(INPUT!F2:F1000)</f>
        <v>3217</v>
      </c>
      <c r="G4" s="46"/>
      <c r="H4" s="48"/>
      <c r="I4" s="60">
        <f>F4/C4</f>
        <v>10.795302013422818</v>
      </c>
      <c r="J4" s="47"/>
      <c r="K4" s="61"/>
      <c r="L4" s="56" t="str" cm="1">
        <f t="array" ref="L4">INDEX(
  _xlfn.SORTBY(
    _xlfn.UNIQUE(INPUT!E2:E1000),
    SUMIF(INPUT!E2:E1000, _xlfn.UNIQUE(INPUT!E2:E1000), INPUT!F2:F1000),
    -1
  ),
  1
)</f>
        <v>Italy</v>
      </c>
      <c r="M4" s="46"/>
      <c r="N4" s="48"/>
      <c r="O4" s="27"/>
      <c r="P4" s="28"/>
      <c r="Q4" s="29"/>
      <c r="R4" s="22"/>
      <c r="S4" s="23"/>
    </row>
    <row r="5" spans="1:19" ht="14.5" customHeight="1" thickBot="1" x14ac:dyDescent="0.4">
      <c r="A5" s="29"/>
      <c r="B5" s="40"/>
      <c r="C5" s="49"/>
      <c r="D5" s="42"/>
      <c r="E5" s="50"/>
      <c r="F5" s="49"/>
      <c r="G5" s="42"/>
      <c r="H5" s="50"/>
      <c r="I5" s="62"/>
      <c r="J5" s="43"/>
      <c r="K5" s="63"/>
      <c r="L5" s="57"/>
      <c r="M5" s="42"/>
      <c r="N5" s="50"/>
      <c r="O5" s="31"/>
      <c r="P5" s="29"/>
      <c r="Q5" s="29"/>
      <c r="R5" s="22"/>
      <c r="S5" s="23"/>
    </row>
    <row r="6" spans="1:19" ht="14.5" customHeight="1" thickBot="1" x14ac:dyDescent="0.4">
      <c r="A6" s="29"/>
      <c r="B6" s="40"/>
      <c r="C6" s="49"/>
      <c r="D6" s="42"/>
      <c r="E6" s="50"/>
      <c r="F6" s="49"/>
      <c r="G6" s="42"/>
      <c r="H6" s="50"/>
      <c r="I6" s="62"/>
      <c r="J6" s="43"/>
      <c r="K6" s="63"/>
      <c r="L6" s="57"/>
      <c r="M6" s="42"/>
      <c r="N6" s="50"/>
      <c r="O6" s="31"/>
      <c r="P6" s="29"/>
      <c r="Q6" s="29"/>
      <c r="R6" s="22"/>
      <c r="S6" s="23"/>
    </row>
    <row r="7" spans="1:19" ht="14.5" customHeight="1" thickBot="1" x14ac:dyDescent="0.4">
      <c r="A7" s="29"/>
      <c r="B7" s="40"/>
      <c r="C7" s="49"/>
      <c r="D7" s="42"/>
      <c r="E7" s="50"/>
      <c r="F7" s="49"/>
      <c r="G7" s="42"/>
      <c r="H7" s="50"/>
      <c r="I7" s="62"/>
      <c r="J7" s="43"/>
      <c r="K7" s="63"/>
      <c r="L7" s="57"/>
      <c r="M7" s="42"/>
      <c r="N7" s="50"/>
      <c r="O7" s="31"/>
      <c r="P7" s="29"/>
      <c r="Q7" s="29"/>
      <c r="R7" s="22"/>
      <c r="S7" s="23"/>
    </row>
    <row r="8" spans="1:19" ht="14.5" customHeight="1" thickBot="1" x14ac:dyDescent="0.4">
      <c r="A8" s="29"/>
      <c r="B8" s="40"/>
      <c r="C8" s="51" t="s">
        <v>196</v>
      </c>
      <c r="D8" s="44"/>
      <c r="E8" s="52"/>
      <c r="F8" s="51" t="s">
        <v>197</v>
      </c>
      <c r="G8" s="44"/>
      <c r="H8" s="52"/>
      <c r="I8" s="51" t="s">
        <v>198</v>
      </c>
      <c r="J8" s="44"/>
      <c r="K8" s="52"/>
      <c r="L8" s="58" t="s">
        <v>199</v>
      </c>
      <c r="M8" s="44"/>
      <c r="N8" s="52"/>
      <c r="O8" s="31"/>
      <c r="P8" s="29"/>
      <c r="Q8" s="29"/>
      <c r="R8" s="22"/>
      <c r="S8" s="23"/>
    </row>
    <row r="9" spans="1:19" ht="14.5" customHeight="1" thickBot="1" x14ac:dyDescent="0.4">
      <c r="A9" s="29"/>
      <c r="B9" s="40"/>
      <c r="C9" s="53"/>
      <c r="D9" s="54"/>
      <c r="E9" s="55"/>
      <c r="F9" s="53"/>
      <c r="G9" s="54"/>
      <c r="H9" s="55"/>
      <c r="I9" s="53"/>
      <c r="J9" s="54"/>
      <c r="K9" s="55"/>
      <c r="L9" s="59"/>
      <c r="M9" s="54"/>
      <c r="N9" s="55"/>
      <c r="O9" s="31"/>
      <c r="P9" s="29"/>
      <c r="Q9" s="29"/>
      <c r="R9" s="22"/>
      <c r="S9" s="23"/>
    </row>
    <row r="10" spans="1:19" ht="15" thickBot="1" x14ac:dyDescent="0.4">
      <c r="A10" s="29"/>
      <c r="B10" s="29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  <c r="P10" s="29"/>
      <c r="Q10" s="29"/>
      <c r="R10" s="22"/>
      <c r="S10" s="23"/>
    </row>
    <row r="11" spans="1:19" ht="15" thickBot="1" x14ac:dyDescent="0.4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2"/>
      <c r="S11" s="23"/>
    </row>
    <row r="12" spans="1:19" ht="15" thickBot="1" x14ac:dyDescent="0.4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2"/>
      <c r="S12" s="23"/>
    </row>
    <row r="13" spans="1:19" ht="15" thickBot="1" x14ac:dyDescent="0.4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2"/>
      <c r="S13" s="23"/>
    </row>
    <row r="14" spans="1:19" ht="15" thickBot="1" x14ac:dyDescent="0.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2"/>
      <c r="S14" s="23"/>
    </row>
    <row r="15" spans="1:19" ht="15" thickBot="1" x14ac:dyDescent="0.4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2"/>
      <c r="S15" s="23"/>
    </row>
    <row r="16" spans="1:19" ht="15" thickBot="1" x14ac:dyDescent="0.4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2"/>
      <c r="S16" s="23"/>
    </row>
    <row r="17" spans="1:19" ht="15" thickBot="1" x14ac:dyDescent="0.4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2"/>
      <c r="S17" s="23"/>
    </row>
    <row r="18" spans="1:19" ht="15" thickBot="1" x14ac:dyDescent="0.4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2"/>
      <c r="S18" s="23"/>
    </row>
    <row r="19" spans="1:19" ht="15" thickBot="1" x14ac:dyDescent="0.4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2"/>
      <c r="S19" s="23"/>
    </row>
    <row r="20" spans="1:19" ht="15" thickBot="1" x14ac:dyDescent="0.4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2"/>
      <c r="S20" s="23"/>
    </row>
    <row r="21" spans="1:19" ht="15" thickBot="1" x14ac:dyDescent="0.4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2"/>
      <c r="S21" s="23"/>
    </row>
    <row r="22" spans="1:19" ht="15" thickBot="1" x14ac:dyDescent="0.4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2"/>
      <c r="S22" s="23"/>
    </row>
    <row r="23" spans="1:19" ht="15" thickBot="1" x14ac:dyDescent="0.4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2"/>
      <c r="S23" s="23"/>
    </row>
    <row r="24" spans="1:19" ht="15" thickBot="1" x14ac:dyDescent="0.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2"/>
      <c r="S24" s="23"/>
    </row>
    <row r="25" spans="1:19" ht="15" thickBot="1" x14ac:dyDescent="0.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2"/>
      <c r="S25" s="23"/>
    </row>
    <row r="26" spans="1:19" ht="15" thickBot="1" x14ac:dyDescent="0.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2"/>
      <c r="S26" s="23"/>
    </row>
    <row r="27" spans="1:19" ht="15" thickBot="1" x14ac:dyDescent="0.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2"/>
      <c r="S27" s="23"/>
    </row>
    <row r="28" spans="1:19" ht="15" thickBot="1" x14ac:dyDescent="0.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2"/>
      <c r="S28" s="23"/>
    </row>
    <row r="29" spans="1:19" ht="15" thickBot="1" x14ac:dyDescent="0.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2"/>
      <c r="S29" s="23"/>
    </row>
    <row r="30" spans="1:19" ht="15" thickBot="1" x14ac:dyDescent="0.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2"/>
      <c r="S30" s="23"/>
    </row>
    <row r="31" spans="1:19" ht="15" thickBot="1" x14ac:dyDescent="0.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2"/>
      <c r="S31" s="23"/>
    </row>
    <row r="32" spans="1:19" ht="15" thickBot="1" x14ac:dyDescent="0.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2"/>
      <c r="S32" s="23"/>
    </row>
    <row r="33" spans="1:19" ht="15" thickBot="1" x14ac:dyDescent="0.4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2"/>
      <c r="S33" s="23"/>
    </row>
    <row r="34" spans="1:19" ht="15" thickBot="1" x14ac:dyDescent="0.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2"/>
      <c r="S34" s="23"/>
    </row>
    <row r="35" spans="1:19" ht="15" thickBot="1" x14ac:dyDescent="0.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2"/>
      <c r="S35" s="23"/>
    </row>
    <row r="36" spans="1:19" ht="15" thickBot="1" x14ac:dyDescent="0.4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2"/>
      <c r="S36" s="23"/>
    </row>
    <row r="37" spans="1:19" ht="15" thickBot="1" x14ac:dyDescent="0.4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2"/>
      <c r="S37" s="23"/>
    </row>
    <row r="38" spans="1:19" ht="15" thickBot="1" x14ac:dyDescent="0.4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2"/>
      <c r="S38" s="23"/>
    </row>
    <row r="39" spans="1:19" ht="15" thickBot="1" x14ac:dyDescent="0.4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2"/>
      <c r="S39" s="23"/>
    </row>
    <row r="40" spans="1:19" ht="15" thickBot="1" x14ac:dyDescent="0.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2"/>
      <c r="S40" s="23"/>
    </row>
    <row r="41" spans="1:19" ht="15" thickBot="1" x14ac:dyDescent="0.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2"/>
      <c r="S41" s="23"/>
    </row>
    <row r="42" spans="1:19" ht="15" thickBot="1" x14ac:dyDescent="0.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2"/>
      <c r="S42" s="23"/>
    </row>
    <row r="43" spans="1:19" ht="15" thickBot="1" x14ac:dyDescent="0.4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2"/>
      <c r="S43" s="23"/>
    </row>
    <row r="44" spans="1:19" ht="15" thickBot="1" x14ac:dyDescent="0.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2"/>
      <c r="S44" s="23"/>
    </row>
    <row r="45" spans="1:19" ht="15" thickBot="1" x14ac:dyDescent="0.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2"/>
      <c r="S45" s="23"/>
    </row>
    <row r="46" spans="1:19" ht="15" thickBot="1" x14ac:dyDescent="0.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2"/>
      <c r="S46" s="23"/>
    </row>
    <row r="47" spans="1:19" ht="15" thickBot="1" x14ac:dyDescent="0.4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2"/>
      <c r="S47" s="23"/>
    </row>
    <row r="48" spans="1:19" ht="15" thickBot="1" x14ac:dyDescent="0.4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2"/>
      <c r="S48" s="23"/>
    </row>
    <row r="49" spans="1:19" ht="15" thickBot="1" x14ac:dyDescent="0.4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2"/>
      <c r="S49" s="23"/>
    </row>
    <row r="50" spans="1:19" ht="15" thickBot="1" x14ac:dyDescent="0.4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2"/>
      <c r="S50" s="23"/>
    </row>
    <row r="51" spans="1:19" ht="15" thickBot="1" x14ac:dyDescent="0.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2"/>
      <c r="S51" s="23"/>
    </row>
    <row r="52" spans="1:19" ht="15" thickBot="1" x14ac:dyDescent="0.4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2"/>
      <c r="S52" s="23"/>
    </row>
    <row r="53" spans="1:19" ht="15" thickBot="1" x14ac:dyDescent="0.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2"/>
      <c r="S53" s="23"/>
    </row>
    <row r="54" spans="1:19" ht="15" thickBot="1" x14ac:dyDescent="0.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2"/>
      <c r="S54" s="23"/>
    </row>
    <row r="55" spans="1:19" ht="15" thickBot="1" x14ac:dyDescent="0.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2"/>
      <c r="S55" s="23"/>
    </row>
    <row r="56" spans="1:19" ht="15" thickBot="1" x14ac:dyDescent="0.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2"/>
      <c r="S56" s="23"/>
    </row>
    <row r="57" spans="1:19" ht="15" thickBot="1" x14ac:dyDescent="0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2"/>
      <c r="S57" s="23"/>
    </row>
    <row r="58" spans="1:19" ht="15" thickBot="1" x14ac:dyDescent="0.4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2"/>
      <c r="S58" s="23"/>
    </row>
    <row r="59" spans="1:19" ht="15" thickBot="1" x14ac:dyDescent="0.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2"/>
      <c r="S59" s="23"/>
    </row>
    <row r="60" spans="1:19" ht="15" thickBot="1" x14ac:dyDescent="0.4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2"/>
      <c r="S60" s="23"/>
    </row>
    <row r="61" spans="1:19" ht="15" thickBot="1" x14ac:dyDescent="0.4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2"/>
      <c r="S61" s="23"/>
    </row>
    <row r="62" spans="1:19" ht="15" thickBot="1" x14ac:dyDescent="0.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2"/>
      <c r="S62" s="23"/>
    </row>
    <row r="63" spans="1:19" ht="15" thickBot="1" x14ac:dyDescent="0.4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2"/>
      <c r="S63" s="23"/>
    </row>
    <row r="64" spans="1:19" ht="15" thickBot="1" x14ac:dyDescent="0.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2"/>
      <c r="S64" s="23"/>
    </row>
    <row r="65" spans="1:19" ht="15" thickBot="1" x14ac:dyDescent="0.4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2"/>
      <c r="S65" s="23"/>
    </row>
    <row r="66" spans="1:19" ht="15" thickBot="1" x14ac:dyDescent="0.4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2"/>
      <c r="S66" s="23"/>
    </row>
    <row r="67" spans="1:19" ht="15" thickBot="1" x14ac:dyDescent="0.4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2"/>
      <c r="S67" s="23"/>
    </row>
    <row r="68" spans="1:19" ht="15" thickBot="1" x14ac:dyDescent="0.4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2"/>
      <c r="S68" s="23"/>
    </row>
    <row r="69" spans="1:19" ht="15" thickBot="1" x14ac:dyDescent="0.4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2"/>
      <c r="S69" s="23"/>
    </row>
    <row r="70" spans="1:19" ht="15" thickBot="1" x14ac:dyDescent="0.4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2"/>
      <c r="S70" s="23"/>
    </row>
    <row r="71" spans="1:19" ht="15" thickBot="1" x14ac:dyDescent="0.4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2"/>
      <c r="S71" s="23"/>
    </row>
    <row r="72" spans="1:19" ht="15" thickBot="1" x14ac:dyDescent="0.4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2"/>
      <c r="S72" s="23"/>
    </row>
    <row r="73" spans="1:19" ht="15" thickBot="1" x14ac:dyDescent="0.4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2"/>
      <c r="S73" s="23"/>
    </row>
    <row r="74" spans="1:19" ht="15" thickBot="1" x14ac:dyDescent="0.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2"/>
      <c r="S74" s="23"/>
    </row>
    <row r="75" spans="1:19" ht="15" thickBot="1" x14ac:dyDescent="0.4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2"/>
      <c r="S75" s="23"/>
    </row>
    <row r="76" spans="1:19" ht="15" thickBot="1" x14ac:dyDescent="0.4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2"/>
      <c r="S76" s="23"/>
    </row>
    <row r="77" spans="1:19" ht="15" thickBot="1" x14ac:dyDescent="0.4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2"/>
      <c r="S77" s="23"/>
    </row>
    <row r="78" spans="1:19" ht="15" thickBot="1" x14ac:dyDescent="0.4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2"/>
      <c r="S78" s="23"/>
    </row>
    <row r="79" spans="1:19" ht="15" thickBot="1" x14ac:dyDescent="0.4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2"/>
      <c r="S79" s="23"/>
    </row>
    <row r="80" spans="1:19" ht="15" thickBot="1" x14ac:dyDescent="0.4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2"/>
      <c r="S80" s="23"/>
    </row>
    <row r="81" spans="1:19" ht="15" thickBot="1" x14ac:dyDescent="0.4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2"/>
      <c r="S81" s="23"/>
    </row>
    <row r="82" spans="1:19" ht="15" thickBot="1" x14ac:dyDescent="0.4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2"/>
      <c r="S82" s="23"/>
    </row>
    <row r="83" spans="1:19" ht="15" thickBot="1" x14ac:dyDescent="0.4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2"/>
      <c r="S83" s="23"/>
    </row>
    <row r="84" spans="1:19" ht="15" thickBot="1" x14ac:dyDescent="0.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2"/>
      <c r="S84" s="23"/>
    </row>
    <row r="85" spans="1:19" ht="15" thickBot="1" x14ac:dyDescent="0.4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2"/>
      <c r="S85" s="23"/>
    </row>
    <row r="86" spans="1:19" ht="15" thickBot="1" x14ac:dyDescent="0.4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2"/>
      <c r="S86" s="23"/>
    </row>
    <row r="87" spans="1:19" ht="15" thickBot="1" x14ac:dyDescent="0.4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2"/>
      <c r="S87" s="23"/>
    </row>
    <row r="88" spans="1:19" ht="15" thickBot="1" x14ac:dyDescent="0.4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2"/>
      <c r="S88" s="23"/>
    </row>
    <row r="89" spans="1:19" ht="15" thickBot="1" x14ac:dyDescent="0.4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2"/>
      <c r="S89" s="23"/>
    </row>
    <row r="90" spans="1:19" ht="15" thickBot="1" x14ac:dyDescent="0.4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2"/>
      <c r="S90" s="23"/>
    </row>
    <row r="91" spans="1:19" ht="15" thickBot="1" x14ac:dyDescent="0.4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2"/>
      <c r="S91" s="23"/>
    </row>
    <row r="92" spans="1:19" ht="15" thickBot="1" x14ac:dyDescent="0.4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2"/>
      <c r="S92" s="23"/>
    </row>
    <row r="93" spans="1:19" ht="15" thickBot="1" x14ac:dyDescent="0.4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2"/>
      <c r="S93" s="23"/>
    </row>
    <row r="94" spans="1:19" ht="15" thickBot="1" x14ac:dyDescent="0.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2"/>
      <c r="S94" s="23"/>
    </row>
    <row r="95" spans="1:19" ht="15" thickBot="1" x14ac:dyDescent="0.4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2"/>
      <c r="S95" s="23"/>
    </row>
    <row r="96" spans="1:19" ht="15" thickBot="1" x14ac:dyDescent="0.4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2"/>
      <c r="S96" s="23"/>
    </row>
    <row r="97" spans="1:19" ht="15" thickBot="1" x14ac:dyDescent="0.4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2"/>
      <c r="S97" s="23"/>
    </row>
    <row r="98" spans="1:19" ht="15" thickBot="1" x14ac:dyDescent="0.4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2"/>
      <c r="S98" s="23"/>
    </row>
    <row r="99" spans="1:19" ht="15" thickBot="1" x14ac:dyDescent="0.4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2"/>
      <c r="S99" s="23"/>
    </row>
    <row r="100" spans="1:19" ht="15" thickBot="1" x14ac:dyDescent="0.4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2"/>
      <c r="S100" s="23"/>
    </row>
    <row r="101" spans="1:19" ht="15" thickBot="1" x14ac:dyDescent="0.4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2"/>
      <c r="S101" s="23"/>
    </row>
    <row r="102" spans="1:19" ht="15" thickBot="1" x14ac:dyDescent="0.4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2"/>
      <c r="S102" s="23"/>
    </row>
    <row r="103" spans="1:19" ht="15" thickBot="1" x14ac:dyDescent="0.4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2"/>
      <c r="S103" s="23"/>
    </row>
    <row r="104" spans="1:19" ht="15" thickBot="1" x14ac:dyDescent="0.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2"/>
      <c r="S104" s="23"/>
    </row>
    <row r="105" spans="1:19" ht="15" thickBot="1" x14ac:dyDescent="0.4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2"/>
      <c r="S105" s="23"/>
    </row>
    <row r="106" spans="1:19" ht="15" thickBot="1" x14ac:dyDescent="0.4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2"/>
      <c r="S106" s="23"/>
    </row>
    <row r="107" spans="1:19" ht="15" thickBot="1" x14ac:dyDescent="0.4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2"/>
      <c r="S107" s="23"/>
    </row>
    <row r="108" spans="1:19" ht="15" thickBot="1" x14ac:dyDescent="0.4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2"/>
      <c r="S108" s="23"/>
    </row>
    <row r="109" spans="1:19" ht="15" thickBot="1" x14ac:dyDescent="0.4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2"/>
      <c r="S109" s="23"/>
    </row>
    <row r="110" spans="1:19" ht="15" thickBot="1" x14ac:dyDescent="0.4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2"/>
      <c r="S110" s="23"/>
    </row>
    <row r="111" spans="1:19" ht="15" thickBot="1" x14ac:dyDescent="0.4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2"/>
      <c r="S111" s="23"/>
    </row>
    <row r="112" spans="1:19" ht="15" thickBot="1" x14ac:dyDescent="0.4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2"/>
      <c r="S112" s="23"/>
    </row>
    <row r="113" spans="1:19" ht="15" thickBot="1" x14ac:dyDescent="0.4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2"/>
      <c r="S113" s="23"/>
    </row>
    <row r="114" spans="1:19" ht="15" thickBot="1" x14ac:dyDescent="0.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2"/>
      <c r="S114" s="23"/>
    </row>
    <row r="115" spans="1:19" ht="15" thickBot="1" x14ac:dyDescent="0.4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2"/>
      <c r="S115" s="23"/>
    </row>
    <row r="116" spans="1:19" ht="15" thickBot="1" x14ac:dyDescent="0.4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2"/>
      <c r="S116" s="23"/>
    </row>
    <row r="117" spans="1:19" ht="15" thickBot="1" x14ac:dyDescent="0.4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2"/>
      <c r="S117" s="23"/>
    </row>
    <row r="118" spans="1:19" ht="15" thickBot="1" x14ac:dyDescent="0.4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2"/>
      <c r="S118" s="23"/>
    </row>
    <row r="119" spans="1:19" ht="15" thickBot="1" x14ac:dyDescent="0.4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2"/>
      <c r="S119" s="23"/>
    </row>
    <row r="120" spans="1:19" ht="15" thickBot="1" x14ac:dyDescent="0.4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2"/>
      <c r="S120" s="23"/>
    </row>
    <row r="121" spans="1:19" ht="15" thickBot="1" x14ac:dyDescent="0.4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2"/>
      <c r="S121" s="23"/>
    </row>
    <row r="122" spans="1:19" ht="15" thickBot="1" x14ac:dyDescent="0.4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2"/>
      <c r="S122" s="23"/>
    </row>
    <row r="123" spans="1:19" ht="15" thickBot="1" x14ac:dyDescent="0.4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2"/>
      <c r="S123" s="23"/>
    </row>
    <row r="124" spans="1:19" ht="15" thickBot="1" x14ac:dyDescent="0.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2"/>
      <c r="S124" s="23"/>
    </row>
    <row r="125" spans="1:19" ht="15" thickBot="1" x14ac:dyDescent="0.4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2"/>
      <c r="S125" s="23"/>
    </row>
    <row r="126" spans="1:19" ht="15" thickBot="1" x14ac:dyDescent="0.4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2"/>
      <c r="S126" s="23"/>
    </row>
    <row r="127" spans="1:19" ht="15" thickBot="1" x14ac:dyDescent="0.4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2"/>
      <c r="S127" s="23"/>
    </row>
    <row r="128" spans="1:19" ht="15" thickBot="1" x14ac:dyDescent="0.4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2"/>
      <c r="S128" s="23"/>
    </row>
    <row r="129" spans="1:19" ht="15" thickBot="1" x14ac:dyDescent="0.4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2"/>
      <c r="S129" s="23"/>
    </row>
    <row r="130" spans="1:19" ht="15" thickBot="1" x14ac:dyDescent="0.4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2"/>
      <c r="S130" s="23"/>
    </row>
    <row r="131" spans="1:19" ht="15" thickBot="1" x14ac:dyDescent="0.4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2"/>
      <c r="S131" s="23"/>
    </row>
    <row r="132" spans="1:19" ht="15" thickBot="1" x14ac:dyDescent="0.4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2"/>
      <c r="S132" s="23"/>
    </row>
    <row r="133" spans="1:19" ht="15" thickBot="1" x14ac:dyDescent="0.4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2"/>
      <c r="S133" s="23"/>
    </row>
    <row r="134" spans="1:19" ht="15" thickBot="1" x14ac:dyDescent="0.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2"/>
      <c r="S134" s="23"/>
    </row>
    <row r="135" spans="1:19" ht="15" thickBot="1" x14ac:dyDescent="0.4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2"/>
      <c r="S135" s="23"/>
    </row>
    <row r="136" spans="1:19" ht="15" thickBot="1" x14ac:dyDescent="0.4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2"/>
      <c r="S136" s="23"/>
    </row>
    <row r="137" spans="1:19" ht="15" thickBot="1" x14ac:dyDescent="0.4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2"/>
      <c r="S137" s="23"/>
    </row>
    <row r="138" spans="1:19" ht="15" thickBot="1" x14ac:dyDescent="0.4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2"/>
      <c r="S138" s="23"/>
    </row>
    <row r="139" spans="1:19" ht="15" thickBot="1" x14ac:dyDescent="0.4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2"/>
      <c r="S139" s="23"/>
    </row>
    <row r="140" spans="1:19" ht="15" thickBot="1" x14ac:dyDescent="0.4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2"/>
      <c r="S140" s="23"/>
    </row>
    <row r="141" spans="1:19" ht="15" thickBot="1" x14ac:dyDescent="0.4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2"/>
      <c r="S141" s="23"/>
    </row>
    <row r="142" spans="1:19" ht="15" thickBot="1" x14ac:dyDescent="0.4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2"/>
      <c r="S142" s="23"/>
    </row>
    <row r="143" spans="1:19" ht="15" thickBot="1" x14ac:dyDescent="0.4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2"/>
      <c r="S143" s="23"/>
    </row>
    <row r="144" spans="1:19" ht="15" thickBot="1" x14ac:dyDescent="0.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2"/>
      <c r="S144" s="23"/>
    </row>
    <row r="145" spans="1:19" ht="15" thickBot="1" x14ac:dyDescent="0.4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2"/>
      <c r="S145" s="23"/>
    </row>
    <row r="146" spans="1:19" ht="15" thickBot="1" x14ac:dyDescent="0.4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2"/>
      <c r="S146" s="23"/>
    </row>
    <row r="147" spans="1:19" ht="15" thickBot="1" x14ac:dyDescent="0.4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2"/>
      <c r="S147" s="23"/>
    </row>
    <row r="148" spans="1:19" ht="15" thickBot="1" x14ac:dyDescent="0.4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2"/>
      <c r="S148" s="23"/>
    </row>
    <row r="149" spans="1:19" ht="15" thickBot="1" x14ac:dyDescent="0.4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2"/>
      <c r="S149" s="23"/>
    </row>
    <row r="150" spans="1:19" ht="15" thickBot="1" x14ac:dyDescent="0.4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2"/>
      <c r="S150" s="23"/>
    </row>
    <row r="151" spans="1:19" ht="15" thickBot="1" x14ac:dyDescent="0.4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2"/>
      <c r="S151" s="23"/>
    </row>
    <row r="152" spans="1:19" ht="15" thickBot="1" x14ac:dyDescent="0.4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2"/>
      <c r="S152" s="23"/>
    </row>
    <row r="153" spans="1:19" ht="15" thickBot="1" x14ac:dyDescent="0.4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2"/>
      <c r="S153" s="23"/>
    </row>
    <row r="154" spans="1:19" ht="15" thickBot="1" x14ac:dyDescent="0.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2"/>
      <c r="S154" s="23"/>
    </row>
    <row r="155" spans="1:19" ht="15" thickBot="1" x14ac:dyDescent="0.4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2"/>
      <c r="S155" s="23"/>
    </row>
    <row r="156" spans="1:19" ht="15" thickBot="1" x14ac:dyDescent="0.4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2"/>
      <c r="S156" s="23"/>
    </row>
    <row r="157" spans="1:19" ht="15" thickBot="1" x14ac:dyDescent="0.4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2"/>
      <c r="S157" s="23"/>
    </row>
    <row r="158" spans="1:19" ht="15" thickBot="1" x14ac:dyDescent="0.4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2"/>
      <c r="S158" s="23"/>
    </row>
    <row r="159" spans="1:19" ht="15" thickBot="1" x14ac:dyDescent="0.4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2"/>
      <c r="S159" s="23"/>
    </row>
    <row r="160" spans="1:19" ht="15" thickBot="1" x14ac:dyDescent="0.4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2"/>
      <c r="S160" s="23"/>
    </row>
    <row r="161" spans="1:19" ht="15" thickBot="1" x14ac:dyDescent="0.4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2"/>
      <c r="S161" s="23"/>
    </row>
    <row r="162" spans="1:19" ht="15" thickBot="1" x14ac:dyDescent="0.4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2"/>
      <c r="S162" s="23"/>
    </row>
    <row r="163" spans="1:19" ht="15" thickBot="1" x14ac:dyDescent="0.4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2"/>
      <c r="S163" s="23"/>
    </row>
    <row r="164" spans="1:19" ht="15" thickBot="1" x14ac:dyDescent="0.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2"/>
      <c r="S164" s="23"/>
    </row>
    <row r="165" spans="1:19" ht="15" thickBot="1" x14ac:dyDescent="0.4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2"/>
      <c r="S165" s="23"/>
    </row>
    <row r="166" spans="1:19" ht="15" thickBot="1" x14ac:dyDescent="0.4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2"/>
      <c r="S166" s="23"/>
    </row>
    <row r="167" spans="1:19" ht="15" thickBot="1" x14ac:dyDescent="0.4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2"/>
      <c r="S167" s="23"/>
    </row>
    <row r="168" spans="1:19" ht="15" thickBot="1" x14ac:dyDescent="0.4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2"/>
      <c r="S168" s="23"/>
    </row>
    <row r="169" spans="1:19" ht="15" thickBot="1" x14ac:dyDescent="0.4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2"/>
      <c r="S169" s="23"/>
    </row>
    <row r="170" spans="1:19" ht="15" thickBot="1" x14ac:dyDescent="0.4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2"/>
      <c r="S170" s="23"/>
    </row>
    <row r="171" spans="1:19" ht="15" thickBot="1" x14ac:dyDescent="0.4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2"/>
      <c r="S171" s="23"/>
    </row>
    <row r="172" spans="1:19" ht="15" thickBot="1" x14ac:dyDescent="0.4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2"/>
      <c r="S172" s="23"/>
    </row>
    <row r="173" spans="1:19" ht="15" thickBot="1" x14ac:dyDescent="0.4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2"/>
      <c r="S173" s="23"/>
    </row>
    <row r="174" spans="1:19" ht="15" thickBot="1" x14ac:dyDescent="0.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2"/>
      <c r="S174" s="23"/>
    </row>
    <row r="175" spans="1:19" ht="15" thickBot="1" x14ac:dyDescent="0.4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2"/>
      <c r="S175" s="23"/>
    </row>
    <row r="176" spans="1:19" ht="15" thickBot="1" x14ac:dyDescent="0.4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2"/>
      <c r="S176" s="23"/>
    </row>
    <row r="177" spans="1:19" ht="15" thickBot="1" x14ac:dyDescent="0.4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2"/>
      <c r="S177" s="23"/>
    </row>
    <row r="178" spans="1:19" ht="15" thickBot="1" x14ac:dyDescent="0.4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2"/>
      <c r="S178" s="23"/>
    </row>
    <row r="179" spans="1:19" ht="15" thickBot="1" x14ac:dyDescent="0.4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2"/>
      <c r="S179" s="23"/>
    </row>
    <row r="180" spans="1:19" ht="15" thickBot="1" x14ac:dyDescent="0.4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2"/>
      <c r="S180" s="23"/>
    </row>
    <row r="181" spans="1:19" ht="15" thickBot="1" x14ac:dyDescent="0.4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2"/>
      <c r="S181" s="23"/>
    </row>
    <row r="182" spans="1:19" ht="15" thickBot="1" x14ac:dyDescent="0.4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2"/>
      <c r="S182" s="23"/>
    </row>
    <row r="183" spans="1:19" ht="15" thickBot="1" x14ac:dyDescent="0.4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2"/>
      <c r="S183" s="23"/>
    </row>
    <row r="184" spans="1:19" ht="15" thickBot="1" x14ac:dyDescent="0.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2"/>
      <c r="S184" s="23"/>
    </row>
    <row r="185" spans="1:19" ht="15" thickBot="1" x14ac:dyDescent="0.4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2"/>
      <c r="S185" s="23"/>
    </row>
    <row r="186" spans="1:19" ht="15" thickBot="1" x14ac:dyDescent="0.4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2"/>
      <c r="S186" s="23"/>
    </row>
    <row r="187" spans="1:19" ht="15" thickBot="1" x14ac:dyDescent="0.4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2"/>
      <c r="S187" s="23"/>
    </row>
    <row r="188" spans="1:19" ht="15" thickBot="1" x14ac:dyDescent="0.4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2"/>
      <c r="S188" s="23"/>
    </row>
    <row r="189" spans="1:19" ht="15" thickBot="1" x14ac:dyDescent="0.4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2"/>
      <c r="S189" s="23"/>
    </row>
    <row r="190" spans="1:19" ht="15" thickBot="1" x14ac:dyDescent="0.4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2"/>
      <c r="S190" s="23"/>
    </row>
    <row r="191" spans="1:19" ht="15" thickBot="1" x14ac:dyDescent="0.4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2"/>
      <c r="S191" s="23"/>
    </row>
    <row r="192" spans="1:19" ht="15" thickBot="1" x14ac:dyDescent="0.4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2"/>
      <c r="S192" s="23"/>
    </row>
    <row r="193" spans="1:19" ht="15" thickBot="1" x14ac:dyDescent="0.4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2"/>
      <c r="S193" s="23"/>
    </row>
    <row r="194" spans="1:19" ht="15" thickBot="1" x14ac:dyDescent="0.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2"/>
      <c r="S194" s="23"/>
    </row>
    <row r="195" spans="1:19" ht="15" thickBot="1" x14ac:dyDescent="0.4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2"/>
      <c r="S195" s="23"/>
    </row>
    <row r="196" spans="1:19" ht="15" thickBot="1" x14ac:dyDescent="0.4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2"/>
      <c r="S196" s="23"/>
    </row>
    <row r="197" spans="1:19" ht="15" thickBot="1" x14ac:dyDescent="0.4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2"/>
      <c r="S197" s="23"/>
    </row>
    <row r="198" spans="1:19" ht="15" thickBot="1" x14ac:dyDescent="0.4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2"/>
      <c r="S198" s="23"/>
    </row>
    <row r="199" spans="1:19" ht="15" thickBot="1" x14ac:dyDescent="0.4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2"/>
      <c r="S199" s="23"/>
    </row>
    <row r="200" spans="1:19" ht="15" thickBot="1" x14ac:dyDescent="0.4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2"/>
      <c r="S200" s="23"/>
    </row>
    <row r="201" spans="1:19" ht="15" thickBot="1" x14ac:dyDescent="0.4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2"/>
      <c r="S201" s="23"/>
    </row>
    <row r="202" spans="1:19" ht="15" thickBot="1" x14ac:dyDescent="0.4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2"/>
      <c r="S202" s="23"/>
    </row>
    <row r="203" spans="1:19" ht="15" thickBot="1" x14ac:dyDescent="0.4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2"/>
      <c r="S203" s="23"/>
    </row>
    <row r="204" spans="1:19" ht="15" thickBot="1" x14ac:dyDescent="0.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2"/>
      <c r="S204" s="23"/>
    </row>
    <row r="205" spans="1:19" ht="15" thickBot="1" x14ac:dyDescent="0.4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2"/>
      <c r="S205" s="23"/>
    </row>
    <row r="206" spans="1:19" ht="15" thickBot="1" x14ac:dyDescent="0.4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2"/>
      <c r="S206" s="23"/>
    </row>
    <row r="207" spans="1:19" ht="15" thickBot="1" x14ac:dyDescent="0.4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2"/>
      <c r="S207" s="23"/>
    </row>
    <row r="208" spans="1:19" ht="15" thickBot="1" x14ac:dyDescent="0.4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2"/>
      <c r="S208" s="23"/>
    </row>
    <row r="209" spans="1:19" ht="15" thickBot="1" x14ac:dyDescent="0.4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2"/>
      <c r="S209" s="23"/>
    </row>
    <row r="210" spans="1:19" ht="15" thickBot="1" x14ac:dyDescent="0.4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2"/>
      <c r="S210" s="23"/>
    </row>
    <row r="211" spans="1:19" ht="15" thickBot="1" x14ac:dyDescent="0.4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2"/>
      <c r="S211" s="23"/>
    </row>
    <row r="212" spans="1:19" ht="15" thickBot="1" x14ac:dyDescent="0.4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2"/>
      <c r="S212" s="23"/>
    </row>
    <row r="213" spans="1:19" ht="15" thickBot="1" x14ac:dyDescent="0.4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2"/>
      <c r="S213" s="23"/>
    </row>
    <row r="214" spans="1:19" ht="15" thickBot="1" x14ac:dyDescent="0.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2"/>
      <c r="S214" s="23"/>
    </row>
    <row r="215" spans="1:19" ht="15" thickBot="1" x14ac:dyDescent="0.4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2"/>
      <c r="S215" s="23"/>
    </row>
    <row r="216" spans="1:19" x14ac:dyDescent="0.35">
      <c r="A216" s="24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3"/>
    </row>
    <row r="217" spans="1:19" x14ac:dyDescent="0.35">
      <c r="A217" s="24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3"/>
    </row>
    <row r="218" spans="1:19" x14ac:dyDescent="0.35">
      <c r="A218" s="24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3"/>
    </row>
    <row r="219" spans="1:19" x14ac:dyDescent="0.35">
      <c r="A219" s="24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3"/>
    </row>
    <row r="220" spans="1:19" x14ac:dyDescent="0.35">
      <c r="A220" s="24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3"/>
    </row>
    <row r="221" spans="1:19" x14ac:dyDescent="0.35">
      <c r="A221" s="24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3"/>
    </row>
    <row r="222" spans="1:19" x14ac:dyDescent="0.35">
      <c r="A222" s="24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3"/>
    </row>
    <row r="223" spans="1:19" x14ac:dyDescent="0.35">
      <c r="A223" s="24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3"/>
    </row>
    <row r="224" spans="1:19" x14ac:dyDescent="0.35">
      <c r="A224" s="24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3"/>
    </row>
    <row r="225" spans="1:19" x14ac:dyDescent="0.35">
      <c r="A225" s="24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3"/>
    </row>
    <row r="226" spans="1:19" x14ac:dyDescent="0.35">
      <c r="A226" s="24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3"/>
    </row>
    <row r="227" spans="1:19" x14ac:dyDescent="0.35">
      <c r="A227" s="24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3"/>
    </row>
    <row r="228" spans="1:19" x14ac:dyDescent="0.35">
      <c r="A228" s="24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3"/>
    </row>
    <row r="229" spans="1:19" x14ac:dyDescent="0.35">
      <c r="A229" s="24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3"/>
    </row>
    <row r="230" spans="1:19" x14ac:dyDescent="0.35">
      <c r="A230" s="24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3"/>
    </row>
    <row r="231" spans="1:19" x14ac:dyDescent="0.35">
      <c r="A231" s="24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3"/>
    </row>
    <row r="232" spans="1:19" x14ac:dyDescent="0.35">
      <c r="A232" s="24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3"/>
    </row>
    <row r="233" spans="1:19" x14ac:dyDescent="0.35">
      <c r="A233" s="24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3"/>
    </row>
    <row r="234" spans="1:19" x14ac:dyDescent="0.35">
      <c r="A234" s="24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3"/>
    </row>
    <row r="235" spans="1:19" x14ac:dyDescent="0.35">
      <c r="A235" s="24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3"/>
    </row>
    <row r="236" spans="1:19" x14ac:dyDescent="0.35">
      <c r="A236" s="24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3"/>
    </row>
    <row r="237" spans="1:19" x14ac:dyDescent="0.35">
      <c r="A237" s="24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3"/>
    </row>
    <row r="238" spans="1:19" x14ac:dyDescent="0.35">
      <c r="A238" s="24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3"/>
    </row>
    <row r="239" spans="1:19" x14ac:dyDescent="0.35">
      <c r="A239" s="24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3"/>
    </row>
    <row r="240" spans="1:19" x14ac:dyDescent="0.35">
      <c r="A240" s="24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3"/>
    </row>
    <row r="241" spans="1:19" x14ac:dyDescent="0.35">
      <c r="A241" s="24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3"/>
    </row>
    <row r="242" spans="1:19" x14ac:dyDescent="0.35">
      <c r="A242" s="24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3"/>
    </row>
    <row r="243" spans="1:19" x14ac:dyDescent="0.35">
      <c r="A243" s="24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3"/>
    </row>
    <row r="244" spans="1:19" x14ac:dyDescent="0.35">
      <c r="A244" s="24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3"/>
    </row>
    <row r="245" spans="1:19" x14ac:dyDescent="0.35">
      <c r="A245" s="24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3"/>
    </row>
    <row r="246" spans="1:19" x14ac:dyDescent="0.35">
      <c r="A246" s="24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3"/>
    </row>
    <row r="247" spans="1:19" x14ac:dyDescent="0.35">
      <c r="A247" s="24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3"/>
    </row>
    <row r="248" spans="1:19" x14ac:dyDescent="0.35">
      <c r="A248" s="24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3"/>
    </row>
    <row r="249" spans="1:19" x14ac:dyDescent="0.35">
      <c r="A249" s="24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3"/>
    </row>
    <row r="250" spans="1:19" x14ac:dyDescent="0.35">
      <c r="A250" s="24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3"/>
    </row>
    <row r="251" spans="1:19" x14ac:dyDescent="0.35">
      <c r="A251" s="24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3"/>
    </row>
    <row r="252" spans="1:19" x14ac:dyDescent="0.35">
      <c r="A252" s="24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3"/>
    </row>
    <row r="253" spans="1:19" x14ac:dyDescent="0.35">
      <c r="A253" s="24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3"/>
    </row>
    <row r="254" spans="1:19" x14ac:dyDescent="0.35">
      <c r="A254" s="24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3"/>
    </row>
    <row r="255" spans="1:19" x14ac:dyDescent="0.35">
      <c r="A255" s="24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3"/>
    </row>
    <row r="256" spans="1:19" x14ac:dyDescent="0.35">
      <c r="A256" s="24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3"/>
    </row>
    <row r="257" spans="1:19" x14ac:dyDescent="0.35">
      <c r="A257" s="24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3"/>
    </row>
    <row r="258" spans="1:19" x14ac:dyDescent="0.35">
      <c r="A258" s="24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3"/>
    </row>
    <row r="259" spans="1:19" x14ac:dyDescent="0.35">
      <c r="A259" s="24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3"/>
    </row>
    <row r="260" spans="1:19" x14ac:dyDescent="0.35">
      <c r="A260" s="24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3"/>
    </row>
    <row r="261" spans="1:19" x14ac:dyDescent="0.35">
      <c r="A261" s="24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3"/>
    </row>
    <row r="262" spans="1:19" x14ac:dyDescent="0.35">
      <c r="A262" s="24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3"/>
    </row>
    <row r="263" spans="1:19" x14ac:dyDescent="0.35">
      <c r="A263" s="24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3"/>
    </row>
    <row r="264" spans="1:19" x14ac:dyDescent="0.35">
      <c r="A264" s="24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3"/>
    </row>
    <row r="265" spans="1:19" x14ac:dyDescent="0.35">
      <c r="A265" s="24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3"/>
    </row>
    <row r="266" spans="1:19" x14ac:dyDescent="0.35">
      <c r="A266" s="24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3"/>
    </row>
    <row r="267" spans="1:19" x14ac:dyDescent="0.35">
      <c r="A267" s="24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3"/>
    </row>
    <row r="268" spans="1:19" x14ac:dyDescent="0.35">
      <c r="A268" s="24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3"/>
    </row>
    <row r="269" spans="1:19" x14ac:dyDescent="0.35">
      <c r="A269" s="24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3"/>
    </row>
    <row r="270" spans="1:19" x14ac:dyDescent="0.35">
      <c r="A270" s="24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3"/>
    </row>
    <row r="271" spans="1:19" ht="15" thickBot="1" x14ac:dyDescent="0.4">
      <c r="A271" s="25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7"/>
    </row>
  </sheetData>
  <mergeCells count="9">
    <mergeCell ref="A1:P3"/>
    <mergeCell ref="C4:E7"/>
    <mergeCell ref="F4:H7"/>
    <mergeCell ref="I4:K7"/>
    <mergeCell ref="L4:N7"/>
    <mergeCell ref="C8:E9"/>
    <mergeCell ref="F8:H9"/>
    <mergeCell ref="I8:K9"/>
    <mergeCell ref="L8:N9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Pvt_Product</vt:lpstr>
      <vt:lpstr>Pvt_Country</vt:lpstr>
      <vt:lpstr>Pvt_Trend</vt:lpstr>
      <vt:lpstr>INPUT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Thome</dc:creator>
  <cp:lastModifiedBy>Enzo Thome</cp:lastModifiedBy>
  <dcterms:created xsi:type="dcterms:W3CDTF">2025-11-29T22:38:34Z</dcterms:created>
  <dcterms:modified xsi:type="dcterms:W3CDTF">2025-11-29T23:18:22Z</dcterms:modified>
</cp:coreProperties>
</file>